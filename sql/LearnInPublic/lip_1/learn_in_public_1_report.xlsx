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E:\data analytics\sql\LearnInPublic\"/>
    </mc:Choice>
  </mc:AlternateContent>
  <xr:revisionPtr revIDLastSave="0" documentId="13_ncr:1_{2182B002-1210-4669-BD18-7EE21A94D4B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riginal data" sheetId="1" r:id="rId1"/>
    <sheet name="cleaned data" sheetId="2" r:id="rId2"/>
    <sheet name="Pivot tables" sheetId="3" r:id="rId3"/>
    <sheet name="dashboard" sheetId="5" r:id="rId4"/>
  </sheets>
  <definedNames>
    <definedName name="_xlnm._FilterDatabase" localSheetId="1" hidden="1">'cleaned data'!$A$1:$G$487</definedName>
  </definedNames>
  <calcPr calcId="191029"/>
  <pivotCaches>
    <pivotCache cacheId="36" r:id="rId5"/>
    <pivotCache cacheId="34" r:id="rId6"/>
    <pivotCache cacheId="16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2" l="1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2" i="2"/>
</calcChain>
</file>

<file path=xl/sharedStrings.xml><?xml version="1.0" encoding="utf-8"?>
<sst xmlns="http://schemas.openxmlformats.org/spreadsheetml/2006/main" count="4475" uniqueCount="297">
  <si>
    <t>Date</t>
  </si>
  <si>
    <t>Description</t>
  </si>
  <si>
    <t>Debit</t>
  </si>
  <si>
    <t>Credit</t>
  </si>
  <si>
    <t>Sub-category</t>
  </si>
  <si>
    <t>Category</t>
  </si>
  <si>
    <t>Category Type</t>
  </si>
  <si>
    <t>Nextleap DAF</t>
  </si>
  <si>
    <t>₹120,000.00</t>
  </si>
  <si>
    <t>Salary</t>
  </si>
  <si>
    <t>Income</t>
  </si>
  <si>
    <t>Drink</t>
  </si>
  <si>
    <t>₹120.00</t>
  </si>
  <si>
    <t>Coffee</t>
  </si>
  <si>
    <t>Dining Out</t>
  </si>
  <si>
    <t>Expense</t>
  </si>
  <si>
    <t>Flat Expenses</t>
  </si>
  <si>
    <t>₹21,600.00</t>
  </si>
  <si>
    <t>Rent</t>
  </si>
  <si>
    <t>Living Expenses</t>
  </si>
  <si>
    <t>EMI</t>
  </si>
  <si>
    <t>₹3,600.00</t>
  </si>
  <si>
    <t>Cash loan</t>
  </si>
  <si>
    <t>Transport</t>
  </si>
  <si>
    <t>Green's</t>
  </si>
  <si>
    <t>₹3,720.00</t>
  </si>
  <si>
    <t>Groceries</t>
  </si>
  <si>
    <t>Power source</t>
  </si>
  <si>
    <t>₹1,200.00</t>
  </si>
  <si>
    <t>Gas/Electrics</t>
  </si>
  <si>
    <t>Fuel</t>
  </si>
  <si>
    <t>₹1,848.00</t>
  </si>
  <si>
    <t>₹3,240.00</t>
  </si>
  <si>
    <t>Cinemas</t>
  </si>
  <si>
    <t>₹960.00</t>
  </si>
  <si>
    <t>Entertainment</t>
  </si>
  <si>
    <t>Discretionary</t>
  </si>
  <si>
    <t>Zara Clothes</t>
  </si>
  <si>
    <t>₹2,352.00</t>
  </si>
  <si>
    <t>Clothes</t>
  </si>
  <si>
    <t>Swiggy</t>
  </si>
  <si>
    <t>₹1,248.00</t>
  </si>
  <si>
    <t>Restaurant</t>
  </si>
  <si>
    <t>Ola</t>
  </si>
  <si>
    <t>₹672.00</t>
  </si>
  <si>
    <t>Taxi</t>
  </si>
  <si>
    <t>Onlne earning</t>
  </si>
  <si>
    <t>₹108,000.00</t>
  </si>
  <si>
    <t>YouTube</t>
  </si>
  <si>
    <t>Passive</t>
  </si>
  <si>
    <t>Teachable</t>
  </si>
  <si>
    <t>Phone</t>
  </si>
  <si>
    <t>Family and Friends surprises</t>
  </si>
  <si>
    <t>₹1,080.00</t>
  </si>
  <si>
    <t>Gifts</t>
  </si>
  <si>
    <t>Online streaming</t>
  </si>
  <si>
    <t>₹768.00</t>
  </si>
  <si>
    <t>₹4,080.00</t>
  </si>
  <si>
    <t>Office Lunch</t>
  </si>
  <si>
    <t>₹888.00</t>
  </si>
  <si>
    <t>Evening snacks</t>
  </si>
  <si>
    <t>₹288.00</t>
  </si>
  <si>
    <t>Orphanage</t>
  </si>
  <si>
    <t>₹1,320.00</t>
  </si>
  <si>
    <t>Donation</t>
  </si>
  <si>
    <t>Charity</t>
  </si>
  <si>
    <t>₹1,512.00</t>
  </si>
  <si>
    <t>Fueling</t>
  </si>
  <si>
    <t>₹3,888.00</t>
  </si>
  <si>
    <t>Trainers</t>
  </si>
  <si>
    <t>₹3,000.00</t>
  </si>
  <si>
    <t>Hangingout/Ticket</t>
  </si>
  <si>
    <t>₹4,200.00</t>
  </si>
  <si>
    <t>₹3,480.00</t>
  </si>
  <si>
    <t>₹552.00</t>
  </si>
  <si>
    <t>Data with Decision</t>
  </si>
  <si>
    <t>₹4,920.00</t>
  </si>
  <si>
    <t>₹1,226.40</t>
  </si>
  <si>
    <t>₹1,872.00</t>
  </si>
  <si>
    <t>₹3,261.60</t>
  </si>
  <si>
    <t>₹981.60</t>
  </si>
  <si>
    <t>Myntra Accesories</t>
  </si>
  <si>
    <t>₹2,376.00</t>
  </si>
  <si>
    <t>₹1,272.00</t>
  </si>
  <si>
    <t>₹693.60</t>
  </si>
  <si>
    <t>₹19,200.00</t>
  </si>
  <si>
    <t>₹1,101.60</t>
  </si>
  <si>
    <t>₹840.00</t>
  </si>
  <si>
    <t>₹4,104.00</t>
  </si>
  <si>
    <t>₹909.60</t>
  </si>
  <si>
    <t>₹309.60</t>
  </si>
  <si>
    <t>₹1,538.40</t>
  </si>
  <si>
    <t>₹3,909.60</t>
  </si>
  <si>
    <t>₹3,021.60</t>
  </si>
  <si>
    <t>Global Fashion</t>
  </si>
  <si>
    <t>₹3,288.00</t>
  </si>
  <si>
    <t>₹3,506.40</t>
  </si>
  <si>
    <t>₹578.40</t>
  </si>
  <si>
    <t>₹3,576.00</t>
  </si>
  <si>
    <t>₹1,250.40</t>
  </si>
  <si>
    <t>₹1,893.60</t>
  </si>
  <si>
    <t>₹1,003.20</t>
  </si>
  <si>
    <t>₹2,397.60</t>
  </si>
  <si>
    <t>₹1,296.00</t>
  </si>
  <si>
    <t>₹720.00</t>
  </si>
  <si>
    <t>₹24,000.00</t>
  </si>
  <si>
    <t>Taken medication</t>
  </si>
  <si>
    <t>₹1,800.00</t>
  </si>
  <si>
    <t>Doctor</t>
  </si>
  <si>
    <t>Medical</t>
  </si>
  <si>
    <t>₹1,123.20</t>
  </si>
  <si>
    <t>₹4,125.60</t>
  </si>
  <si>
    <t>₹936.00</t>
  </si>
  <si>
    <t>₹336.00</t>
  </si>
  <si>
    <t>₹1,560.00</t>
  </si>
  <si>
    <t>₹5,016.00</t>
  </si>
  <si>
    <t>₹3,048.00</t>
  </si>
  <si>
    <t>Decathlon</t>
  </si>
  <si>
    <t>₹4,252.80</t>
  </si>
  <si>
    <t>₹3,530.40</t>
  </si>
  <si>
    <t>₹600.00</t>
  </si>
  <si>
    <t>Foodary</t>
  </si>
  <si>
    <t>₹360.00</t>
  </si>
  <si>
    <t>₹3,796.80</t>
  </si>
  <si>
    <t>₹1,276.80</t>
  </si>
  <si>
    <t>₹1,917.60</t>
  </si>
  <si>
    <t>₹1,027.20</t>
  </si>
  <si>
    <t>₹2,421.60</t>
  </si>
  <si>
    <t>₹1,317.60</t>
  </si>
  <si>
    <t>₹744.00</t>
  </si>
  <si>
    <t>₹56,160.00</t>
  </si>
  <si>
    <t>₹1,149.60</t>
  </si>
  <si>
    <t>₹4,152.00</t>
  </si>
  <si>
    <t>₹962.40</t>
  </si>
  <si>
    <t>₹362.40</t>
  </si>
  <si>
    <t>₹1,584.00</t>
  </si>
  <si>
    <t>₹3,957.60</t>
  </si>
  <si>
    <t>₹3,069.60</t>
  </si>
  <si>
    <t>Clubing</t>
  </si>
  <si>
    <t>₹7,200.00</t>
  </si>
  <si>
    <t>₹3,554.40</t>
  </si>
  <si>
    <t>₹626.40</t>
  </si>
  <si>
    <t>₹1,298.40</t>
  </si>
  <si>
    <t>₹1,944.00</t>
  </si>
  <si>
    <t>₹3,338.40</t>
  </si>
  <si>
    <t>₹1,053.60</t>
  </si>
  <si>
    <t>₹2,443.20</t>
  </si>
  <si>
    <t>₹1,341.60</t>
  </si>
  <si>
    <t>₹1,176.00</t>
  </si>
  <si>
    <t>₹4,176.00</t>
  </si>
  <si>
    <t>₹986.40</t>
  </si>
  <si>
    <t>₹388.80</t>
  </si>
  <si>
    <t>₹1,608.00</t>
  </si>
  <si>
    <t>₹3,979.20</t>
  </si>
  <si>
    <t>₹3,091.20</t>
  </si>
  <si>
    <t>Home décor</t>
  </si>
  <si>
    <t>₹5,640.00</t>
  </si>
  <si>
    <t>Furnishings</t>
  </si>
  <si>
    <t>₹3,580.80</t>
  </si>
  <si>
    <t>₹652.80</t>
  </si>
  <si>
    <t>₹2,856.00</t>
  </si>
  <si>
    <t>₹1,970.40</t>
  </si>
  <si>
    <t>₹3,364.80</t>
  </si>
  <si>
    <t>₹1,077.60</t>
  </si>
  <si>
    <t>₹2,469.60</t>
  </si>
  <si>
    <t>₹1,365.60</t>
  </si>
  <si>
    <t>₹794.40</t>
  </si>
  <si>
    <t>₹2,400.00</t>
  </si>
  <si>
    <t>₹1,202.40</t>
  </si>
  <si>
    <t>₹5,616.00</t>
  </si>
  <si>
    <t>₹1,010.40</t>
  </si>
  <si>
    <t>₹410.40</t>
  </si>
  <si>
    <t>₹1,629.60</t>
  </si>
  <si>
    <t>₹4,005.60</t>
  </si>
  <si>
    <t>₹3,117.60</t>
  </si>
  <si>
    <t>₹4,327.20</t>
  </si>
  <si>
    <t>₹3,602.40</t>
  </si>
  <si>
    <t>₹676.80</t>
  </si>
  <si>
    <t>Feedings</t>
  </si>
  <si>
    <t>₹4,320.00</t>
  </si>
  <si>
    <t>₹1,346.40</t>
  </si>
  <si>
    <t>₹1,994.40</t>
  </si>
  <si>
    <t>₹3,386.40</t>
  </si>
  <si>
    <t>₹1,099.20</t>
  </si>
  <si>
    <t>₹2,491.20</t>
  </si>
  <si>
    <t>₹1,392.00</t>
  </si>
  <si>
    <t>₹820.80</t>
  </si>
  <si>
    <t>₹4,800.00</t>
  </si>
  <si>
    <t>₹4,224.00</t>
  </si>
  <si>
    <t>₹1,034.40</t>
  </si>
  <si>
    <t>₹436.80</t>
  </si>
  <si>
    <t>₹1,651.20</t>
  </si>
  <si>
    <t>₹4,632.00</t>
  </si>
  <si>
    <t>₹3,139.20</t>
  </si>
  <si>
    <t>₹4,353.60</t>
  </si>
  <si>
    <t>₹3,628.80</t>
  </si>
  <si>
    <t>₹703.20</t>
  </si>
  <si>
    <t>₹1,368.00</t>
  </si>
  <si>
    <t>₹2,020.80</t>
  </si>
  <si>
    <t>₹3,410.40</t>
  </si>
  <si>
    <t>Sarojini Nagar</t>
  </si>
  <si>
    <t>₹2,512.80</t>
  </si>
  <si>
    <t>₹1,418.40</t>
  </si>
  <si>
    <t>₹842.40</t>
  </si>
  <si>
    <t>₹4,248.00</t>
  </si>
  <si>
    <t>₹1,060.80</t>
  </si>
  <si>
    <t>₹460.80</t>
  </si>
  <si>
    <t>₹1,672.80</t>
  </si>
  <si>
    <t>₹2,808.00</t>
  </si>
  <si>
    <t>₹3,165.60</t>
  </si>
  <si>
    <t>₹4,377.60</t>
  </si>
  <si>
    <t>₹3,655.20</t>
  </si>
  <si>
    <t>₹727.20</t>
  </si>
  <si>
    <t>₹3,921.60</t>
  </si>
  <si>
    <t>₹1,394.40</t>
  </si>
  <si>
    <t>₹2,047.20</t>
  </si>
  <si>
    <t>₹3,432.00</t>
  </si>
  <si>
    <t>₹1,147.20</t>
  </si>
  <si>
    <t>₹2,539.20</t>
  </si>
  <si>
    <t>₹1,442.40</t>
  </si>
  <si>
    <t>₹868.80</t>
  </si>
  <si>
    <t>₹4,269.60</t>
  </si>
  <si>
    <t>₹1,087.20</t>
  </si>
  <si>
    <t>₹482.40</t>
  </si>
  <si>
    <t>₹1,694.40</t>
  </si>
  <si>
    <t>₹5,352.00</t>
  </si>
  <si>
    <t>₹3,189.60</t>
  </si>
  <si>
    <t>₹3,681.60</t>
  </si>
  <si>
    <t>₹748.80</t>
  </si>
  <si>
    <t>₹2,520.00</t>
  </si>
  <si>
    <t>₹1,416.00</t>
  </si>
  <si>
    <t>₹2,073.60</t>
  </si>
  <si>
    <t>₹3,453.60</t>
  </si>
  <si>
    <t>₹1,171.20</t>
  </si>
  <si>
    <t>₹2,560.80</t>
  </si>
  <si>
    <t>₹1,466.40</t>
  </si>
  <si>
    <t>₹892.80</t>
  </si>
  <si>
    <t>₹4,293.60</t>
  </si>
  <si>
    <t>₹1,108.80</t>
  </si>
  <si>
    <t>₹506.40</t>
  </si>
  <si>
    <t>₹1,716.00</t>
  </si>
  <si>
    <t>₹4,536.00</t>
  </si>
  <si>
    <t>₹3,211.20</t>
  </si>
  <si>
    <t>₹4,425.60</t>
  </si>
  <si>
    <t>H&amp;m Visit</t>
  </si>
  <si>
    <t>₹3,708.00</t>
  </si>
  <si>
    <t>₹770.40</t>
  </si>
  <si>
    <t>Row Labels</t>
  </si>
  <si>
    <t>Grand Total</t>
  </si>
  <si>
    <t>Column Labels</t>
  </si>
  <si>
    <t>Sum of Debit</t>
  </si>
  <si>
    <t>Sum of Credit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</si>
  <si>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</si>
  <si>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</si>
  <si>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</si>
  <si>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</si>
  <si>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</si>
  <si>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</si>
  <si>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</si>
  <si>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</si>
  <si>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</si>
  <si>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</si>
  <si>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</si>
  <si>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</si>
  <si>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Week</t>
  </si>
  <si>
    <t>Sum of Balance</t>
  </si>
  <si>
    <t>Sum of Savings</t>
  </si>
  <si>
    <t>Values</t>
  </si>
  <si>
    <t>Debit %</t>
  </si>
  <si>
    <t>Saving%</t>
  </si>
  <si>
    <t>1)</t>
  </si>
  <si>
    <r>
      <t xml:space="preserve">Top expense category - </t>
    </r>
    <r>
      <rPr>
        <sz val="10"/>
        <color rgb="FF000000"/>
        <rFont val="Arial"/>
        <family val="2"/>
        <scheme val="minor"/>
      </rPr>
      <t>Living Expenses</t>
    </r>
  </si>
  <si>
    <t>2)</t>
  </si>
  <si>
    <r>
      <t>Biggest spike in spending</t>
    </r>
    <r>
      <rPr>
        <sz val="10"/>
        <color rgb="FF000000"/>
        <rFont val="Arial"/>
        <family val="2"/>
        <scheme val="minor"/>
      </rPr>
      <t xml:space="preserve"> - In Month of March And 15th Week</t>
    </r>
  </si>
  <si>
    <t>3)</t>
  </si>
  <si>
    <r>
      <t xml:space="preserve">Net monthly balance - </t>
    </r>
    <r>
      <rPr>
        <sz val="10"/>
        <color rgb="FF000000"/>
        <rFont val="Arial"/>
        <family val="2"/>
        <scheme val="minor"/>
      </rPr>
      <t>Mostly Saving</t>
    </r>
  </si>
  <si>
    <t>4)</t>
  </si>
  <si>
    <r>
      <t xml:space="preserve">Income dependency - </t>
    </r>
    <r>
      <rPr>
        <sz val="10"/>
        <color rgb="FF000000"/>
        <rFont val="Arial"/>
        <family val="2"/>
        <scheme val="minor"/>
      </rPr>
      <t>On two sources</t>
    </r>
  </si>
  <si>
    <t>5)</t>
  </si>
  <si>
    <t>Insights &amp; Suggestions</t>
  </si>
  <si>
    <r>
      <t xml:space="preserve">Maintain </t>
    </r>
    <r>
      <rPr>
        <b/>
        <sz val="10"/>
        <color rgb="FF000000"/>
        <rFont val="Arial"/>
        <family val="2"/>
        <scheme val="minor"/>
      </rPr>
      <t>current savings rate (54%)</t>
    </r>
    <r>
      <rPr>
        <sz val="10"/>
        <color rgb="FF000000"/>
        <rFont val="Arial"/>
        <family val="2"/>
        <scheme val="minor"/>
      </rPr>
      <t xml:space="preserve">; channel more into </t>
    </r>
    <r>
      <rPr>
        <b/>
        <sz val="10"/>
        <color rgb="FF000000"/>
        <rFont val="Arial"/>
        <family val="2"/>
        <scheme val="minor"/>
      </rPr>
      <t>investments</t>
    </r>
    <r>
      <rPr>
        <sz val="10"/>
        <color rgb="FF000000"/>
        <rFont val="Arial"/>
        <family val="2"/>
        <scheme val="minor"/>
      </rPr>
      <t>.</t>
    </r>
  </si>
  <si>
    <r>
      <rPr>
        <b/>
        <sz val="10"/>
        <color rgb="FF000000"/>
        <rFont val="Arial"/>
        <family val="2"/>
        <scheme val="minor"/>
      </rPr>
      <t xml:space="preserve">Actionable advice - </t>
    </r>
    <r>
      <rPr>
        <sz val="10"/>
        <color rgb="FF000000"/>
        <rFont val="Arial"/>
        <family val="2"/>
        <scheme val="minor"/>
      </rPr>
      <t xml:space="preserve"> </t>
    </r>
  </si>
  <si>
    <t>If possible then low spend on living</t>
  </si>
  <si>
    <r>
      <t>Explore another</t>
    </r>
    <r>
      <rPr>
        <b/>
        <sz val="10"/>
        <color rgb="FF000000"/>
        <rFont val="Arial"/>
        <family val="2"/>
        <scheme val="minor"/>
      </rPr>
      <t xml:space="preserve"> income sources</t>
    </r>
    <r>
      <rPr>
        <sz val="10"/>
        <color rgb="FF000000"/>
        <rFont val="Arial"/>
        <family val="2"/>
        <scheme val="minor"/>
      </rPr>
      <t xml:space="preserve"> to strengthen financial stability.</t>
    </r>
  </si>
  <si>
    <r>
      <t xml:space="preserve">Build an </t>
    </r>
    <r>
      <rPr>
        <b/>
        <sz val="10"/>
        <color rgb="FF000000"/>
        <rFont val="Arial"/>
        <family val="2"/>
        <scheme val="minor"/>
      </rPr>
      <t>emergency fund of ~₹3.6L</t>
    </r>
    <r>
      <rPr>
        <sz val="10"/>
        <color rgb="FF000000"/>
        <rFont val="Arial"/>
        <family val="2"/>
        <scheme val="minor"/>
      </rPr>
      <t xml:space="preserve"> (6 months’ expenses).</t>
    </r>
  </si>
  <si>
    <t>Conclusion -</t>
  </si>
  <si>
    <r>
      <t xml:space="preserve">Your financial health looks </t>
    </r>
    <r>
      <rPr>
        <b/>
        <sz val="10"/>
        <color rgb="FF000000"/>
        <rFont val="Arial"/>
        <family val="2"/>
        <scheme val="minor"/>
      </rPr>
      <t>strong</t>
    </r>
    <r>
      <rPr>
        <sz val="10"/>
        <color rgb="FF000000"/>
        <rFont val="Arial"/>
        <family val="2"/>
        <scheme val="minor"/>
      </rPr>
      <t xml:space="preserve"> — saving more than half of your income.The main improvement area is </t>
    </r>
    <r>
      <rPr>
        <b/>
        <sz val="10"/>
        <color rgb="FF000000"/>
        <rFont val="Arial"/>
        <family val="2"/>
        <scheme val="minor"/>
      </rPr>
      <t>controlling discretionary spending</t>
    </r>
    <r>
      <rPr>
        <sz val="10"/>
        <color rgb="FF000000"/>
        <rFont val="Arial"/>
        <family val="2"/>
        <scheme val="minor"/>
      </rPr>
      <t xml:space="preserve"> and </t>
    </r>
    <r>
      <rPr>
        <b/>
        <sz val="10"/>
        <color rgb="FF000000"/>
        <rFont val="Arial"/>
        <family val="2"/>
        <scheme val="minor"/>
      </rPr>
      <t>growing savings through smart investments</t>
    </r>
    <r>
      <rPr>
        <sz val="10"/>
        <color rgb="FF000000"/>
        <rFont val="Arial"/>
        <family val="2"/>
        <scheme val="minor"/>
      </rPr>
      <t>.</t>
    </r>
  </si>
  <si>
    <t xml:space="preserve">Expense Amount by Category </t>
  </si>
  <si>
    <t>Top 5 Expenses category</t>
  </si>
  <si>
    <t xml:space="preserve">Income Source </t>
  </si>
  <si>
    <t>Living Expense details</t>
  </si>
  <si>
    <t>Month wise Expanses,Income and Balance</t>
  </si>
  <si>
    <t>Total Expenses</t>
  </si>
  <si>
    <t>Total Income</t>
  </si>
  <si>
    <t>Total Saving</t>
  </si>
  <si>
    <t>Percent of Expense and Savings</t>
  </si>
  <si>
    <t>Week wise Expanses and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</si>
</sst>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0" fontId="2" fillId="0" borderId="1" xfId="0" applyFont="1" applyBorder="1"/>
    <xf numFmtId="0" fontId="3" fillId="0" borderId="1" xfId="0" applyFont="1" applyBorder="1"/>
    <xf numFmtId="0" fontId="0" fillId="0" borderId="2" xfId="0" applyBorder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0" xfId="0" applyFont="1"/>
    <xf numFmtId="10" fontId="0" fillId="0" borderId="0" xfId="0" applyNumberFormat="1"/>
    <xf numFmtId="9" fontId="0" fillId="0" borderId="0" xfId="0" applyNumberFormat="1"/>
    <xf numFmtId="0" fontId="6" fillId="0" borderId="0" xfId="0" applyFont="1"/>
    <xf numFmtId="0" fontId="4" fillId="0" borderId="0" xfId="0" applyFont="1" applyAlignment="1">
      <alignment horizontal="right"/>
    </xf>
    <xf numFmtId="0" fontId="5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5" fillId="2" borderId="0" xfId="0" applyFont="1" applyFill="1"/>
  </cellXfs>
  <cellStyles count="1">
    <cellStyle name="Normal" xfId="0" builtinId="0"/>
  </cellStyles>
  <dxfs count="2">
    <dxf>
      <numFmt numFmtId="13" formatCode="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[Milestone1.xlsx]Pivot tables!PivotTable1</c:name>
    <c:fmtId val="2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162439793361685"/>
          <c:y val="0.1856710962705593"/>
          <c:w val="0.77099002942332651"/>
          <c:h val="0.407643510893516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tables'!$A$5:$A$11</c:f>
              <c:strCache>
                <c:ptCount val="6"/>
                <c:pt idx="0">
                  <c:v>Charity</c:v>
                </c:pt>
                <c:pt idx="1">
                  <c:v>Dining Out</c:v>
                </c:pt>
                <c:pt idx="2">
                  <c:v>Discretionary</c:v>
                </c:pt>
                <c:pt idx="3">
                  <c:v>Living Expenses</c:v>
                </c:pt>
                <c:pt idx="4">
                  <c:v>Medical</c:v>
                </c:pt>
                <c:pt idx="5">
                  <c:v>Transport</c:v>
                </c:pt>
              </c:strCache>
            </c:strRef>
          </c:cat>
          <c:val>
            <c:numRef>
              <c:f>'Pivot tables'!$B$5:$B$11</c:f>
              <c:numCache>
                <c:formatCode>General</c:formatCode>
                <c:ptCount val="6"/>
                <c:pt idx="0">
                  <c:v>13200</c:v>
                </c:pt>
                <c:pt idx="1">
                  <c:v>59372</c:v>
                </c:pt>
                <c:pt idx="2">
                  <c:v>168664</c:v>
                </c:pt>
                <c:pt idx="3">
                  <c:v>393596</c:v>
                </c:pt>
                <c:pt idx="4">
                  <c:v>5400</c:v>
                </c:pt>
                <c:pt idx="5">
                  <c:v>84352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4B-4F55-85DA-1F126D9C1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133951"/>
        <c:axId val="1580134431"/>
      </c:barChart>
      <c:catAx>
        <c:axId val="158013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134431"/>
        <c:crosses val="autoZero"/>
        <c:auto val="1"/>
        <c:lblAlgn val="ctr"/>
        <c:lblOffset val="100"/>
        <c:noMultiLvlLbl val="0"/>
      </c:catAx>
      <c:valAx>
        <c:axId val="158013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13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[Milestone1.xlsx]Pivot tables!PivotTable2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7664783427495289E-2"/>
          <c:y val="0.38781204432779237"/>
          <c:w val="0.54305425804825247"/>
          <c:h val="0.53400335374744823"/>
        </c:manualLayout>
      </c:layout>
      <c:pieChart>
        <c:varyColors val="1"/>
        <c:ser>
          <c:idx val="0"/>
          <c:order val="0"/>
          <c:tx>
            <c:strRef>
              <c:f>'Pivot tables'!$E$4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tables'!$D$5:$D$10</c:f>
              <c:strCache>
                <c:ptCount val="5"/>
                <c:pt idx="0">
                  <c:v>Charity</c:v>
                </c:pt>
                <c:pt idx="1">
                  <c:v>Dining Out</c:v>
                </c:pt>
                <c:pt idx="2">
                  <c:v>Transport</c:v>
                </c:pt>
                <c:pt idx="3">
                  <c:v>Discretionary</c:v>
                </c:pt>
                <c:pt idx="4">
                  <c:v>Living Expenses</c:v>
                </c:pt>
              </c:strCache>
            </c:strRef>
          </c:cat>
          <c:val>
            <c:numRef>
              <c:f>'Pivot tables'!$E$5:$E$10</c:f>
              <c:numCache>
                <c:formatCode>General</c:formatCode>
                <c:ptCount val="5"/>
                <c:pt idx="0">
                  <c:v>13200</c:v>
                </c:pt>
                <c:pt idx="1">
                  <c:v>59372</c:v>
                </c:pt>
                <c:pt idx="2">
                  <c:v>84352</c:v>
                </c:pt>
                <c:pt idx="3">
                  <c:v>168664</c:v>
                </c:pt>
                <c:pt idx="4">
                  <c:v>393596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68-4154-B17B-AAEBAF972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846206362932956"/>
          <c:y val="0.33044838145231847"/>
          <c:w val="0.33263620226662416"/>
          <c:h val="0.639471055701370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[Milestone1.xlsx]Pivot tables!PivotTable4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tables'!$H$4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tables'!$G$5:$G$7</c:f>
              <c:strCache>
                <c:ptCount val="2"/>
                <c:pt idx="0">
                  <c:v>Passive</c:v>
                </c:pt>
                <c:pt idx="1">
                  <c:v>Salary</c:v>
                </c:pt>
              </c:strCache>
            </c:strRef>
          </c:cat>
          <c:val>
            <c:numRef>
              <c:f>'Pivot tables'!$H$5:$H$7</c:f>
              <c:numCache>
                <c:formatCode>General</c:formatCode>
                <c:ptCount val="2"/>
                <c:pt idx="0">
                  <c:v>370560</c:v>
                </c:pt>
                <c:pt idx="1">
                  <c:v>1200000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39-4C02-BC7B-B988FD82C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179167"/>
        <c:axId val="1745179647"/>
      </c:barChart>
      <c:catAx>
        <c:axId val="174517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179647"/>
        <c:crosses val="autoZero"/>
        <c:auto val="1"/>
        <c:lblAlgn val="ctr"/>
        <c:lblOffset val="100"/>
        <c:noMultiLvlLbl val="0"/>
      </c:catAx>
      <c:valAx>
        <c:axId val="174517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179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[Milestone1.xlsx]Pivot tables!PivotTable5</c:name>
    <c:fmtId val="2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tables'!$K$4:$K$5</c:f>
              <c:strCache>
                <c:ptCount val="1"/>
                <c:pt idx="0">
                  <c:v>Living Expenses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tables'!$J$6:$J$10</c:f>
              <c:strCache>
                <c:ptCount val="4"/>
                <c:pt idx="0">
                  <c:v>Flat Expenses</c:v>
                </c:pt>
                <c:pt idx="1">
                  <c:v>Green's</c:v>
                </c:pt>
                <c:pt idx="2">
                  <c:v>Phone</c:v>
                </c:pt>
                <c:pt idx="3">
                  <c:v>Power source</c:v>
                </c:pt>
              </c:strCache>
            </c:strRef>
          </c:cat>
          <c:val>
            <c:numRef>
              <c:f>'Pivot tables'!$K$6:$K$10</c:f>
              <c:numCache>
                <c:formatCode>0.00%</c:formatCode>
                <c:ptCount val="4"/>
                <c:pt idx="0">
                  <c:v>0.54878606489903348</c:v>
                </c:pt>
                <c:pt idx="1">
                  <c:v>0.3935532881431722</c:v>
                </c:pt>
                <c:pt idx="2">
                  <c:v>2.439049177329038E-2</c:v>
                </c:pt>
                <c:pt idx="3">
                  <c:v>3.3270155184503908E-2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4A-4164-8581-A366721FC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5193087"/>
        <c:axId val="1745191647"/>
      </c:barChart>
      <c:catAx>
        <c:axId val="17451930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191647"/>
        <c:auto val="1"/>
        <c:lblAlgn val="ctr"/>
        <c:lblOffset val="100"/>
        <c:noMultiLvlLbl val="0"/>
      </c:catAx>
      <c:valAx>
        <c:axId val="174519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193087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[Milestone1.xlsx]Pivot tables!PivotTable6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tables'!$N$4</c:f>
              <c:strCache>
                <c:ptCount val="1"/>
                <c:pt idx="0">
                  <c:v>Sum of Debit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tables'!$M$5:$M$16</c:f>
              <c:strCache>
                <c:ptCount val="11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</c:strCache>
            </c:strRef>
          </c:cat>
          <c:val>
            <c:numRef>
              <c:f>'Pivot tables'!$N$5:$N$16</c:f>
              <c:numCache>
                <c:formatCode>General</c:formatCode>
                <c:ptCount val="11"/>
                <c:pt idx="0">
                  <c:v>53496</c:v>
                </c:pt>
                <c:pt idx="1">
                  <c:v>70648</c:v>
                </c:pt>
                <c:pt idx="2">
                  <c:v>83007</c:v>
                </c:pt>
                <c:pt idx="3">
                  <c:v>62593</c:v>
                </c:pt>
                <c:pt idx="4">
                  <c:v>76271</c:v>
                </c:pt>
                <c:pt idx="5">
                  <c:v>69372</c:v>
                </c:pt>
                <c:pt idx="6">
                  <c:v>72831</c:v>
                </c:pt>
                <c:pt idx="7">
                  <c:v>72573</c:v>
                </c:pt>
                <c:pt idx="8">
                  <c:v>71651</c:v>
                </c:pt>
                <c:pt idx="9">
                  <c:v>74891</c:v>
                </c:pt>
                <c:pt idx="10">
                  <c:v>17251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38-4F07-8797-39C7E2FB154A}"/>
            </c:ext>
          </c:extLst>
        </c:ser>
        <c:ser>
          <c:idx val="1"/>
          <c:order val="1"/>
          <c:tx>
            <c:strRef>
              <c:f>'Pivot tables'!$O$4</c:f>
              <c:strCache>
                <c:ptCount val="1"/>
                <c:pt idx="0">
                  <c:v>Sum of Credit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tables'!$M$5:$M$16</c:f>
              <c:strCache>
                <c:ptCount val="11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</c:strCache>
            </c:strRef>
          </c:cat>
          <c:val>
            <c:numRef>
              <c:f>'Pivot tables'!$O$5:$O$16</c:f>
              <c:numCache>
                <c:formatCode>General</c:formatCode>
                <c:ptCount val="11"/>
                <c:pt idx="0">
                  <c:v>336000</c:v>
                </c:pt>
                <c:pt idx="1">
                  <c:v>139200</c:v>
                </c:pt>
                <c:pt idx="2">
                  <c:v>144000</c:v>
                </c:pt>
                <c:pt idx="3">
                  <c:v>176160</c:v>
                </c:pt>
                <c:pt idx="4">
                  <c:v>144000</c:v>
                </c:pt>
                <c:pt idx="5">
                  <c:v>122400</c:v>
                </c:pt>
                <c:pt idx="6">
                  <c:v>124800</c:v>
                </c:pt>
                <c:pt idx="7">
                  <c:v>139200</c:v>
                </c:pt>
                <c:pt idx="8">
                  <c:v>122400</c:v>
                </c:pt>
                <c:pt idx="9">
                  <c:v>122400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38-4F07-8797-39C7E2FB154A}"/>
            </c:ext>
          </c:extLst>
        </c:ser>
        <c:ser>
          <c:idx val="2"/>
          <c:order val="2"/>
          <c:tx>
            <c:strRef>
              <c:f>'Pivot tables'!$P$4</c:f>
              <c:strCache>
                <c:ptCount val="1"/>
                <c:pt idx="0">
                  <c:v>Sum of Balance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tables'!$M$5:$M$16</c:f>
              <c:strCache>
                <c:ptCount val="11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</c:strCache>
            </c:strRef>
          </c:cat>
          <c:val>
            <c:numRef>
              <c:f>'Pivot tables'!$P$5:$P$16</c:f>
              <c:numCache>
                <c:formatCode>General</c:formatCode>
                <c:ptCount val="11"/>
                <c:pt idx="0">
                  <c:v>282504</c:v>
                </c:pt>
                <c:pt idx="1">
                  <c:v>68552</c:v>
                </c:pt>
                <c:pt idx="2">
                  <c:v>60993</c:v>
                </c:pt>
                <c:pt idx="3">
                  <c:v>113567</c:v>
                </c:pt>
                <c:pt idx="4">
                  <c:v>67729</c:v>
                </c:pt>
                <c:pt idx="5">
                  <c:v>53028</c:v>
                </c:pt>
                <c:pt idx="6">
                  <c:v>51969</c:v>
                </c:pt>
                <c:pt idx="7">
                  <c:v>66627</c:v>
                </c:pt>
                <c:pt idx="8">
                  <c:v>50749</c:v>
                </c:pt>
                <c:pt idx="9">
                  <c:v>47509</c:v>
                </c:pt>
                <c:pt idx="10">
                  <c:v>-17251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38-4F07-8797-39C7E2FB1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80142111"/>
        <c:axId val="1580140671"/>
      </c:barChart>
      <c:catAx>
        <c:axId val="158014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140671"/>
        <c:crosses val="autoZero"/>
        <c:auto val="1"/>
        <c:lblAlgn val="ctr"/>
        <c:lblOffset val="100"/>
        <c:noMultiLvlLbl val="0"/>
      </c:catAx>
      <c:valAx>
        <c:axId val="158014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14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[Milestone1.xlsx]Pivot tables!PivotTable6</c:name>
    <c:fmtId val="1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shade val="65000"/>
              </a:schemeClr>
            </a:solidFill>
            <a:ln w="9525">
              <a:solidFill>
                <a:schemeClr val="accent1">
                  <a:shade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tint val="65000"/>
              </a:schemeClr>
            </a:solidFill>
            <a:ln w="9525">
              <a:solidFill>
                <a:schemeClr val="accent1">
                  <a:tint val="6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tables'!$N$4</c:f>
              <c:strCache>
                <c:ptCount val="1"/>
                <c:pt idx="0">
                  <c:v>Sum of Debit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tables'!$M$5:$M$16</c:f>
              <c:strCache>
                <c:ptCount val="11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</c:strCache>
            </c:strRef>
          </c:cat>
          <c:val>
            <c:numRef>
              <c:f>'Pivot tables'!$N$5:$N$16</c:f>
              <c:numCache>
                <c:formatCode>General</c:formatCode>
                <c:ptCount val="11"/>
                <c:pt idx="0">
                  <c:v>53496</c:v>
                </c:pt>
                <c:pt idx="1">
                  <c:v>70648</c:v>
                </c:pt>
                <c:pt idx="2">
                  <c:v>83007</c:v>
                </c:pt>
                <c:pt idx="3">
                  <c:v>62593</c:v>
                </c:pt>
                <c:pt idx="4">
                  <c:v>76271</c:v>
                </c:pt>
                <c:pt idx="5">
                  <c:v>69372</c:v>
                </c:pt>
                <c:pt idx="6">
                  <c:v>72831</c:v>
                </c:pt>
                <c:pt idx="7">
                  <c:v>72573</c:v>
                </c:pt>
                <c:pt idx="8">
                  <c:v>71651</c:v>
                </c:pt>
                <c:pt idx="9">
                  <c:v>74891</c:v>
                </c:pt>
                <c:pt idx="10">
                  <c:v>17251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E1-4FC3-BBE8-3B176AA20B98}"/>
            </c:ext>
          </c:extLst>
        </c:ser>
        <c:ser>
          <c:idx val="1"/>
          <c:order val="1"/>
          <c:tx>
            <c:strRef>
              <c:f>'Pivot tables'!$O$4</c:f>
              <c:strCache>
                <c:ptCount val="1"/>
                <c:pt idx="0">
                  <c:v>Sum of Credit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tables'!$M$5:$M$16</c:f>
              <c:strCache>
                <c:ptCount val="11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</c:strCache>
            </c:strRef>
          </c:cat>
          <c:val>
            <c:numRef>
              <c:f>'Pivot tables'!$O$5:$O$16</c:f>
              <c:numCache>
                <c:formatCode>General</c:formatCode>
                <c:ptCount val="11"/>
                <c:pt idx="0">
                  <c:v>336000</c:v>
                </c:pt>
                <c:pt idx="1">
                  <c:v>139200</c:v>
                </c:pt>
                <c:pt idx="2">
                  <c:v>144000</c:v>
                </c:pt>
                <c:pt idx="3">
                  <c:v>176160</c:v>
                </c:pt>
                <c:pt idx="4">
                  <c:v>144000</c:v>
                </c:pt>
                <c:pt idx="5">
                  <c:v>122400</c:v>
                </c:pt>
                <c:pt idx="6">
                  <c:v>124800</c:v>
                </c:pt>
                <c:pt idx="7">
                  <c:v>139200</c:v>
                </c:pt>
                <c:pt idx="8">
                  <c:v>122400</c:v>
                </c:pt>
                <c:pt idx="9">
                  <c:v>122400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E1-4FC3-BBE8-3B176AA20B98}"/>
            </c:ext>
          </c:extLst>
        </c:ser>
        <c:ser>
          <c:idx val="2"/>
          <c:order val="2"/>
          <c:tx>
            <c:strRef>
              <c:f>'Pivot tables'!$P$4</c:f>
              <c:strCache>
                <c:ptCount val="1"/>
                <c:pt idx="0">
                  <c:v>Sum of Balance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tables'!$M$5:$M$16</c:f>
              <c:strCache>
                <c:ptCount val="11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</c:strCache>
            </c:strRef>
          </c:cat>
          <c:val>
            <c:numRef>
              <c:f>'Pivot tables'!$P$5:$P$16</c:f>
              <c:numCache>
                <c:formatCode>General</c:formatCode>
                <c:ptCount val="11"/>
                <c:pt idx="0">
                  <c:v>282504</c:v>
                </c:pt>
                <c:pt idx="1">
                  <c:v>68552</c:v>
                </c:pt>
                <c:pt idx="2">
                  <c:v>60993</c:v>
                </c:pt>
                <c:pt idx="3">
                  <c:v>113567</c:v>
                </c:pt>
                <c:pt idx="4">
                  <c:v>67729</c:v>
                </c:pt>
                <c:pt idx="5">
                  <c:v>53028</c:v>
                </c:pt>
                <c:pt idx="6">
                  <c:v>51969</c:v>
                </c:pt>
                <c:pt idx="7">
                  <c:v>66627</c:v>
                </c:pt>
                <c:pt idx="8">
                  <c:v>50749</c:v>
                </c:pt>
                <c:pt idx="9">
                  <c:v>47509</c:v>
                </c:pt>
                <c:pt idx="10">
                  <c:v>-17251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E1-4FC3-BBE8-3B176AA20B9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699167"/>
        <c:axId val="118715967"/>
      </c:barChart>
      <c:catAx>
        <c:axId val="1186991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15967"/>
        <c:crosses val="autoZero"/>
        <c:auto val="1"/>
        <c:lblAlgn val="ctr"/>
        <c:lblOffset val="100"/>
        <c:noMultiLvlLbl val="0"/>
      </c:catAx>
      <c:valAx>
        <c:axId val="11871596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99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[Milestone1.xlsx]Pivot tables!PivotTable1</c:name>
    <c:fmtId val="3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162439793361685"/>
          <c:y val="0.1856710962705593"/>
          <c:w val="0.77099002942332651"/>
          <c:h val="0.407643510893516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tables'!$A$5:$A$11</c:f>
              <c:strCache>
                <c:ptCount val="6"/>
                <c:pt idx="0">
                  <c:v>Charity</c:v>
                </c:pt>
                <c:pt idx="1">
                  <c:v>Dining Out</c:v>
                </c:pt>
                <c:pt idx="2">
                  <c:v>Discretionary</c:v>
                </c:pt>
                <c:pt idx="3">
                  <c:v>Living Expenses</c:v>
                </c:pt>
                <c:pt idx="4">
                  <c:v>Medical</c:v>
                </c:pt>
                <c:pt idx="5">
                  <c:v>Transport</c:v>
                </c:pt>
              </c:strCache>
            </c:strRef>
          </c:cat>
          <c:val>
            <c:numRef>
              <c:f>'Pivot tables'!$B$5:$B$11</c:f>
              <c:numCache>
                <c:formatCode>General</c:formatCode>
                <c:ptCount val="6"/>
                <c:pt idx="0">
                  <c:v>13200</c:v>
                </c:pt>
                <c:pt idx="1">
                  <c:v>59372</c:v>
                </c:pt>
                <c:pt idx="2">
                  <c:v>168664</c:v>
                </c:pt>
                <c:pt idx="3">
                  <c:v>393596</c:v>
                </c:pt>
                <c:pt idx="4">
                  <c:v>5400</c:v>
                </c:pt>
                <c:pt idx="5">
                  <c:v>84352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9-4230-B278-99E5ADF29C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0133951"/>
        <c:axId val="1580134431"/>
      </c:barChart>
      <c:catAx>
        <c:axId val="158013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134431"/>
        <c:crosses val="autoZero"/>
        <c:auto val="1"/>
        <c:lblAlgn val="ctr"/>
        <c:lblOffset val="100"/>
        <c:noMultiLvlLbl val="0"/>
      </c:catAx>
      <c:valAx>
        <c:axId val="158013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13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[Milestone1.xlsx]Pivot tables!PivotTable4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tables'!$H$4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tables'!$G$5:$G$7</c:f>
              <c:strCache>
                <c:ptCount val="2"/>
                <c:pt idx="0">
                  <c:v>Passive</c:v>
                </c:pt>
                <c:pt idx="1">
                  <c:v>Salary</c:v>
                </c:pt>
              </c:strCache>
            </c:strRef>
          </c:cat>
          <c:val>
            <c:numRef>
              <c:f>'Pivot tables'!$H$5:$H$7</c:f>
              <c:numCache>
                <c:formatCode>General</c:formatCode>
                <c:ptCount val="2"/>
                <c:pt idx="0">
                  <c:v>370560</c:v>
                </c:pt>
                <c:pt idx="1">
                  <c:v>1200000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A2-429C-9921-862CCCEDF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179167"/>
        <c:axId val="1745179647"/>
      </c:barChart>
      <c:catAx>
        <c:axId val="1745179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179647"/>
        <c:crosses val="autoZero"/>
        <c:auto val="1"/>
        <c:lblAlgn val="ctr"/>
        <c:lblOffset val="100"/>
        <c:noMultiLvlLbl val="0"/>
      </c:catAx>
      <c:valAx>
        <c:axId val="174517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179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[Milestone1.xlsx]Pivot tables!PivotTable2</c:name>
    <c:fmtId val="1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tables'!$E$4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13-45FB-B7FD-35B0057442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13-45FB-B7FD-35B0057442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13-45FB-B7FD-35B0057442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313-45FB-B7FD-35B0057442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313-45FB-B7FD-35B00574429F}"/>
              </c:ext>
            </c:extLst>
          </c:dPt>
          <c:cat>
            <c:strRef>
              <c:f>'Pivot tables'!$D$5:$D$10</c:f>
              <c:strCache>
                <c:ptCount val="5"/>
                <c:pt idx="0">
                  <c:v>Charity</c:v>
                </c:pt>
                <c:pt idx="1">
                  <c:v>Dining Out</c:v>
                </c:pt>
                <c:pt idx="2">
                  <c:v>Transport</c:v>
                </c:pt>
                <c:pt idx="3">
                  <c:v>Discretionary</c:v>
                </c:pt>
                <c:pt idx="4">
                  <c:v>Living Expenses</c:v>
                </c:pt>
              </c:strCache>
            </c:strRef>
          </c:cat>
          <c:val>
            <c:numRef>
              <c:f>'Pivot tables'!$E$5:$E$10</c:f>
              <c:numCache>
                <c:formatCode>General</c:formatCode>
                <c:ptCount val="5"/>
                <c:pt idx="0">
                  <c:v>13200</c:v>
                </c:pt>
                <c:pt idx="1">
                  <c:v>59372</c:v>
                </c:pt>
                <c:pt idx="2">
                  <c:v>84352</c:v>
                </c:pt>
                <c:pt idx="3">
                  <c:v>168664</c:v>
                </c:pt>
                <c:pt idx="4">
                  <c:v>393596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313-45FB-B7FD-35B005744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0521491372977254"/>
          <c:y val="0.14437906667050387"/>
          <c:w val="0.36588342119358136"/>
          <c:h val="0.752441899100786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[Milestone1.xlsx]Pivot tables!PivotTable5</c:name>
    <c:fmtId val="27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627277283842436"/>
          <c:y val="0.18405959871049907"/>
          <c:w val="0.72998907926973045"/>
          <c:h val="0.3989300528233848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tables'!$K$4:$K$5</c:f>
              <c:strCache>
                <c:ptCount val="1"/>
                <c:pt idx="0">
                  <c:v>Living Expenses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'Pivot tables'!$J$6:$J$10</c:f>
              <c:strCache>
                <c:ptCount val="4"/>
                <c:pt idx="0">
                  <c:v>Flat Expenses</c:v>
                </c:pt>
                <c:pt idx="1">
                  <c:v>Green's</c:v>
                </c:pt>
                <c:pt idx="2">
                  <c:v>Phone</c:v>
                </c:pt>
                <c:pt idx="3">
                  <c:v>Power source</c:v>
                </c:pt>
              </c:strCache>
            </c:strRef>
          </c:cat>
          <c:val>
            <c:numRef>
              <c:f>'Pivot tables'!$K$6:$K$10</c:f>
              <c:numCache>
                <c:formatCode>0.00%</c:formatCode>
                <c:ptCount val="4"/>
                <c:pt idx="0">
                  <c:v>0.54878606489903348</c:v>
                </c:pt>
                <c:pt idx="1">
                  <c:v>0.3935532881431722</c:v>
                </c:pt>
                <c:pt idx="2">
                  <c:v>2.439049177329038E-2</c:v>
                </c:pt>
                <c:pt idx="3">
                  <c:v>3.3270155184503908E-2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CB-4B0F-A1B4-706A90E7F2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5193087"/>
        <c:axId val="1745191647"/>
      </c:barChart>
      <c:catAx>
        <c:axId val="17451930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191647"/>
        <c:crosses val="autoZero"/>
        <c:auto val="1"/>
        <c:lblAlgn val="ctr"/>
        <c:lblOffset val="100"/>
        <c:noMultiLvlLbl val="0"/>
      </c:catAx>
      <c:valAx>
        <c:axId val="174519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193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[Milestone1.xlsx]Pivot tables!PivotTable6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tables'!$N$4</c:f>
              <c:strCache>
                <c:ptCount val="1"/>
                <c:pt idx="0">
                  <c:v>Sum of Debit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tables'!$M$5:$M$16</c:f>
              <c:strCache>
                <c:ptCount val="11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</c:strCache>
            </c:strRef>
          </c:cat>
          <c:val>
            <c:numRef>
              <c:f>'Pivot tables'!$N$5:$N$16</c:f>
              <c:numCache>
                <c:formatCode>General</c:formatCode>
                <c:ptCount val="11"/>
                <c:pt idx="0">
                  <c:v>53496</c:v>
                </c:pt>
                <c:pt idx="1">
                  <c:v>70648</c:v>
                </c:pt>
                <c:pt idx="2">
                  <c:v>83007</c:v>
                </c:pt>
                <c:pt idx="3">
                  <c:v>62593</c:v>
                </c:pt>
                <c:pt idx="4">
                  <c:v>76271</c:v>
                </c:pt>
                <c:pt idx="5">
                  <c:v>69372</c:v>
                </c:pt>
                <c:pt idx="6">
                  <c:v>72831</c:v>
                </c:pt>
                <c:pt idx="7">
                  <c:v>72573</c:v>
                </c:pt>
                <c:pt idx="8">
                  <c:v>71651</c:v>
                </c:pt>
                <c:pt idx="9">
                  <c:v>74891</c:v>
                </c:pt>
                <c:pt idx="10">
                  <c:v>17251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F2-4ABC-9FB8-6A034B0AEA6E}"/>
            </c:ext>
          </c:extLst>
        </c:ser>
        <c:ser>
          <c:idx val="1"/>
          <c:order val="1"/>
          <c:tx>
            <c:strRef>
              <c:f>'Pivot tables'!$O$4</c:f>
              <c:strCache>
                <c:ptCount val="1"/>
                <c:pt idx="0">
                  <c:v>Sum of Credit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tables'!$M$5:$M$16</c:f>
              <c:strCache>
                <c:ptCount val="11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</c:strCache>
            </c:strRef>
          </c:cat>
          <c:val>
            <c:numRef>
              <c:f>'Pivot tables'!$O$5:$O$16</c:f>
              <c:numCache>
                <c:formatCode>General</c:formatCode>
                <c:ptCount val="11"/>
                <c:pt idx="0">
                  <c:v>336000</c:v>
                </c:pt>
                <c:pt idx="1">
                  <c:v>139200</c:v>
                </c:pt>
                <c:pt idx="2">
                  <c:v>144000</c:v>
                </c:pt>
                <c:pt idx="3">
                  <c:v>176160</c:v>
                </c:pt>
                <c:pt idx="4">
                  <c:v>144000</c:v>
                </c:pt>
                <c:pt idx="5">
                  <c:v>122400</c:v>
                </c:pt>
                <c:pt idx="6">
                  <c:v>124800</c:v>
                </c:pt>
                <c:pt idx="7">
                  <c:v>139200</c:v>
                </c:pt>
                <c:pt idx="8">
                  <c:v>122400</c:v>
                </c:pt>
                <c:pt idx="9">
                  <c:v>122400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F2-4ABC-9FB8-6A034B0AEA6E}"/>
            </c:ext>
          </c:extLst>
        </c:ser>
        <c:ser>
          <c:idx val="2"/>
          <c:order val="2"/>
          <c:tx>
            <c:strRef>
              <c:f>'Pivot tables'!$P$4</c:f>
              <c:strCache>
                <c:ptCount val="1"/>
                <c:pt idx="0">
                  <c:v>Sum of Balance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'Pivot tables'!$M$5:$M$16</c:f>
              <c:strCache>
                <c:ptCount val="11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</c:strCache>
            </c:strRef>
          </c:cat>
          <c:val>
            <c:numRef>
              <c:f>'Pivot tables'!$P$5:$P$16</c:f>
              <c:numCache>
                <c:formatCode>General</c:formatCode>
                <c:ptCount val="11"/>
                <c:pt idx="0">
                  <c:v>282504</c:v>
                </c:pt>
                <c:pt idx="1">
                  <c:v>68552</c:v>
                </c:pt>
                <c:pt idx="2">
                  <c:v>60993</c:v>
                </c:pt>
                <c:pt idx="3">
                  <c:v>113567</c:v>
                </c:pt>
                <c:pt idx="4">
                  <c:v>67729</c:v>
                </c:pt>
                <c:pt idx="5">
                  <c:v>53028</c:v>
                </c:pt>
                <c:pt idx="6">
                  <c:v>51969</c:v>
                </c:pt>
                <c:pt idx="7">
                  <c:v>66627</c:v>
                </c:pt>
                <c:pt idx="8">
                  <c:v>50749</c:v>
                </c:pt>
                <c:pt idx="9">
                  <c:v>47509</c:v>
                </c:pt>
                <c:pt idx="10">
                  <c:v>-17251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F2-4ABC-9FB8-6A034B0AEA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80142111"/>
        <c:axId val="1580140671"/>
      </c:barChart>
      <c:catAx>
        <c:axId val="1580142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140671"/>
        <c:crosses val="autoZero"/>
        <c:auto val="1"/>
        <c:lblAlgn val="ctr"/>
        <c:lblOffset val="100"/>
        <c:noMultiLvlLbl val="0"/>
      </c:catAx>
      <c:valAx>
        <c:axId val="158014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0142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134</xdr:row>
      <xdr:rowOff>15240</xdr:rowOff>
    </xdr:from>
    <xdr:to>
      <xdr:col>11</xdr:col>
      <xdr:colOff>160020</xdr:colOff>
      <xdr:row>149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D8C48E-FFB7-4568-9CCB-0A8367D981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906780</xdr:colOff>
      <xdr:row>98</xdr:row>
      <xdr:rowOff>0</xdr:rowOff>
    </xdr:from>
    <xdr:to>
      <xdr:col>11</xdr:col>
      <xdr:colOff>662940</xdr:colOff>
      <xdr:row>114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2068FC1-E5EB-E862-7D5B-F51CFAEACB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251460</xdr:colOff>
      <xdr:row>116</xdr:row>
      <xdr:rowOff>15240</xdr:rowOff>
    </xdr:from>
    <xdr:to>
      <xdr:col>7</xdr:col>
      <xdr:colOff>106680</xdr:colOff>
      <xdr:row>131</xdr:row>
      <xdr:rowOff>53340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F02065-77B2-76EE-A420-537296D09A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60960</xdr:colOff>
      <xdr:row>116</xdr:row>
      <xdr:rowOff>106680</xdr:rowOff>
    </xdr:from>
    <xdr:to>
      <xdr:col>11</xdr:col>
      <xdr:colOff>777240</xdr:colOff>
      <xdr:row>133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941E220-D70C-48CB-F1B4-D02117DAF8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769620</xdr:colOff>
      <xdr:row>98</xdr:row>
      <xdr:rowOff>60960</xdr:rowOff>
    </xdr:from>
    <xdr:to>
      <xdr:col>8</xdr:col>
      <xdr:colOff>701040</xdr:colOff>
      <xdr:row>114</xdr:row>
      <xdr:rowOff>121920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1450BF0-3CF1-B3D3-6C31-793BE3DC2B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411480</xdr:colOff>
      <xdr:row>116</xdr:row>
      <xdr:rowOff>95250</xdr:rowOff>
    </xdr:from>
    <xdr:to>
      <xdr:col>17</xdr:col>
      <xdr:colOff>426720</xdr:colOff>
      <xdr:row>132</xdr:row>
      <xdr:rowOff>156210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BF1F2BD-4B65-1A91-0746-B42BA556CD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140368</xdr:rowOff>
    </xdr:from>
    <xdr:to>
      <xdr:col>18</xdr:col>
      <xdr:colOff>240631</xdr:colOff>
      <xdr:row>40</xdr:row>
      <xdr:rowOff>60158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27F86662-0068-0CA0-7A97-E32C6308D949}"/>
            </a:ext>
          </a:extLst>
        </xdr:cNvPr>
        <xdr:cNvSpPr/>
      </xdr:nvSpPr>
      <xdr:spPr>
        <a:xfrm>
          <a:off x="1223211" y="481263"/>
          <a:ext cx="10026315" cy="6396790"/>
        </a:xfrm>
        <a:prstGeom prst="rect">
          <a:avLst/>
        </a:prstGeom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169898</xdr:colOff>
      <xdr:row>3</xdr:row>
      <xdr:rowOff>107150</xdr:rowOff>
    </xdr:from>
    <xdr:to>
      <xdr:col>18</xdr:col>
      <xdr:colOff>84666</xdr:colOff>
      <xdr:row>39</xdr:row>
      <xdr:rowOff>56444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588AFD3-A0E0-B085-EF33-03BBF0AD6465}"/>
            </a:ext>
          </a:extLst>
        </xdr:cNvPr>
        <xdr:cNvSpPr/>
      </xdr:nvSpPr>
      <xdr:spPr>
        <a:xfrm>
          <a:off x="1392861" y="615150"/>
          <a:ext cx="9698472" cy="6045294"/>
        </a:xfrm>
        <a:prstGeom prst="rect">
          <a:avLst/>
        </a:prstGeom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43839</xdr:colOff>
      <xdr:row>6</xdr:row>
      <xdr:rowOff>102071</xdr:rowOff>
    </xdr:from>
    <xdr:to>
      <xdr:col>9</xdr:col>
      <xdr:colOff>395112</xdr:colOff>
      <xdr:row>18</xdr:row>
      <xdr:rowOff>150519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5D7D3D-F26E-4576-A2CC-15B5A9E366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156727</xdr:colOff>
      <xdr:row>6</xdr:row>
      <xdr:rowOff>83255</xdr:rowOff>
    </xdr:from>
    <xdr:to>
      <xdr:col>17</xdr:col>
      <xdr:colOff>206963</xdr:colOff>
      <xdr:row>18</xdr:row>
      <xdr:rowOff>122296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542A706-6CC2-422A-87F0-36004CB725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9408</xdr:colOff>
      <xdr:row>21</xdr:row>
      <xdr:rowOff>55034</xdr:rowOff>
    </xdr:from>
    <xdr:to>
      <xdr:col>6</xdr:col>
      <xdr:colOff>479778</xdr:colOff>
      <xdr:row>32</xdr:row>
      <xdr:rowOff>84666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7191EF6-4A0E-4416-B09B-5B00395F8A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25024</xdr:colOff>
      <xdr:row>21</xdr:row>
      <xdr:rowOff>64440</xdr:rowOff>
    </xdr:from>
    <xdr:to>
      <xdr:col>11</xdr:col>
      <xdr:colOff>188148</xdr:colOff>
      <xdr:row>32</xdr:row>
      <xdr:rowOff>103481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F916178-3264-42F8-A3A1-2114A5A091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131703</xdr:colOff>
      <xdr:row>4</xdr:row>
      <xdr:rowOff>112889</xdr:rowOff>
    </xdr:from>
    <xdr:to>
      <xdr:col>14</xdr:col>
      <xdr:colOff>272815</xdr:colOff>
      <xdr:row>6</xdr:row>
      <xdr:rowOff>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F6F3BB8-7B38-5164-E7E9-5F3D52949346}"/>
            </a:ext>
          </a:extLst>
        </xdr:cNvPr>
        <xdr:cNvSpPr txBox="1"/>
      </xdr:nvSpPr>
      <xdr:spPr>
        <a:xfrm>
          <a:off x="6247756" y="794678"/>
          <a:ext cx="2587533" cy="228006"/>
        </a:xfrm>
        <a:prstGeom prst="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Income Sources</a:t>
          </a:r>
          <a:endParaRPr lang="en-IN" sz="1100"/>
        </a:p>
      </xdr:txBody>
    </xdr:sp>
    <xdr:clientData/>
  </xdr:twoCellAnchor>
  <xdr:twoCellAnchor>
    <xdr:from>
      <xdr:col>11</xdr:col>
      <xdr:colOff>326060</xdr:colOff>
      <xdr:row>21</xdr:row>
      <xdr:rowOff>45627</xdr:rowOff>
    </xdr:from>
    <xdr:to>
      <xdr:col>17</xdr:col>
      <xdr:colOff>479778</xdr:colOff>
      <xdr:row>32</xdr:row>
      <xdr:rowOff>103481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340524A-3E9C-44A7-A82A-9635DDE5FC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65851</xdr:colOff>
      <xdr:row>4</xdr:row>
      <xdr:rowOff>141113</xdr:rowOff>
    </xdr:from>
    <xdr:to>
      <xdr:col>7</xdr:col>
      <xdr:colOff>206962</xdr:colOff>
      <xdr:row>6</xdr:row>
      <xdr:rowOff>9407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CAE93D0-8C14-0A25-A275-4F5919D7E140}"/>
            </a:ext>
          </a:extLst>
        </xdr:cNvPr>
        <xdr:cNvSpPr txBox="1"/>
      </xdr:nvSpPr>
      <xdr:spPr>
        <a:xfrm>
          <a:off x="1900295" y="818446"/>
          <a:ext cx="2587037" cy="206961"/>
        </a:xfrm>
        <a:prstGeom prst="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Expense Amount by Category</a:t>
          </a:r>
          <a:endParaRPr lang="en-IN" sz="1100" b="1"/>
        </a:p>
      </xdr:txBody>
    </xdr:sp>
    <xdr:clientData/>
  </xdr:twoCellAnchor>
  <xdr:twoCellAnchor>
    <xdr:from>
      <xdr:col>2</xdr:col>
      <xdr:colOff>592665</xdr:colOff>
      <xdr:row>19</xdr:row>
      <xdr:rowOff>94075</xdr:rowOff>
    </xdr:from>
    <xdr:to>
      <xdr:col>6</xdr:col>
      <xdr:colOff>489184</xdr:colOff>
      <xdr:row>21</xdr:row>
      <xdr:rowOff>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DE4E2164-756C-11E2-FF76-3B525A8EFAC4}"/>
            </a:ext>
          </a:extLst>
        </xdr:cNvPr>
        <xdr:cNvSpPr txBox="1"/>
      </xdr:nvSpPr>
      <xdr:spPr>
        <a:xfrm>
          <a:off x="1815628" y="3311408"/>
          <a:ext cx="2342445" cy="244592"/>
        </a:xfrm>
        <a:prstGeom prst="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Most Significant Expense -Top 5</a:t>
          </a:r>
          <a:endParaRPr lang="en-IN" sz="1100"/>
        </a:p>
      </xdr:txBody>
    </xdr:sp>
    <xdr:clientData/>
  </xdr:twoCellAnchor>
  <xdr:twoCellAnchor>
    <xdr:from>
      <xdr:col>11</xdr:col>
      <xdr:colOff>329260</xdr:colOff>
      <xdr:row>19</xdr:row>
      <xdr:rowOff>103482</xdr:rowOff>
    </xdr:from>
    <xdr:to>
      <xdr:col>16</xdr:col>
      <xdr:colOff>376296</xdr:colOff>
      <xdr:row>20</xdr:row>
      <xdr:rowOff>159926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AC28A2D-C4ED-2AF5-5241-F74E1CC82EE1}"/>
            </a:ext>
          </a:extLst>
        </xdr:cNvPr>
        <xdr:cNvSpPr txBox="1"/>
      </xdr:nvSpPr>
      <xdr:spPr>
        <a:xfrm>
          <a:off x="7055556" y="3320815"/>
          <a:ext cx="3104444" cy="225778"/>
        </a:xfrm>
        <a:prstGeom prst="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Monthly Debit</a:t>
          </a:r>
          <a:endParaRPr lang="en-IN" sz="1100" b="1"/>
        </a:p>
      </xdr:txBody>
    </xdr:sp>
    <xdr:clientData/>
  </xdr:twoCellAnchor>
  <xdr:twoCellAnchor>
    <xdr:from>
      <xdr:col>7</xdr:col>
      <xdr:colOff>47037</xdr:colOff>
      <xdr:row>19</xdr:row>
      <xdr:rowOff>75259</xdr:rowOff>
    </xdr:from>
    <xdr:to>
      <xdr:col>9</xdr:col>
      <xdr:colOff>526815</xdr:colOff>
      <xdr:row>20</xdr:row>
      <xdr:rowOff>159925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F5929F0-CCEA-3782-4426-638CDB9911FF}"/>
            </a:ext>
          </a:extLst>
        </xdr:cNvPr>
        <xdr:cNvSpPr txBox="1"/>
      </xdr:nvSpPr>
      <xdr:spPr>
        <a:xfrm>
          <a:off x="4327407" y="3292592"/>
          <a:ext cx="1702741" cy="254000"/>
        </a:xfrm>
        <a:prstGeom prst="rect">
          <a:avLst/>
        </a:prstGeom>
        <a:ln/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Living Expenses</a:t>
          </a:r>
          <a:endParaRPr lang="en-IN" b="1">
            <a:effectLst/>
          </a:endParaRPr>
        </a:p>
        <a:p>
          <a:endParaRPr lang="en-IN" sz="1100" b="1"/>
        </a:p>
      </xdr:txBody>
    </xdr:sp>
    <xdr:clientData/>
  </xdr:twoCellAnchor>
  <xdr:twoCellAnchor>
    <xdr:from>
      <xdr:col>3</xdr:col>
      <xdr:colOff>9408</xdr:colOff>
      <xdr:row>34</xdr:row>
      <xdr:rowOff>0</xdr:rowOff>
    </xdr:from>
    <xdr:to>
      <xdr:col>6</xdr:col>
      <xdr:colOff>0</xdr:colOff>
      <xdr:row>38</xdr:row>
      <xdr:rowOff>18815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B48207E3-E6B8-0491-2326-8CC726879FB5}"/>
            </a:ext>
          </a:extLst>
        </xdr:cNvPr>
        <xdr:cNvSpPr/>
      </xdr:nvSpPr>
      <xdr:spPr>
        <a:xfrm>
          <a:off x="1843852" y="5757333"/>
          <a:ext cx="1825037" cy="696149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Total Expences</a:t>
          </a:r>
        </a:p>
        <a:p>
          <a:pPr algn="ctr"/>
          <a:endParaRPr lang="en-IN" sz="1100" b="1"/>
        </a:p>
        <a:p>
          <a:pPr algn="ctr"/>
          <a:r>
            <a:rPr lang="en-IN" sz="1100" b="1"/>
            <a:t>724584</a:t>
          </a:r>
        </a:p>
      </xdr:txBody>
    </xdr:sp>
    <xdr:clientData/>
  </xdr:twoCellAnchor>
  <xdr:twoCellAnchor>
    <xdr:from>
      <xdr:col>6</xdr:col>
      <xdr:colOff>499158</xdr:colOff>
      <xdr:row>34</xdr:row>
      <xdr:rowOff>13077</xdr:rowOff>
    </xdr:from>
    <xdr:to>
      <xdr:col>9</xdr:col>
      <xdr:colOff>489751</xdr:colOff>
      <xdr:row>38</xdr:row>
      <xdr:rowOff>31892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21505AF2-4BC6-40A5-B568-D3B99A2FCA01}"/>
            </a:ext>
          </a:extLst>
        </xdr:cNvPr>
        <xdr:cNvSpPr/>
      </xdr:nvSpPr>
      <xdr:spPr>
        <a:xfrm>
          <a:off x="4168047" y="5770410"/>
          <a:ext cx="1825037" cy="696149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Total</a:t>
          </a:r>
          <a:r>
            <a:rPr lang="en-IN" sz="1100" b="1" baseline="0"/>
            <a:t> Income</a:t>
          </a:r>
        </a:p>
        <a:p>
          <a:pPr algn="ctr"/>
          <a:endParaRPr lang="en-IN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1570560</a:t>
          </a:r>
          <a:r>
            <a:rPr lang="en-IN" b="1">
              <a:effectLst/>
            </a:rPr>
            <a:t> </a:t>
          </a:r>
          <a:endParaRPr lang="en-IN" sz="1100" b="1"/>
        </a:p>
      </xdr:txBody>
    </xdr:sp>
    <xdr:clientData/>
  </xdr:twoCellAnchor>
  <xdr:twoCellAnchor>
    <xdr:from>
      <xdr:col>14</xdr:col>
      <xdr:colOff>350520</xdr:colOff>
      <xdr:row>34</xdr:row>
      <xdr:rowOff>5551</xdr:rowOff>
    </xdr:from>
    <xdr:to>
      <xdr:col>17</xdr:col>
      <xdr:colOff>341113</xdr:colOff>
      <xdr:row>38</xdr:row>
      <xdr:rowOff>24366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2D62114B-6A65-49DA-B22C-7FCB76E09C58}"/>
            </a:ext>
          </a:extLst>
        </xdr:cNvPr>
        <xdr:cNvSpPr/>
      </xdr:nvSpPr>
      <xdr:spPr>
        <a:xfrm>
          <a:off x="8911261" y="5762884"/>
          <a:ext cx="1825037" cy="696149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Credit</a:t>
          </a:r>
          <a:r>
            <a:rPr lang="en-IN" b="1">
              <a:effectLst/>
            </a:rPr>
            <a:t> -&gt;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100.00%</a:t>
          </a:r>
        </a:p>
        <a:p>
          <a:pPr algn="l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Debit %</a:t>
          </a:r>
          <a:r>
            <a:rPr lang="en-IN" b="1">
              <a:effectLst/>
            </a:rPr>
            <a:t> -&gt;</a:t>
          </a:r>
          <a:r>
            <a:rPr lang="en-IN" b="1" baseline="0">
              <a:effectLst/>
            </a:rPr>
            <a:t>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46%</a:t>
          </a:r>
          <a:r>
            <a:rPr lang="en-IN" b="1">
              <a:effectLst/>
            </a:rPr>
            <a:t> </a:t>
          </a:r>
        </a:p>
        <a:p>
          <a:pPr algn="l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Saving% -&gt; </a:t>
          </a:r>
          <a:r>
            <a:rPr lang="en-IN" b="1">
              <a:effectLst/>
            </a:rPr>
            <a:t> </a:t>
          </a:r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54%</a:t>
          </a:r>
          <a:r>
            <a:rPr lang="en-IN" b="1">
              <a:effectLst/>
            </a:rPr>
            <a:t> </a:t>
          </a:r>
          <a:endParaRPr lang="en-IN" sz="1100" b="1"/>
        </a:p>
      </xdr:txBody>
    </xdr:sp>
    <xdr:clientData/>
  </xdr:twoCellAnchor>
  <xdr:twoCellAnchor>
    <xdr:from>
      <xdr:col>10</xdr:col>
      <xdr:colOff>408847</xdr:colOff>
      <xdr:row>33</xdr:row>
      <xdr:rowOff>167359</xdr:rowOff>
    </xdr:from>
    <xdr:to>
      <xdr:col>13</xdr:col>
      <xdr:colOff>399440</xdr:colOff>
      <xdr:row>38</xdr:row>
      <xdr:rowOff>16841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ABF5A43E-C464-4680-8F02-A5FE70FF5660}"/>
            </a:ext>
          </a:extLst>
        </xdr:cNvPr>
        <xdr:cNvSpPr/>
      </xdr:nvSpPr>
      <xdr:spPr>
        <a:xfrm>
          <a:off x="6523662" y="5755359"/>
          <a:ext cx="1825037" cy="696149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IN" sz="1100" b="1"/>
            <a:t>Total Saving</a:t>
          </a:r>
        </a:p>
        <a:p>
          <a:pPr algn="ctr"/>
          <a:endParaRPr lang="en-IN" sz="1100" b="1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IN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845976</a:t>
          </a:r>
          <a:r>
            <a:rPr lang="en-IN" b="1">
              <a:effectLst/>
            </a:rPr>
            <a:t> </a:t>
          </a:r>
          <a:endParaRPr lang="en-IN" sz="11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ik Garud" refreshedDate="45930.617066203704" createdVersion="8" refreshedVersion="8" minRefreshableVersion="3" recordCount="486" xr:uid="{AB7A9151-E4CF-4823-A558-8424A5575FA3}">
  <cacheSource type="worksheet">
    <worksheetSource ref="A1:G487" sheet="cleaned data"/>
  </cacheSource>
  <cacheFields count="7">
    <cacheField name="Date" numFmtId="164">
      <sharedItems containsSemiMixedTypes="0" containsNonDate="0" containsDate="1" containsString="0" minDate="2024-01-09T00:00:00" maxDate="2024-11-05T00:00:00"/>
    </cacheField>
    <cacheField name="Description" numFmtId="0">
      <sharedItems count="30">
        <s v="Nextleap DAF"/>
        <s v="Drink"/>
        <s v="Flat Expenses"/>
        <s v="EMI"/>
        <s v="Green's"/>
        <s v="Power source"/>
        <s v="Fuel"/>
        <s v="Cinemas"/>
        <s v="Zara Clothes"/>
        <s v="Swiggy"/>
        <s v="Ola"/>
        <s v="Onlne earning"/>
        <s v="Phone"/>
        <s v="Family and Friends surprises"/>
        <s v="Online streaming"/>
        <s v="Office Lunch"/>
        <s v="Evening snacks"/>
        <s v="Orphanage"/>
        <s v="Trainers"/>
        <s v="Hangingout/Ticket"/>
        <s v="Myntra Accesories"/>
        <s v="Global Fashion"/>
        <s v="Taken medication"/>
        <s v="Decathlon"/>
        <s v="Foodary"/>
        <s v="Clubing"/>
        <s v="Home décor"/>
        <s v="Feedings"/>
        <s v="Sarojini Nagar"/>
        <s v="H&amp;m Visit"/>
      </sharedItems>
    </cacheField>
    <cacheField name="Debit" numFmtId="0">
      <sharedItems containsSemiMixedTypes="0" containsString="0" containsNumber="1" containsInteger="1" minValue="0" maxValue="21600" count="177">
        <n v="0"/>
        <n v="120"/>
        <n v="21600"/>
        <n v="3600"/>
        <n v="3720"/>
        <n v="1200"/>
        <n v="1848"/>
        <n v="3240"/>
        <n v="960"/>
        <n v="2352"/>
        <n v="1248"/>
        <n v="672"/>
        <n v="1080"/>
        <n v="768"/>
        <n v="4080"/>
        <n v="888"/>
        <n v="288"/>
        <n v="1320"/>
        <n v="1512"/>
        <n v="3888"/>
        <n v="3000"/>
        <n v="4200"/>
        <n v="3480"/>
        <n v="552"/>
        <n v="4920"/>
        <n v="1226"/>
        <n v="1872"/>
        <n v="3262"/>
        <n v="982"/>
        <n v="2376"/>
        <n v="1272"/>
        <n v="694"/>
        <n v="1102"/>
        <n v="840"/>
        <n v="4104"/>
        <n v="910"/>
        <n v="310"/>
        <n v="1538"/>
        <n v="3910"/>
        <n v="3022"/>
        <n v="3288"/>
        <n v="3506"/>
        <n v="578"/>
        <n v="3576"/>
        <n v="1250"/>
        <n v="1894"/>
        <n v="1003"/>
        <n v="2398"/>
        <n v="1296"/>
        <n v="720"/>
        <n v="1800"/>
        <n v="1123"/>
        <n v="4126"/>
        <n v="936"/>
        <n v="336"/>
        <n v="1560"/>
        <n v="5016"/>
        <n v="3048"/>
        <n v="4253"/>
        <n v="3530"/>
        <n v="600"/>
        <n v="360"/>
        <n v="3797"/>
        <n v="1277"/>
        <n v="1918"/>
        <n v="1027"/>
        <n v="2422"/>
        <n v="1318"/>
        <n v="744"/>
        <n v="1150"/>
        <n v="4152"/>
        <n v="962"/>
        <n v="362"/>
        <n v="1584"/>
        <n v="3958"/>
        <n v="3070"/>
        <n v="7200"/>
        <n v="3554"/>
        <n v="626"/>
        <n v="1298"/>
        <n v="1944"/>
        <n v="3338"/>
        <n v="1054"/>
        <n v="2443"/>
        <n v="1342"/>
        <n v="1176"/>
        <n v="4176"/>
        <n v="986"/>
        <n v="389"/>
        <n v="1608"/>
        <n v="3979"/>
        <n v="3091"/>
        <n v="5640"/>
        <n v="3581"/>
        <n v="653"/>
        <n v="2856"/>
        <n v="1970"/>
        <n v="3365"/>
        <n v="1078"/>
        <n v="2470"/>
        <n v="1366"/>
        <n v="794"/>
        <n v="1202"/>
        <n v="5616"/>
        <n v="1010"/>
        <n v="410"/>
        <n v="1630"/>
        <n v="4006"/>
        <n v="3118"/>
        <n v="4327"/>
        <n v="3602"/>
        <n v="677"/>
        <n v="4320"/>
        <n v="1346"/>
        <n v="1994"/>
        <n v="3386"/>
        <n v="1099"/>
        <n v="2491"/>
        <n v="1392"/>
        <n v="821"/>
        <n v="4224"/>
        <n v="1034"/>
        <n v="437"/>
        <n v="1651"/>
        <n v="4632"/>
        <n v="3139"/>
        <n v="4354"/>
        <n v="3629"/>
        <n v="703"/>
        <n v="1368"/>
        <n v="2021"/>
        <n v="3410"/>
        <n v="2513"/>
        <n v="1418"/>
        <n v="842"/>
        <n v="4248"/>
        <n v="1061"/>
        <n v="461"/>
        <n v="1673"/>
        <n v="2808"/>
        <n v="3166"/>
        <n v="4378"/>
        <n v="3655"/>
        <n v="727"/>
        <n v="3922"/>
        <n v="1394"/>
        <n v="2047"/>
        <n v="3432"/>
        <n v="1147"/>
        <n v="2539"/>
        <n v="1442"/>
        <n v="869"/>
        <n v="4270"/>
        <n v="1087"/>
        <n v="482"/>
        <n v="1694"/>
        <n v="5352"/>
        <n v="3190"/>
        <n v="3682"/>
        <n v="749"/>
        <n v="2520"/>
        <n v="1416"/>
        <n v="2074"/>
        <n v="3454"/>
        <n v="1171"/>
        <n v="2561"/>
        <n v="1466"/>
        <n v="893"/>
        <n v="4294"/>
        <n v="1109"/>
        <n v="506"/>
        <n v="1716"/>
        <n v="4536"/>
        <n v="3211"/>
        <n v="4426"/>
        <n v="3708"/>
        <n v="770"/>
      </sharedItems>
    </cacheField>
    <cacheField name="Credit" numFmtId="0">
      <sharedItems containsSemiMixedTypes="0" containsString="0" containsNumber="1" containsInteger="1" minValue="0" maxValue="120000" count="8">
        <n v="120000"/>
        <n v="0"/>
        <n v="108000"/>
        <n v="19200"/>
        <n v="24000"/>
        <n v="56160"/>
        <n v="2400"/>
        <n v="4800"/>
      </sharedItems>
    </cacheField>
    <cacheField name="Sub-category" numFmtId="0">
      <sharedItems count="19">
        <s v="Nextleap DAF"/>
        <s v="Coffee"/>
        <s v="Rent"/>
        <s v="Cash loan"/>
        <s v="Groceries"/>
        <s v="Gas/Electrics"/>
        <s v="Entertainment"/>
        <s v="Clothes"/>
        <s v="Restaurant"/>
        <s v="Taxi"/>
        <s v="YouTube"/>
        <s v="Teachable"/>
        <s v="Phone"/>
        <s v="Gifts"/>
        <s v="Donation"/>
        <s v="Fueling"/>
        <s v="Data with Decision"/>
        <s v="Doctor"/>
        <s v="Furnishings"/>
      </sharedItems>
    </cacheField>
    <cacheField name="Category" numFmtId="0">
      <sharedItems count="8">
        <s v="Salary"/>
        <s v="Dining Out"/>
        <s v="Living Expenses"/>
        <s v="Transport"/>
        <s v="Discretionary"/>
        <s v="Passive"/>
        <s v="Charity"/>
        <s v="Medical"/>
      </sharedItems>
    </cacheField>
    <cacheField name="Category Type" numFmtId="0">
      <sharedItems count="2">
        <s v="Income"/>
        <s v="Expense"/>
      </sharedItems>
    </cacheField>
  </cacheFields>
  <extLst>
    <ext xmlns:x14="http://schemas.microsoft.com/office/spreadsheetml/2009/9/main" uri="{725AE2AE-9491-48be-B2B4-4EB974FC3084}">
      <x14:pivotCacheDefinition pivotCacheId="68108463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ik Garud" refreshedDate="45930.654383564812" createdVersion="8" refreshedVersion="8" minRefreshableVersion="3" recordCount="486" xr:uid="{392B6CDD-CC77-4967-B28C-E058D9D7D771}">
  <cacheSource type="worksheet">
    <worksheetSource ref="A1:H487" sheet="cleaned data"/>
  </cacheSource>
  <cacheFields count="12">
    <cacheField name="Date" numFmtId="164">
      <sharedItems containsSemiMixedTypes="0" containsNonDate="0" containsDate="1" containsString="0" minDate="2024-01-09T00:00:00" maxDate="2024-11-05T00:00:00"/>
    </cacheField>
    <cacheField name="Description" numFmtId="0">
      <sharedItems/>
    </cacheField>
    <cacheField name="Debit" numFmtId="0">
      <sharedItems containsSemiMixedTypes="0" containsString="0" containsNumber="1" containsInteger="1" minValue="0" maxValue="21600"/>
    </cacheField>
    <cacheField name="Credit" numFmtId="0">
      <sharedItems containsSemiMixedTypes="0" containsString="0" containsNumber="1" containsInteger="1" minValue="0" maxValue="120000"/>
    </cacheField>
    <cacheField name="Sub-category" numFmtId="0">
      <sharedItems/>
    </cacheField>
    <cacheField name="Category" numFmtId="0">
      <sharedItems/>
    </cacheField>
    <cacheField name="Category Type" numFmtId="0">
      <sharedItems/>
    </cacheField>
    <cacheField name="Month" numFmtId="0">
      <sharedItems count="11">
        <s v="January"/>
        <s v="February"/>
        <s v="March"/>
        <s v="April"/>
        <s v="May"/>
        <s v="June"/>
        <s v="July"/>
        <s v="August"/>
        <s v="September"/>
        <s v="October"/>
        <s v="November"/>
      </sharedItems>
    </cacheField>
    <cacheField name="Balance" numFmtId="0" formula="Credit -Debit" databaseField="0"/>
    <cacheField name="Savings" numFmtId="0" formula="Credit -Debit" databaseField="0"/>
    <cacheField name="Debit % of Credit" numFmtId="0" formula="Debit/Credit" databaseField="0"/>
    <cacheField name="Balance% of Credit" numFmtId="0" formula=" (Credit-Debit) /Credi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tik Garud" refreshedDate="45930.678596990743" createdVersion="8" refreshedVersion="8" minRefreshableVersion="3" recordCount="486" xr:uid="{0FFED3CE-73FD-4E97-A5AA-9C7DA263B75E}">
  <cacheSource type="worksheet">
    <worksheetSource ref="A1:I487" sheet="cleaned data"/>
  </cacheSource>
  <cacheFields count="9">
    <cacheField name="Date" numFmtId="164">
      <sharedItems containsSemiMixedTypes="0" containsNonDate="0" containsDate="1" containsString="0" minDate="2024-01-09T00:00:00" maxDate="2024-11-05T00:00:00"/>
    </cacheField>
    <cacheField name="Description" numFmtId="0">
      <sharedItems/>
    </cacheField>
    <cacheField name="Debit" numFmtId="0">
      <sharedItems containsSemiMixedTypes="0" containsString="0" containsNumber="1" containsInteger="1" minValue="0" maxValue="21600"/>
    </cacheField>
    <cacheField name="Credit" numFmtId="0">
      <sharedItems containsSemiMixedTypes="0" containsString="0" containsNumber="1" containsInteger="1" minValue="0" maxValue="120000"/>
    </cacheField>
    <cacheField name="Sub-category" numFmtId="0">
      <sharedItems/>
    </cacheField>
    <cacheField name="Category" numFmtId="0">
      <sharedItems/>
    </cacheField>
    <cacheField name="Category Type" numFmtId="0">
      <sharedItems/>
    </cacheField>
    <cacheField name="Month" numFmtId="0">
      <sharedItems/>
    </cacheField>
    <cacheField name="Week" numFmtId="0">
      <sharedItems containsSemiMixedTypes="0" containsString="0" containsNumber="1" containsInteger="1" minValue="2" maxValue="45" count="44"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6">
  <r>
    <d v="2024-01-09T00:00:00"/>
    <x v="0"/>
    <x v="0"/>
    <x v="0"/>
    <x v="0"/>
    <x v="0"/>
    <x v="0"/>
  </r>
  <r>
    <d v="2024-01-09T00:00:00"/>
    <x v="1"/>
    <x v="1"/>
    <x v="1"/>
    <x v="1"/>
    <x v="1"/>
    <x v="1"/>
  </r>
  <r>
    <d v="2024-01-10T00:00:00"/>
    <x v="2"/>
    <x v="2"/>
    <x v="1"/>
    <x v="2"/>
    <x v="2"/>
    <x v="1"/>
  </r>
  <r>
    <d v="2024-01-10T00:00:00"/>
    <x v="3"/>
    <x v="3"/>
    <x v="1"/>
    <x v="3"/>
    <x v="3"/>
    <x v="1"/>
  </r>
  <r>
    <d v="2024-01-10T00:00:00"/>
    <x v="1"/>
    <x v="1"/>
    <x v="1"/>
    <x v="1"/>
    <x v="1"/>
    <x v="1"/>
  </r>
  <r>
    <d v="2024-01-11T00:00:00"/>
    <x v="1"/>
    <x v="1"/>
    <x v="1"/>
    <x v="1"/>
    <x v="1"/>
    <x v="1"/>
  </r>
  <r>
    <d v="2024-01-12T00:00:00"/>
    <x v="1"/>
    <x v="1"/>
    <x v="1"/>
    <x v="1"/>
    <x v="1"/>
    <x v="1"/>
  </r>
  <r>
    <d v="2024-01-13T00:00:00"/>
    <x v="1"/>
    <x v="1"/>
    <x v="1"/>
    <x v="1"/>
    <x v="1"/>
    <x v="1"/>
  </r>
  <r>
    <d v="2024-01-13T00:00:00"/>
    <x v="4"/>
    <x v="4"/>
    <x v="1"/>
    <x v="4"/>
    <x v="2"/>
    <x v="1"/>
  </r>
  <r>
    <d v="2024-01-16T00:00:00"/>
    <x v="5"/>
    <x v="5"/>
    <x v="1"/>
    <x v="5"/>
    <x v="2"/>
    <x v="1"/>
  </r>
  <r>
    <d v="2024-01-16T00:00:00"/>
    <x v="1"/>
    <x v="1"/>
    <x v="1"/>
    <x v="1"/>
    <x v="1"/>
    <x v="1"/>
  </r>
  <r>
    <d v="2024-01-17T00:00:00"/>
    <x v="1"/>
    <x v="1"/>
    <x v="1"/>
    <x v="1"/>
    <x v="1"/>
    <x v="1"/>
  </r>
  <r>
    <d v="2024-01-18T00:00:00"/>
    <x v="6"/>
    <x v="6"/>
    <x v="1"/>
    <x v="1"/>
    <x v="1"/>
    <x v="1"/>
  </r>
  <r>
    <d v="2024-01-18T00:00:00"/>
    <x v="1"/>
    <x v="1"/>
    <x v="1"/>
    <x v="1"/>
    <x v="1"/>
    <x v="1"/>
  </r>
  <r>
    <d v="2024-01-19T00:00:00"/>
    <x v="1"/>
    <x v="1"/>
    <x v="1"/>
    <x v="1"/>
    <x v="1"/>
    <x v="1"/>
  </r>
  <r>
    <d v="2024-01-20T00:00:00"/>
    <x v="4"/>
    <x v="7"/>
    <x v="1"/>
    <x v="4"/>
    <x v="2"/>
    <x v="1"/>
  </r>
  <r>
    <d v="2024-01-20T00:00:00"/>
    <x v="1"/>
    <x v="1"/>
    <x v="1"/>
    <x v="1"/>
    <x v="1"/>
    <x v="1"/>
  </r>
  <r>
    <d v="2024-01-21T00:00:00"/>
    <x v="1"/>
    <x v="1"/>
    <x v="1"/>
    <x v="1"/>
    <x v="1"/>
    <x v="1"/>
  </r>
  <r>
    <d v="2024-01-21T00:00:00"/>
    <x v="7"/>
    <x v="8"/>
    <x v="1"/>
    <x v="6"/>
    <x v="4"/>
    <x v="1"/>
  </r>
  <r>
    <d v="2024-01-21T00:00:00"/>
    <x v="8"/>
    <x v="9"/>
    <x v="1"/>
    <x v="7"/>
    <x v="4"/>
    <x v="1"/>
  </r>
  <r>
    <d v="2024-01-21T00:00:00"/>
    <x v="9"/>
    <x v="10"/>
    <x v="1"/>
    <x v="8"/>
    <x v="1"/>
    <x v="1"/>
  </r>
  <r>
    <d v="2024-01-22T00:00:00"/>
    <x v="10"/>
    <x v="11"/>
    <x v="1"/>
    <x v="9"/>
    <x v="3"/>
    <x v="1"/>
  </r>
  <r>
    <d v="2024-01-23T00:00:00"/>
    <x v="11"/>
    <x v="0"/>
    <x v="2"/>
    <x v="10"/>
    <x v="5"/>
    <x v="0"/>
  </r>
  <r>
    <d v="2024-01-23T00:00:00"/>
    <x v="1"/>
    <x v="1"/>
    <x v="1"/>
    <x v="1"/>
    <x v="1"/>
    <x v="1"/>
  </r>
  <r>
    <d v="2024-01-24T00:00:00"/>
    <x v="1"/>
    <x v="1"/>
    <x v="1"/>
    <x v="1"/>
    <x v="1"/>
    <x v="1"/>
  </r>
  <r>
    <d v="2024-01-24T00:00:00"/>
    <x v="11"/>
    <x v="0"/>
    <x v="2"/>
    <x v="11"/>
    <x v="5"/>
    <x v="0"/>
  </r>
  <r>
    <d v="2024-01-24T00:00:00"/>
    <x v="12"/>
    <x v="8"/>
    <x v="1"/>
    <x v="12"/>
    <x v="2"/>
    <x v="1"/>
  </r>
  <r>
    <d v="2024-01-25T00:00:00"/>
    <x v="13"/>
    <x v="12"/>
    <x v="1"/>
    <x v="13"/>
    <x v="4"/>
    <x v="1"/>
  </r>
  <r>
    <d v="2024-01-25T00:00:00"/>
    <x v="14"/>
    <x v="13"/>
    <x v="1"/>
    <x v="6"/>
    <x v="4"/>
    <x v="1"/>
  </r>
  <r>
    <d v="2024-01-25T00:00:00"/>
    <x v="1"/>
    <x v="1"/>
    <x v="1"/>
    <x v="1"/>
    <x v="1"/>
    <x v="1"/>
  </r>
  <r>
    <d v="2024-01-26T00:00:00"/>
    <x v="1"/>
    <x v="1"/>
    <x v="1"/>
    <x v="1"/>
    <x v="1"/>
    <x v="1"/>
  </r>
  <r>
    <d v="2024-01-27T00:00:00"/>
    <x v="1"/>
    <x v="1"/>
    <x v="1"/>
    <x v="1"/>
    <x v="1"/>
    <x v="1"/>
  </r>
  <r>
    <d v="2024-01-27T00:00:00"/>
    <x v="4"/>
    <x v="14"/>
    <x v="1"/>
    <x v="4"/>
    <x v="2"/>
    <x v="1"/>
  </r>
  <r>
    <d v="2024-01-28T00:00:00"/>
    <x v="15"/>
    <x v="15"/>
    <x v="1"/>
    <x v="8"/>
    <x v="1"/>
    <x v="1"/>
  </r>
  <r>
    <d v="2024-01-29T00:00:00"/>
    <x v="16"/>
    <x v="16"/>
    <x v="1"/>
    <x v="8"/>
    <x v="1"/>
    <x v="1"/>
  </r>
  <r>
    <d v="2024-01-30T00:00:00"/>
    <x v="17"/>
    <x v="17"/>
    <x v="1"/>
    <x v="14"/>
    <x v="6"/>
    <x v="1"/>
  </r>
  <r>
    <d v="2024-01-30T00:00:00"/>
    <x v="6"/>
    <x v="18"/>
    <x v="1"/>
    <x v="15"/>
    <x v="3"/>
    <x v="1"/>
  </r>
  <r>
    <d v="2024-01-30T00:00:00"/>
    <x v="1"/>
    <x v="1"/>
    <x v="1"/>
    <x v="1"/>
    <x v="1"/>
    <x v="1"/>
  </r>
  <r>
    <d v="2024-01-31T00:00:00"/>
    <x v="1"/>
    <x v="1"/>
    <x v="1"/>
    <x v="1"/>
    <x v="1"/>
    <x v="1"/>
  </r>
  <r>
    <d v="2024-02-01T00:00:00"/>
    <x v="1"/>
    <x v="1"/>
    <x v="1"/>
    <x v="1"/>
    <x v="1"/>
    <x v="1"/>
  </r>
  <r>
    <d v="2024-02-02T00:00:00"/>
    <x v="1"/>
    <x v="1"/>
    <x v="1"/>
    <x v="1"/>
    <x v="1"/>
    <x v="1"/>
  </r>
  <r>
    <d v="2024-02-03T00:00:00"/>
    <x v="1"/>
    <x v="1"/>
    <x v="1"/>
    <x v="1"/>
    <x v="1"/>
    <x v="1"/>
  </r>
  <r>
    <d v="2024-02-03T00:00:00"/>
    <x v="4"/>
    <x v="19"/>
    <x v="1"/>
    <x v="4"/>
    <x v="2"/>
    <x v="1"/>
  </r>
  <r>
    <d v="2024-02-04T00:00:00"/>
    <x v="18"/>
    <x v="20"/>
    <x v="1"/>
    <x v="7"/>
    <x v="4"/>
    <x v="1"/>
  </r>
  <r>
    <d v="2024-02-04T00:00:00"/>
    <x v="19"/>
    <x v="21"/>
    <x v="1"/>
    <x v="6"/>
    <x v="4"/>
    <x v="1"/>
  </r>
  <r>
    <d v="2024-02-05T00:00:00"/>
    <x v="8"/>
    <x v="22"/>
    <x v="1"/>
    <x v="7"/>
    <x v="4"/>
    <x v="1"/>
  </r>
  <r>
    <d v="2024-02-05T00:00:00"/>
    <x v="10"/>
    <x v="23"/>
    <x v="1"/>
    <x v="9"/>
    <x v="3"/>
    <x v="1"/>
  </r>
  <r>
    <d v="2024-02-06T00:00:00"/>
    <x v="0"/>
    <x v="0"/>
    <x v="0"/>
    <x v="16"/>
    <x v="0"/>
    <x v="0"/>
  </r>
  <r>
    <d v="2024-02-06T00:00:00"/>
    <x v="1"/>
    <x v="1"/>
    <x v="1"/>
    <x v="1"/>
    <x v="1"/>
    <x v="1"/>
  </r>
  <r>
    <d v="2024-02-07T00:00:00"/>
    <x v="2"/>
    <x v="2"/>
    <x v="1"/>
    <x v="2"/>
    <x v="2"/>
    <x v="1"/>
  </r>
  <r>
    <d v="2024-02-07T00:00:00"/>
    <x v="3"/>
    <x v="3"/>
    <x v="1"/>
    <x v="3"/>
    <x v="3"/>
    <x v="1"/>
  </r>
  <r>
    <d v="2024-02-07T00:00:00"/>
    <x v="1"/>
    <x v="1"/>
    <x v="1"/>
    <x v="1"/>
    <x v="1"/>
    <x v="1"/>
  </r>
  <r>
    <d v="2024-02-08T00:00:00"/>
    <x v="1"/>
    <x v="1"/>
    <x v="1"/>
    <x v="1"/>
    <x v="1"/>
    <x v="1"/>
  </r>
  <r>
    <d v="2024-02-09T00:00:00"/>
    <x v="1"/>
    <x v="1"/>
    <x v="1"/>
    <x v="1"/>
    <x v="1"/>
    <x v="1"/>
  </r>
  <r>
    <d v="2024-02-10T00:00:00"/>
    <x v="1"/>
    <x v="1"/>
    <x v="1"/>
    <x v="1"/>
    <x v="1"/>
    <x v="1"/>
  </r>
  <r>
    <d v="2024-02-10T00:00:00"/>
    <x v="4"/>
    <x v="24"/>
    <x v="1"/>
    <x v="4"/>
    <x v="2"/>
    <x v="1"/>
  </r>
  <r>
    <d v="2024-02-13T00:00:00"/>
    <x v="5"/>
    <x v="25"/>
    <x v="1"/>
    <x v="5"/>
    <x v="2"/>
    <x v="1"/>
  </r>
  <r>
    <d v="2024-02-13T00:00:00"/>
    <x v="1"/>
    <x v="1"/>
    <x v="1"/>
    <x v="1"/>
    <x v="1"/>
    <x v="1"/>
  </r>
  <r>
    <d v="2024-02-14T00:00:00"/>
    <x v="1"/>
    <x v="1"/>
    <x v="1"/>
    <x v="1"/>
    <x v="1"/>
    <x v="1"/>
  </r>
  <r>
    <d v="2024-02-15T00:00:00"/>
    <x v="6"/>
    <x v="26"/>
    <x v="1"/>
    <x v="15"/>
    <x v="3"/>
    <x v="1"/>
  </r>
  <r>
    <d v="2024-02-15T00:00:00"/>
    <x v="1"/>
    <x v="1"/>
    <x v="1"/>
    <x v="1"/>
    <x v="1"/>
    <x v="1"/>
  </r>
  <r>
    <d v="2024-02-16T00:00:00"/>
    <x v="1"/>
    <x v="1"/>
    <x v="1"/>
    <x v="1"/>
    <x v="1"/>
    <x v="1"/>
  </r>
  <r>
    <d v="2024-02-17T00:00:00"/>
    <x v="4"/>
    <x v="27"/>
    <x v="1"/>
    <x v="4"/>
    <x v="2"/>
    <x v="1"/>
  </r>
  <r>
    <d v="2024-02-17T00:00:00"/>
    <x v="1"/>
    <x v="1"/>
    <x v="1"/>
    <x v="1"/>
    <x v="1"/>
    <x v="1"/>
  </r>
  <r>
    <d v="2024-02-18T00:00:00"/>
    <x v="1"/>
    <x v="1"/>
    <x v="1"/>
    <x v="1"/>
    <x v="1"/>
    <x v="1"/>
  </r>
  <r>
    <d v="2024-02-18T00:00:00"/>
    <x v="7"/>
    <x v="28"/>
    <x v="1"/>
    <x v="6"/>
    <x v="4"/>
    <x v="1"/>
  </r>
  <r>
    <d v="2024-02-18T00:00:00"/>
    <x v="20"/>
    <x v="29"/>
    <x v="1"/>
    <x v="7"/>
    <x v="4"/>
    <x v="1"/>
  </r>
  <r>
    <d v="2024-02-18T00:00:00"/>
    <x v="9"/>
    <x v="30"/>
    <x v="1"/>
    <x v="8"/>
    <x v="1"/>
    <x v="1"/>
  </r>
  <r>
    <d v="2024-02-19T00:00:00"/>
    <x v="10"/>
    <x v="31"/>
    <x v="1"/>
    <x v="9"/>
    <x v="3"/>
    <x v="1"/>
  </r>
  <r>
    <d v="2024-02-20T00:00:00"/>
    <x v="11"/>
    <x v="0"/>
    <x v="3"/>
    <x v="10"/>
    <x v="5"/>
    <x v="0"/>
  </r>
  <r>
    <d v="2024-02-20T00:00:00"/>
    <x v="1"/>
    <x v="1"/>
    <x v="1"/>
    <x v="1"/>
    <x v="1"/>
    <x v="1"/>
  </r>
  <r>
    <d v="2024-02-21T00:00:00"/>
    <x v="1"/>
    <x v="1"/>
    <x v="1"/>
    <x v="1"/>
    <x v="1"/>
    <x v="1"/>
  </r>
  <r>
    <d v="2024-02-21T00:00:00"/>
    <x v="12"/>
    <x v="8"/>
    <x v="1"/>
    <x v="12"/>
    <x v="2"/>
    <x v="1"/>
  </r>
  <r>
    <d v="2024-02-22T00:00:00"/>
    <x v="13"/>
    <x v="32"/>
    <x v="1"/>
    <x v="13"/>
    <x v="4"/>
    <x v="1"/>
  </r>
  <r>
    <d v="2024-02-22T00:00:00"/>
    <x v="14"/>
    <x v="33"/>
    <x v="1"/>
    <x v="6"/>
    <x v="4"/>
    <x v="1"/>
  </r>
  <r>
    <d v="2024-02-22T00:00:00"/>
    <x v="1"/>
    <x v="1"/>
    <x v="1"/>
    <x v="1"/>
    <x v="1"/>
    <x v="1"/>
  </r>
  <r>
    <d v="2024-02-23T00:00:00"/>
    <x v="1"/>
    <x v="1"/>
    <x v="1"/>
    <x v="1"/>
    <x v="1"/>
    <x v="1"/>
  </r>
  <r>
    <d v="2024-02-24T00:00:00"/>
    <x v="1"/>
    <x v="1"/>
    <x v="1"/>
    <x v="1"/>
    <x v="1"/>
    <x v="1"/>
  </r>
  <r>
    <d v="2024-02-24T00:00:00"/>
    <x v="4"/>
    <x v="34"/>
    <x v="1"/>
    <x v="4"/>
    <x v="2"/>
    <x v="1"/>
  </r>
  <r>
    <d v="2024-02-25T00:00:00"/>
    <x v="15"/>
    <x v="35"/>
    <x v="1"/>
    <x v="8"/>
    <x v="1"/>
    <x v="1"/>
  </r>
  <r>
    <d v="2024-02-26T00:00:00"/>
    <x v="16"/>
    <x v="36"/>
    <x v="1"/>
    <x v="8"/>
    <x v="1"/>
    <x v="1"/>
  </r>
  <r>
    <d v="2024-02-27T00:00:00"/>
    <x v="17"/>
    <x v="17"/>
    <x v="1"/>
    <x v="14"/>
    <x v="6"/>
    <x v="1"/>
  </r>
  <r>
    <d v="2024-02-27T00:00:00"/>
    <x v="6"/>
    <x v="37"/>
    <x v="1"/>
    <x v="15"/>
    <x v="3"/>
    <x v="1"/>
  </r>
  <r>
    <d v="2024-02-27T00:00:00"/>
    <x v="1"/>
    <x v="1"/>
    <x v="1"/>
    <x v="1"/>
    <x v="1"/>
    <x v="1"/>
  </r>
  <r>
    <d v="2024-02-28T00:00:00"/>
    <x v="1"/>
    <x v="1"/>
    <x v="1"/>
    <x v="1"/>
    <x v="1"/>
    <x v="1"/>
  </r>
  <r>
    <d v="2024-02-29T00:00:00"/>
    <x v="1"/>
    <x v="1"/>
    <x v="1"/>
    <x v="1"/>
    <x v="1"/>
    <x v="1"/>
  </r>
  <r>
    <d v="2024-03-01T00:00:00"/>
    <x v="1"/>
    <x v="1"/>
    <x v="1"/>
    <x v="1"/>
    <x v="1"/>
    <x v="1"/>
  </r>
  <r>
    <d v="2024-03-02T00:00:00"/>
    <x v="1"/>
    <x v="1"/>
    <x v="1"/>
    <x v="1"/>
    <x v="1"/>
    <x v="1"/>
  </r>
  <r>
    <d v="2024-03-02T00:00:00"/>
    <x v="4"/>
    <x v="38"/>
    <x v="1"/>
    <x v="4"/>
    <x v="2"/>
    <x v="1"/>
  </r>
  <r>
    <d v="2024-03-03T00:00:00"/>
    <x v="18"/>
    <x v="39"/>
    <x v="1"/>
    <x v="7"/>
    <x v="4"/>
    <x v="1"/>
  </r>
  <r>
    <d v="2024-03-03T00:00:00"/>
    <x v="21"/>
    <x v="40"/>
    <x v="1"/>
    <x v="7"/>
    <x v="4"/>
    <x v="1"/>
  </r>
  <r>
    <d v="2024-03-04T00:00:00"/>
    <x v="8"/>
    <x v="41"/>
    <x v="1"/>
    <x v="7"/>
    <x v="4"/>
    <x v="1"/>
  </r>
  <r>
    <d v="2024-03-04T00:00:00"/>
    <x v="10"/>
    <x v="42"/>
    <x v="1"/>
    <x v="9"/>
    <x v="3"/>
    <x v="1"/>
  </r>
  <r>
    <d v="2024-03-05T00:00:00"/>
    <x v="0"/>
    <x v="0"/>
    <x v="0"/>
    <x v="16"/>
    <x v="0"/>
    <x v="0"/>
  </r>
  <r>
    <d v="2024-03-05T00:00:00"/>
    <x v="1"/>
    <x v="1"/>
    <x v="1"/>
    <x v="1"/>
    <x v="1"/>
    <x v="1"/>
  </r>
  <r>
    <d v="2024-03-06T00:00:00"/>
    <x v="2"/>
    <x v="2"/>
    <x v="1"/>
    <x v="2"/>
    <x v="2"/>
    <x v="1"/>
  </r>
  <r>
    <d v="2024-03-06T00:00:00"/>
    <x v="3"/>
    <x v="3"/>
    <x v="1"/>
    <x v="3"/>
    <x v="3"/>
    <x v="1"/>
  </r>
  <r>
    <d v="2024-03-06T00:00:00"/>
    <x v="1"/>
    <x v="1"/>
    <x v="1"/>
    <x v="1"/>
    <x v="1"/>
    <x v="1"/>
  </r>
  <r>
    <d v="2024-03-07T00:00:00"/>
    <x v="1"/>
    <x v="1"/>
    <x v="1"/>
    <x v="1"/>
    <x v="1"/>
    <x v="1"/>
  </r>
  <r>
    <d v="2024-03-08T00:00:00"/>
    <x v="1"/>
    <x v="1"/>
    <x v="1"/>
    <x v="1"/>
    <x v="1"/>
    <x v="1"/>
  </r>
  <r>
    <d v="2024-03-09T00:00:00"/>
    <x v="1"/>
    <x v="1"/>
    <x v="1"/>
    <x v="1"/>
    <x v="1"/>
    <x v="1"/>
  </r>
  <r>
    <d v="2024-03-09T00:00:00"/>
    <x v="4"/>
    <x v="43"/>
    <x v="1"/>
    <x v="4"/>
    <x v="2"/>
    <x v="1"/>
  </r>
  <r>
    <d v="2024-03-12T00:00:00"/>
    <x v="5"/>
    <x v="44"/>
    <x v="1"/>
    <x v="5"/>
    <x v="2"/>
    <x v="1"/>
  </r>
  <r>
    <d v="2024-03-12T00:00:00"/>
    <x v="1"/>
    <x v="1"/>
    <x v="1"/>
    <x v="1"/>
    <x v="1"/>
    <x v="1"/>
  </r>
  <r>
    <d v="2024-03-13T00:00:00"/>
    <x v="1"/>
    <x v="1"/>
    <x v="1"/>
    <x v="1"/>
    <x v="1"/>
    <x v="1"/>
  </r>
  <r>
    <d v="2024-03-14T00:00:00"/>
    <x v="6"/>
    <x v="45"/>
    <x v="1"/>
    <x v="15"/>
    <x v="3"/>
    <x v="1"/>
  </r>
  <r>
    <d v="2024-03-14T00:00:00"/>
    <x v="1"/>
    <x v="1"/>
    <x v="1"/>
    <x v="1"/>
    <x v="1"/>
    <x v="1"/>
  </r>
  <r>
    <d v="2024-03-15T00:00:00"/>
    <x v="1"/>
    <x v="1"/>
    <x v="1"/>
    <x v="1"/>
    <x v="1"/>
    <x v="1"/>
  </r>
  <r>
    <d v="2024-03-16T00:00:00"/>
    <x v="4"/>
    <x v="40"/>
    <x v="1"/>
    <x v="4"/>
    <x v="2"/>
    <x v="1"/>
  </r>
  <r>
    <d v="2024-03-16T00:00:00"/>
    <x v="1"/>
    <x v="1"/>
    <x v="1"/>
    <x v="1"/>
    <x v="1"/>
    <x v="1"/>
  </r>
  <r>
    <d v="2024-03-17T00:00:00"/>
    <x v="1"/>
    <x v="1"/>
    <x v="1"/>
    <x v="1"/>
    <x v="1"/>
    <x v="1"/>
  </r>
  <r>
    <d v="2024-03-17T00:00:00"/>
    <x v="7"/>
    <x v="46"/>
    <x v="1"/>
    <x v="6"/>
    <x v="4"/>
    <x v="1"/>
  </r>
  <r>
    <d v="2024-03-17T00:00:00"/>
    <x v="20"/>
    <x v="47"/>
    <x v="1"/>
    <x v="7"/>
    <x v="4"/>
    <x v="1"/>
  </r>
  <r>
    <d v="2024-03-17T00:00:00"/>
    <x v="9"/>
    <x v="48"/>
    <x v="1"/>
    <x v="8"/>
    <x v="1"/>
    <x v="1"/>
  </r>
  <r>
    <d v="2024-03-18T00:00:00"/>
    <x v="10"/>
    <x v="49"/>
    <x v="1"/>
    <x v="9"/>
    <x v="3"/>
    <x v="1"/>
  </r>
  <r>
    <d v="2024-03-19T00:00:00"/>
    <x v="11"/>
    <x v="0"/>
    <x v="4"/>
    <x v="10"/>
    <x v="5"/>
    <x v="0"/>
  </r>
  <r>
    <d v="2024-03-19T00:00:00"/>
    <x v="1"/>
    <x v="1"/>
    <x v="1"/>
    <x v="1"/>
    <x v="1"/>
    <x v="1"/>
  </r>
  <r>
    <d v="2024-03-20T00:00:00"/>
    <x v="1"/>
    <x v="1"/>
    <x v="1"/>
    <x v="1"/>
    <x v="1"/>
    <x v="1"/>
  </r>
  <r>
    <d v="2024-03-20T00:00:00"/>
    <x v="22"/>
    <x v="50"/>
    <x v="1"/>
    <x v="17"/>
    <x v="7"/>
    <x v="1"/>
  </r>
  <r>
    <d v="2024-03-20T00:00:00"/>
    <x v="12"/>
    <x v="8"/>
    <x v="1"/>
    <x v="12"/>
    <x v="2"/>
    <x v="1"/>
  </r>
  <r>
    <d v="2024-03-21T00:00:00"/>
    <x v="13"/>
    <x v="51"/>
    <x v="1"/>
    <x v="13"/>
    <x v="4"/>
    <x v="1"/>
  </r>
  <r>
    <d v="2024-03-21T00:00:00"/>
    <x v="14"/>
    <x v="33"/>
    <x v="1"/>
    <x v="6"/>
    <x v="4"/>
    <x v="1"/>
  </r>
  <r>
    <d v="2024-03-21T00:00:00"/>
    <x v="1"/>
    <x v="1"/>
    <x v="1"/>
    <x v="1"/>
    <x v="1"/>
    <x v="1"/>
  </r>
  <r>
    <d v="2024-03-22T00:00:00"/>
    <x v="1"/>
    <x v="1"/>
    <x v="1"/>
    <x v="1"/>
    <x v="1"/>
    <x v="1"/>
  </r>
  <r>
    <d v="2024-03-23T00:00:00"/>
    <x v="1"/>
    <x v="1"/>
    <x v="1"/>
    <x v="1"/>
    <x v="1"/>
    <x v="1"/>
  </r>
  <r>
    <d v="2024-03-23T00:00:00"/>
    <x v="4"/>
    <x v="52"/>
    <x v="1"/>
    <x v="4"/>
    <x v="2"/>
    <x v="1"/>
  </r>
  <r>
    <d v="2024-03-24T00:00:00"/>
    <x v="15"/>
    <x v="53"/>
    <x v="1"/>
    <x v="8"/>
    <x v="1"/>
    <x v="1"/>
  </r>
  <r>
    <d v="2024-03-25T00:00:00"/>
    <x v="16"/>
    <x v="54"/>
    <x v="1"/>
    <x v="8"/>
    <x v="1"/>
    <x v="1"/>
  </r>
  <r>
    <d v="2024-03-26T00:00:00"/>
    <x v="17"/>
    <x v="17"/>
    <x v="1"/>
    <x v="14"/>
    <x v="6"/>
    <x v="1"/>
  </r>
  <r>
    <d v="2024-03-26T00:00:00"/>
    <x v="6"/>
    <x v="55"/>
    <x v="1"/>
    <x v="15"/>
    <x v="3"/>
    <x v="1"/>
  </r>
  <r>
    <d v="2024-03-26T00:00:00"/>
    <x v="1"/>
    <x v="1"/>
    <x v="1"/>
    <x v="1"/>
    <x v="1"/>
    <x v="1"/>
  </r>
  <r>
    <d v="2024-03-27T00:00:00"/>
    <x v="1"/>
    <x v="1"/>
    <x v="1"/>
    <x v="1"/>
    <x v="1"/>
    <x v="1"/>
  </r>
  <r>
    <d v="2024-03-28T00:00:00"/>
    <x v="1"/>
    <x v="1"/>
    <x v="1"/>
    <x v="1"/>
    <x v="1"/>
    <x v="1"/>
  </r>
  <r>
    <d v="2024-03-29T00:00:00"/>
    <x v="1"/>
    <x v="1"/>
    <x v="1"/>
    <x v="1"/>
    <x v="1"/>
    <x v="1"/>
  </r>
  <r>
    <d v="2024-03-30T00:00:00"/>
    <x v="1"/>
    <x v="1"/>
    <x v="1"/>
    <x v="1"/>
    <x v="1"/>
    <x v="1"/>
  </r>
  <r>
    <d v="2024-03-30T00:00:00"/>
    <x v="4"/>
    <x v="56"/>
    <x v="1"/>
    <x v="4"/>
    <x v="2"/>
    <x v="1"/>
  </r>
  <r>
    <d v="2024-03-31T00:00:00"/>
    <x v="18"/>
    <x v="57"/>
    <x v="1"/>
    <x v="7"/>
    <x v="4"/>
    <x v="1"/>
  </r>
  <r>
    <d v="2024-03-31T00:00:00"/>
    <x v="23"/>
    <x v="58"/>
    <x v="1"/>
    <x v="7"/>
    <x v="4"/>
    <x v="1"/>
  </r>
  <r>
    <d v="2024-04-01T00:00:00"/>
    <x v="8"/>
    <x v="59"/>
    <x v="1"/>
    <x v="7"/>
    <x v="4"/>
    <x v="1"/>
  </r>
  <r>
    <d v="2024-04-01T00:00:00"/>
    <x v="10"/>
    <x v="60"/>
    <x v="1"/>
    <x v="9"/>
    <x v="3"/>
    <x v="1"/>
  </r>
  <r>
    <d v="2024-04-02T00:00:00"/>
    <x v="24"/>
    <x v="61"/>
    <x v="1"/>
    <x v="8"/>
    <x v="1"/>
    <x v="1"/>
  </r>
  <r>
    <d v="2024-04-03T00:00:00"/>
    <x v="1"/>
    <x v="1"/>
    <x v="1"/>
    <x v="1"/>
    <x v="1"/>
    <x v="1"/>
  </r>
  <r>
    <d v="2024-04-04T00:00:00"/>
    <x v="1"/>
    <x v="1"/>
    <x v="1"/>
    <x v="1"/>
    <x v="1"/>
    <x v="1"/>
  </r>
  <r>
    <d v="2024-04-05T00:00:00"/>
    <x v="0"/>
    <x v="0"/>
    <x v="0"/>
    <x v="16"/>
    <x v="0"/>
    <x v="0"/>
  </r>
  <r>
    <d v="2024-04-05T00:00:00"/>
    <x v="1"/>
    <x v="1"/>
    <x v="1"/>
    <x v="1"/>
    <x v="1"/>
    <x v="1"/>
  </r>
  <r>
    <d v="2024-04-06T00:00:00"/>
    <x v="2"/>
    <x v="2"/>
    <x v="1"/>
    <x v="2"/>
    <x v="2"/>
    <x v="1"/>
  </r>
  <r>
    <d v="2024-04-06T00:00:00"/>
    <x v="3"/>
    <x v="3"/>
    <x v="1"/>
    <x v="3"/>
    <x v="3"/>
    <x v="1"/>
  </r>
  <r>
    <d v="2024-04-06T00:00:00"/>
    <x v="1"/>
    <x v="1"/>
    <x v="1"/>
    <x v="1"/>
    <x v="1"/>
    <x v="1"/>
  </r>
  <r>
    <d v="2024-04-07T00:00:00"/>
    <x v="1"/>
    <x v="1"/>
    <x v="1"/>
    <x v="1"/>
    <x v="1"/>
    <x v="1"/>
  </r>
  <r>
    <d v="2024-04-08T00:00:00"/>
    <x v="1"/>
    <x v="1"/>
    <x v="1"/>
    <x v="1"/>
    <x v="1"/>
    <x v="1"/>
  </r>
  <r>
    <d v="2024-04-09T00:00:00"/>
    <x v="1"/>
    <x v="1"/>
    <x v="1"/>
    <x v="1"/>
    <x v="1"/>
    <x v="1"/>
  </r>
  <r>
    <d v="2024-04-09T00:00:00"/>
    <x v="4"/>
    <x v="62"/>
    <x v="1"/>
    <x v="4"/>
    <x v="2"/>
    <x v="1"/>
  </r>
  <r>
    <d v="2024-04-12T00:00:00"/>
    <x v="5"/>
    <x v="63"/>
    <x v="1"/>
    <x v="5"/>
    <x v="2"/>
    <x v="1"/>
  </r>
  <r>
    <d v="2024-04-12T00:00:00"/>
    <x v="1"/>
    <x v="1"/>
    <x v="1"/>
    <x v="1"/>
    <x v="1"/>
    <x v="1"/>
  </r>
  <r>
    <d v="2024-04-13T00:00:00"/>
    <x v="1"/>
    <x v="1"/>
    <x v="1"/>
    <x v="1"/>
    <x v="1"/>
    <x v="1"/>
  </r>
  <r>
    <d v="2024-04-14T00:00:00"/>
    <x v="6"/>
    <x v="64"/>
    <x v="1"/>
    <x v="15"/>
    <x v="3"/>
    <x v="1"/>
  </r>
  <r>
    <d v="2024-04-14T00:00:00"/>
    <x v="1"/>
    <x v="1"/>
    <x v="1"/>
    <x v="1"/>
    <x v="1"/>
    <x v="1"/>
  </r>
  <r>
    <d v="2024-04-15T00:00:00"/>
    <x v="1"/>
    <x v="1"/>
    <x v="1"/>
    <x v="1"/>
    <x v="1"/>
    <x v="1"/>
  </r>
  <r>
    <d v="2024-04-16T00:00:00"/>
    <x v="4"/>
    <x v="9"/>
    <x v="1"/>
    <x v="4"/>
    <x v="2"/>
    <x v="1"/>
  </r>
  <r>
    <d v="2024-04-16T00:00:00"/>
    <x v="1"/>
    <x v="1"/>
    <x v="1"/>
    <x v="1"/>
    <x v="1"/>
    <x v="1"/>
  </r>
  <r>
    <d v="2024-04-17T00:00:00"/>
    <x v="1"/>
    <x v="1"/>
    <x v="1"/>
    <x v="1"/>
    <x v="1"/>
    <x v="1"/>
  </r>
  <r>
    <d v="2024-04-17T00:00:00"/>
    <x v="7"/>
    <x v="65"/>
    <x v="1"/>
    <x v="6"/>
    <x v="4"/>
    <x v="1"/>
  </r>
  <r>
    <d v="2024-04-17T00:00:00"/>
    <x v="20"/>
    <x v="66"/>
    <x v="1"/>
    <x v="7"/>
    <x v="4"/>
    <x v="1"/>
  </r>
  <r>
    <d v="2024-04-17T00:00:00"/>
    <x v="9"/>
    <x v="67"/>
    <x v="1"/>
    <x v="8"/>
    <x v="1"/>
    <x v="1"/>
  </r>
  <r>
    <d v="2024-04-18T00:00:00"/>
    <x v="10"/>
    <x v="68"/>
    <x v="1"/>
    <x v="9"/>
    <x v="3"/>
    <x v="1"/>
  </r>
  <r>
    <d v="2024-04-19T00:00:00"/>
    <x v="11"/>
    <x v="0"/>
    <x v="5"/>
    <x v="10"/>
    <x v="5"/>
    <x v="0"/>
  </r>
  <r>
    <d v="2024-04-19T00:00:00"/>
    <x v="1"/>
    <x v="1"/>
    <x v="1"/>
    <x v="1"/>
    <x v="1"/>
    <x v="1"/>
  </r>
  <r>
    <d v="2024-04-20T00:00:00"/>
    <x v="1"/>
    <x v="1"/>
    <x v="1"/>
    <x v="1"/>
    <x v="1"/>
    <x v="1"/>
  </r>
  <r>
    <d v="2024-04-20T00:00:00"/>
    <x v="12"/>
    <x v="8"/>
    <x v="1"/>
    <x v="12"/>
    <x v="2"/>
    <x v="1"/>
  </r>
  <r>
    <d v="2024-04-21T00:00:00"/>
    <x v="13"/>
    <x v="69"/>
    <x v="1"/>
    <x v="13"/>
    <x v="4"/>
    <x v="1"/>
  </r>
  <r>
    <d v="2024-04-21T00:00:00"/>
    <x v="14"/>
    <x v="33"/>
    <x v="1"/>
    <x v="6"/>
    <x v="4"/>
    <x v="1"/>
  </r>
  <r>
    <d v="2024-04-21T00:00:00"/>
    <x v="1"/>
    <x v="1"/>
    <x v="1"/>
    <x v="1"/>
    <x v="1"/>
    <x v="1"/>
  </r>
  <r>
    <d v="2024-04-22T00:00:00"/>
    <x v="1"/>
    <x v="1"/>
    <x v="1"/>
    <x v="1"/>
    <x v="1"/>
    <x v="1"/>
  </r>
  <r>
    <d v="2024-04-23T00:00:00"/>
    <x v="1"/>
    <x v="1"/>
    <x v="1"/>
    <x v="1"/>
    <x v="1"/>
    <x v="1"/>
  </r>
  <r>
    <d v="2024-04-23T00:00:00"/>
    <x v="4"/>
    <x v="70"/>
    <x v="1"/>
    <x v="4"/>
    <x v="2"/>
    <x v="1"/>
  </r>
  <r>
    <d v="2024-04-24T00:00:00"/>
    <x v="15"/>
    <x v="71"/>
    <x v="1"/>
    <x v="8"/>
    <x v="1"/>
    <x v="1"/>
  </r>
  <r>
    <d v="2024-04-25T00:00:00"/>
    <x v="16"/>
    <x v="72"/>
    <x v="1"/>
    <x v="8"/>
    <x v="1"/>
    <x v="1"/>
  </r>
  <r>
    <d v="2024-04-26T00:00:00"/>
    <x v="17"/>
    <x v="17"/>
    <x v="1"/>
    <x v="14"/>
    <x v="6"/>
    <x v="1"/>
  </r>
  <r>
    <d v="2024-04-26T00:00:00"/>
    <x v="6"/>
    <x v="73"/>
    <x v="1"/>
    <x v="15"/>
    <x v="3"/>
    <x v="1"/>
  </r>
  <r>
    <d v="2024-04-26T00:00:00"/>
    <x v="1"/>
    <x v="1"/>
    <x v="1"/>
    <x v="1"/>
    <x v="1"/>
    <x v="1"/>
  </r>
  <r>
    <d v="2024-04-27T00:00:00"/>
    <x v="1"/>
    <x v="1"/>
    <x v="1"/>
    <x v="1"/>
    <x v="1"/>
    <x v="1"/>
  </r>
  <r>
    <d v="2024-04-28T00:00:00"/>
    <x v="1"/>
    <x v="1"/>
    <x v="1"/>
    <x v="1"/>
    <x v="1"/>
    <x v="1"/>
  </r>
  <r>
    <d v="2024-04-29T00:00:00"/>
    <x v="1"/>
    <x v="1"/>
    <x v="1"/>
    <x v="1"/>
    <x v="1"/>
    <x v="1"/>
  </r>
  <r>
    <d v="2024-04-30T00:00:00"/>
    <x v="1"/>
    <x v="1"/>
    <x v="1"/>
    <x v="1"/>
    <x v="1"/>
    <x v="1"/>
  </r>
  <r>
    <d v="2024-04-30T00:00:00"/>
    <x v="4"/>
    <x v="74"/>
    <x v="1"/>
    <x v="4"/>
    <x v="2"/>
    <x v="1"/>
  </r>
  <r>
    <d v="2024-05-01T00:00:00"/>
    <x v="18"/>
    <x v="75"/>
    <x v="1"/>
    <x v="7"/>
    <x v="4"/>
    <x v="1"/>
  </r>
  <r>
    <d v="2024-05-01T00:00:00"/>
    <x v="25"/>
    <x v="76"/>
    <x v="1"/>
    <x v="6"/>
    <x v="4"/>
    <x v="1"/>
  </r>
  <r>
    <d v="2024-05-02T00:00:00"/>
    <x v="8"/>
    <x v="77"/>
    <x v="1"/>
    <x v="7"/>
    <x v="4"/>
    <x v="1"/>
  </r>
  <r>
    <d v="2024-05-02T00:00:00"/>
    <x v="10"/>
    <x v="78"/>
    <x v="1"/>
    <x v="9"/>
    <x v="3"/>
    <x v="1"/>
  </r>
  <r>
    <d v="2024-05-03T00:00:00"/>
    <x v="24"/>
    <x v="61"/>
    <x v="1"/>
    <x v="8"/>
    <x v="1"/>
    <x v="1"/>
  </r>
  <r>
    <d v="2024-05-03T00:00:00"/>
    <x v="1"/>
    <x v="1"/>
    <x v="1"/>
    <x v="1"/>
    <x v="1"/>
    <x v="1"/>
  </r>
  <r>
    <d v="2024-05-04T00:00:00"/>
    <x v="1"/>
    <x v="1"/>
    <x v="1"/>
    <x v="1"/>
    <x v="1"/>
    <x v="1"/>
  </r>
  <r>
    <d v="2024-05-06T00:00:00"/>
    <x v="1"/>
    <x v="1"/>
    <x v="1"/>
    <x v="1"/>
    <x v="1"/>
    <x v="1"/>
  </r>
  <r>
    <d v="2024-05-07T00:00:00"/>
    <x v="0"/>
    <x v="0"/>
    <x v="0"/>
    <x v="16"/>
    <x v="0"/>
    <x v="0"/>
  </r>
  <r>
    <d v="2024-05-07T00:00:00"/>
    <x v="2"/>
    <x v="2"/>
    <x v="1"/>
    <x v="2"/>
    <x v="2"/>
    <x v="1"/>
  </r>
  <r>
    <d v="2024-05-07T00:00:00"/>
    <x v="3"/>
    <x v="3"/>
    <x v="1"/>
    <x v="3"/>
    <x v="3"/>
    <x v="1"/>
  </r>
  <r>
    <d v="2024-05-07T00:00:00"/>
    <x v="1"/>
    <x v="1"/>
    <x v="1"/>
    <x v="1"/>
    <x v="1"/>
    <x v="1"/>
  </r>
  <r>
    <d v="2024-05-08T00:00:00"/>
    <x v="1"/>
    <x v="1"/>
    <x v="1"/>
    <x v="1"/>
    <x v="1"/>
    <x v="1"/>
  </r>
  <r>
    <d v="2024-05-09T00:00:00"/>
    <x v="1"/>
    <x v="1"/>
    <x v="1"/>
    <x v="1"/>
    <x v="1"/>
    <x v="1"/>
  </r>
  <r>
    <d v="2024-05-10T00:00:00"/>
    <x v="1"/>
    <x v="1"/>
    <x v="1"/>
    <x v="1"/>
    <x v="1"/>
    <x v="1"/>
  </r>
  <r>
    <d v="2024-05-10T00:00:00"/>
    <x v="4"/>
    <x v="14"/>
    <x v="1"/>
    <x v="4"/>
    <x v="2"/>
    <x v="1"/>
  </r>
  <r>
    <d v="2024-05-13T00:00:00"/>
    <x v="5"/>
    <x v="79"/>
    <x v="1"/>
    <x v="5"/>
    <x v="2"/>
    <x v="1"/>
  </r>
  <r>
    <d v="2024-05-13T00:00:00"/>
    <x v="1"/>
    <x v="1"/>
    <x v="1"/>
    <x v="1"/>
    <x v="1"/>
    <x v="1"/>
  </r>
  <r>
    <d v="2024-05-14T00:00:00"/>
    <x v="1"/>
    <x v="1"/>
    <x v="1"/>
    <x v="1"/>
    <x v="1"/>
    <x v="1"/>
  </r>
  <r>
    <d v="2024-05-15T00:00:00"/>
    <x v="6"/>
    <x v="80"/>
    <x v="1"/>
    <x v="15"/>
    <x v="3"/>
    <x v="1"/>
  </r>
  <r>
    <d v="2024-05-15T00:00:00"/>
    <x v="1"/>
    <x v="1"/>
    <x v="1"/>
    <x v="1"/>
    <x v="1"/>
    <x v="1"/>
  </r>
  <r>
    <d v="2024-05-16T00:00:00"/>
    <x v="1"/>
    <x v="1"/>
    <x v="1"/>
    <x v="1"/>
    <x v="1"/>
    <x v="1"/>
  </r>
  <r>
    <d v="2024-05-17T00:00:00"/>
    <x v="4"/>
    <x v="81"/>
    <x v="1"/>
    <x v="4"/>
    <x v="2"/>
    <x v="1"/>
  </r>
  <r>
    <d v="2024-05-17T00:00:00"/>
    <x v="1"/>
    <x v="1"/>
    <x v="1"/>
    <x v="1"/>
    <x v="1"/>
    <x v="1"/>
  </r>
  <r>
    <d v="2024-05-18T00:00:00"/>
    <x v="1"/>
    <x v="1"/>
    <x v="1"/>
    <x v="1"/>
    <x v="1"/>
    <x v="1"/>
  </r>
  <r>
    <d v="2024-05-18T00:00:00"/>
    <x v="7"/>
    <x v="82"/>
    <x v="1"/>
    <x v="6"/>
    <x v="4"/>
    <x v="1"/>
  </r>
  <r>
    <d v="2024-05-18T00:00:00"/>
    <x v="20"/>
    <x v="83"/>
    <x v="1"/>
    <x v="7"/>
    <x v="4"/>
    <x v="1"/>
  </r>
  <r>
    <d v="2024-05-18T00:00:00"/>
    <x v="9"/>
    <x v="84"/>
    <x v="1"/>
    <x v="8"/>
    <x v="1"/>
    <x v="1"/>
  </r>
  <r>
    <d v="2024-05-19T00:00:00"/>
    <x v="10"/>
    <x v="13"/>
    <x v="1"/>
    <x v="9"/>
    <x v="3"/>
    <x v="1"/>
  </r>
  <r>
    <d v="2024-05-20T00:00:00"/>
    <x v="11"/>
    <x v="0"/>
    <x v="4"/>
    <x v="10"/>
    <x v="5"/>
    <x v="0"/>
  </r>
  <r>
    <d v="2024-05-20T00:00:00"/>
    <x v="1"/>
    <x v="1"/>
    <x v="1"/>
    <x v="1"/>
    <x v="1"/>
    <x v="1"/>
  </r>
  <r>
    <d v="2024-05-21T00:00:00"/>
    <x v="1"/>
    <x v="1"/>
    <x v="1"/>
    <x v="1"/>
    <x v="1"/>
    <x v="1"/>
  </r>
  <r>
    <d v="2024-05-21T00:00:00"/>
    <x v="22"/>
    <x v="50"/>
    <x v="1"/>
    <x v="17"/>
    <x v="7"/>
    <x v="1"/>
  </r>
  <r>
    <d v="2024-05-21T00:00:00"/>
    <x v="12"/>
    <x v="8"/>
    <x v="1"/>
    <x v="12"/>
    <x v="2"/>
    <x v="1"/>
  </r>
  <r>
    <d v="2024-05-22T00:00:00"/>
    <x v="13"/>
    <x v="85"/>
    <x v="1"/>
    <x v="13"/>
    <x v="4"/>
    <x v="1"/>
  </r>
  <r>
    <d v="2024-05-22T00:00:00"/>
    <x v="14"/>
    <x v="33"/>
    <x v="1"/>
    <x v="6"/>
    <x v="4"/>
    <x v="1"/>
  </r>
  <r>
    <d v="2024-05-22T00:00:00"/>
    <x v="1"/>
    <x v="1"/>
    <x v="1"/>
    <x v="1"/>
    <x v="1"/>
    <x v="1"/>
  </r>
  <r>
    <d v="2024-05-23T00:00:00"/>
    <x v="1"/>
    <x v="1"/>
    <x v="1"/>
    <x v="1"/>
    <x v="1"/>
    <x v="1"/>
  </r>
  <r>
    <d v="2024-05-24T00:00:00"/>
    <x v="1"/>
    <x v="1"/>
    <x v="1"/>
    <x v="1"/>
    <x v="1"/>
    <x v="1"/>
  </r>
  <r>
    <d v="2024-05-24T00:00:00"/>
    <x v="4"/>
    <x v="86"/>
    <x v="1"/>
    <x v="4"/>
    <x v="2"/>
    <x v="1"/>
  </r>
  <r>
    <d v="2024-05-25T00:00:00"/>
    <x v="15"/>
    <x v="87"/>
    <x v="1"/>
    <x v="8"/>
    <x v="1"/>
    <x v="1"/>
  </r>
  <r>
    <d v="2024-05-26T00:00:00"/>
    <x v="16"/>
    <x v="88"/>
    <x v="1"/>
    <x v="8"/>
    <x v="1"/>
    <x v="1"/>
  </r>
  <r>
    <d v="2024-05-27T00:00:00"/>
    <x v="17"/>
    <x v="17"/>
    <x v="1"/>
    <x v="14"/>
    <x v="6"/>
    <x v="1"/>
  </r>
  <r>
    <d v="2024-05-27T00:00:00"/>
    <x v="6"/>
    <x v="89"/>
    <x v="1"/>
    <x v="15"/>
    <x v="3"/>
    <x v="1"/>
  </r>
  <r>
    <d v="2024-05-27T00:00:00"/>
    <x v="1"/>
    <x v="1"/>
    <x v="1"/>
    <x v="1"/>
    <x v="1"/>
    <x v="1"/>
  </r>
  <r>
    <d v="2024-05-28T00:00:00"/>
    <x v="1"/>
    <x v="1"/>
    <x v="1"/>
    <x v="1"/>
    <x v="1"/>
    <x v="1"/>
  </r>
  <r>
    <d v="2024-05-29T00:00:00"/>
    <x v="1"/>
    <x v="1"/>
    <x v="1"/>
    <x v="1"/>
    <x v="1"/>
    <x v="1"/>
  </r>
  <r>
    <d v="2024-05-30T00:00:00"/>
    <x v="1"/>
    <x v="1"/>
    <x v="1"/>
    <x v="1"/>
    <x v="1"/>
    <x v="1"/>
  </r>
  <r>
    <d v="2024-05-31T00:00:00"/>
    <x v="1"/>
    <x v="1"/>
    <x v="1"/>
    <x v="1"/>
    <x v="1"/>
    <x v="1"/>
  </r>
  <r>
    <d v="2024-05-31T00:00:00"/>
    <x v="4"/>
    <x v="90"/>
    <x v="1"/>
    <x v="4"/>
    <x v="2"/>
    <x v="1"/>
  </r>
  <r>
    <d v="2024-06-01T00:00:00"/>
    <x v="18"/>
    <x v="91"/>
    <x v="1"/>
    <x v="7"/>
    <x v="4"/>
    <x v="1"/>
  </r>
  <r>
    <d v="2024-06-01T00:00:00"/>
    <x v="26"/>
    <x v="92"/>
    <x v="1"/>
    <x v="18"/>
    <x v="4"/>
    <x v="1"/>
  </r>
  <r>
    <d v="2024-06-02T00:00:00"/>
    <x v="8"/>
    <x v="93"/>
    <x v="1"/>
    <x v="7"/>
    <x v="4"/>
    <x v="1"/>
  </r>
  <r>
    <d v="2024-06-02T00:00:00"/>
    <x v="10"/>
    <x v="94"/>
    <x v="1"/>
    <x v="9"/>
    <x v="3"/>
    <x v="1"/>
  </r>
  <r>
    <d v="2024-06-04T00:00:00"/>
    <x v="24"/>
    <x v="61"/>
    <x v="1"/>
    <x v="8"/>
    <x v="1"/>
    <x v="1"/>
  </r>
  <r>
    <d v="2024-06-03T00:00:00"/>
    <x v="1"/>
    <x v="1"/>
    <x v="1"/>
    <x v="1"/>
    <x v="1"/>
    <x v="1"/>
  </r>
  <r>
    <d v="2024-06-04T00:00:00"/>
    <x v="1"/>
    <x v="1"/>
    <x v="1"/>
    <x v="1"/>
    <x v="1"/>
    <x v="1"/>
  </r>
  <r>
    <d v="2024-06-05T00:00:00"/>
    <x v="0"/>
    <x v="0"/>
    <x v="0"/>
    <x v="16"/>
    <x v="0"/>
    <x v="0"/>
  </r>
  <r>
    <d v="2024-06-07T00:00:00"/>
    <x v="1"/>
    <x v="1"/>
    <x v="1"/>
    <x v="1"/>
    <x v="1"/>
    <x v="1"/>
  </r>
  <r>
    <d v="2024-06-07T00:00:00"/>
    <x v="2"/>
    <x v="2"/>
    <x v="1"/>
    <x v="2"/>
    <x v="2"/>
    <x v="1"/>
  </r>
  <r>
    <d v="2024-06-07T00:00:00"/>
    <x v="3"/>
    <x v="3"/>
    <x v="1"/>
    <x v="3"/>
    <x v="3"/>
    <x v="1"/>
  </r>
  <r>
    <d v="2024-06-07T00:00:00"/>
    <x v="1"/>
    <x v="1"/>
    <x v="1"/>
    <x v="1"/>
    <x v="1"/>
    <x v="1"/>
  </r>
  <r>
    <d v="2024-06-08T00:00:00"/>
    <x v="1"/>
    <x v="1"/>
    <x v="1"/>
    <x v="1"/>
    <x v="1"/>
    <x v="1"/>
  </r>
  <r>
    <d v="2024-06-09T00:00:00"/>
    <x v="1"/>
    <x v="1"/>
    <x v="1"/>
    <x v="1"/>
    <x v="1"/>
    <x v="1"/>
  </r>
  <r>
    <d v="2024-06-10T00:00:00"/>
    <x v="1"/>
    <x v="1"/>
    <x v="1"/>
    <x v="1"/>
    <x v="1"/>
    <x v="1"/>
  </r>
  <r>
    <d v="2024-06-10T00:00:00"/>
    <x v="4"/>
    <x v="95"/>
    <x v="1"/>
    <x v="4"/>
    <x v="2"/>
    <x v="1"/>
  </r>
  <r>
    <d v="2024-06-13T00:00:00"/>
    <x v="5"/>
    <x v="17"/>
    <x v="1"/>
    <x v="5"/>
    <x v="2"/>
    <x v="1"/>
  </r>
  <r>
    <d v="2024-06-13T00:00:00"/>
    <x v="1"/>
    <x v="1"/>
    <x v="1"/>
    <x v="1"/>
    <x v="1"/>
    <x v="1"/>
  </r>
  <r>
    <d v="2024-06-14T00:00:00"/>
    <x v="1"/>
    <x v="1"/>
    <x v="1"/>
    <x v="1"/>
    <x v="1"/>
    <x v="1"/>
  </r>
  <r>
    <d v="2024-06-15T00:00:00"/>
    <x v="6"/>
    <x v="96"/>
    <x v="1"/>
    <x v="15"/>
    <x v="3"/>
    <x v="1"/>
  </r>
  <r>
    <d v="2024-06-15T00:00:00"/>
    <x v="1"/>
    <x v="1"/>
    <x v="1"/>
    <x v="1"/>
    <x v="1"/>
    <x v="1"/>
  </r>
  <r>
    <d v="2024-06-16T00:00:00"/>
    <x v="1"/>
    <x v="1"/>
    <x v="1"/>
    <x v="1"/>
    <x v="1"/>
    <x v="1"/>
  </r>
  <r>
    <d v="2024-06-17T00:00:00"/>
    <x v="4"/>
    <x v="97"/>
    <x v="1"/>
    <x v="4"/>
    <x v="2"/>
    <x v="1"/>
  </r>
  <r>
    <d v="2024-06-17T00:00:00"/>
    <x v="1"/>
    <x v="1"/>
    <x v="1"/>
    <x v="1"/>
    <x v="1"/>
    <x v="1"/>
  </r>
  <r>
    <d v="2024-06-18T00:00:00"/>
    <x v="1"/>
    <x v="1"/>
    <x v="1"/>
    <x v="1"/>
    <x v="1"/>
    <x v="1"/>
  </r>
  <r>
    <d v="2024-06-18T00:00:00"/>
    <x v="7"/>
    <x v="98"/>
    <x v="1"/>
    <x v="6"/>
    <x v="4"/>
    <x v="1"/>
  </r>
  <r>
    <d v="2024-06-18T00:00:00"/>
    <x v="20"/>
    <x v="99"/>
    <x v="1"/>
    <x v="7"/>
    <x v="4"/>
    <x v="1"/>
  </r>
  <r>
    <d v="2024-06-18T00:00:00"/>
    <x v="9"/>
    <x v="100"/>
    <x v="1"/>
    <x v="8"/>
    <x v="1"/>
    <x v="1"/>
  </r>
  <r>
    <d v="2024-06-19T00:00:00"/>
    <x v="10"/>
    <x v="101"/>
    <x v="1"/>
    <x v="9"/>
    <x v="3"/>
    <x v="1"/>
  </r>
  <r>
    <d v="2024-06-20T00:00:00"/>
    <x v="11"/>
    <x v="0"/>
    <x v="6"/>
    <x v="10"/>
    <x v="5"/>
    <x v="0"/>
  </r>
  <r>
    <d v="2024-06-20T00:00:00"/>
    <x v="1"/>
    <x v="1"/>
    <x v="1"/>
    <x v="1"/>
    <x v="1"/>
    <x v="1"/>
  </r>
  <r>
    <d v="2024-06-21T00:00:00"/>
    <x v="1"/>
    <x v="1"/>
    <x v="1"/>
    <x v="1"/>
    <x v="1"/>
    <x v="1"/>
  </r>
  <r>
    <d v="2024-06-21T00:00:00"/>
    <x v="12"/>
    <x v="8"/>
    <x v="1"/>
    <x v="12"/>
    <x v="2"/>
    <x v="1"/>
  </r>
  <r>
    <d v="2024-06-22T00:00:00"/>
    <x v="13"/>
    <x v="102"/>
    <x v="1"/>
    <x v="13"/>
    <x v="4"/>
    <x v="1"/>
  </r>
  <r>
    <d v="2024-06-22T00:00:00"/>
    <x v="14"/>
    <x v="33"/>
    <x v="1"/>
    <x v="6"/>
    <x v="4"/>
    <x v="1"/>
  </r>
  <r>
    <d v="2024-06-22T00:00:00"/>
    <x v="1"/>
    <x v="1"/>
    <x v="1"/>
    <x v="1"/>
    <x v="1"/>
    <x v="1"/>
  </r>
  <r>
    <d v="2024-06-23T00:00:00"/>
    <x v="1"/>
    <x v="1"/>
    <x v="1"/>
    <x v="1"/>
    <x v="1"/>
    <x v="1"/>
  </r>
  <r>
    <d v="2024-06-24T00:00:00"/>
    <x v="1"/>
    <x v="1"/>
    <x v="1"/>
    <x v="1"/>
    <x v="1"/>
    <x v="1"/>
  </r>
  <r>
    <d v="2024-06-24T00:00:00"/>
    <x v="4"/>
    <x v="103"/>
    <x v="1"/>
    <x v="4"/>
    <x v="2"/>
    <x v="1"/>
  </r>
  <r>
    <d v="2024-06-25T00:00:00"/>
    <x v="15"/>
    <x v="104"/>
    <x v="1"/>
    <x v="8"/>
    <x v="1"/>
    <x v="1"/>
  </r>
  <r>
    <d v="2024-06-26T00:00:00"/>
    <x v="16"/>
    <x v="105"/>
    <x v="1"/>
    <x v="8"/>
    <x v="1"/>
    <x v="1"/>
  </r>
  <r>
    <d v="2024-06-27T00:00:00"/>
    <x v="17"/>
    <x v="17"/>
    <x v="1"/>
    <x v="14"/>
    <x v="6"/>
    <x v="1"/>
  </r>
  <r>
    <d v="2024-06-27T00:00:00"/>
    <x v="6"/>
    <x v="106"/>
    <x v="1"/>
    <x v="15"/>
    <x v="3"/>
    <x v="1"/>
  </r>
  <r>
    <d v="2024-06-27T00:00:00"/>
    <x v="1"/>
    <x v="1"/>
    <x v="1"/>
    <x v="1"/>
    <x v="1"/>
    <x v="1"/>
  </r>
  <r>
    <d v="2024-06-28T00:00:00"/>
    <x v="1"/>
    <x v="1"/>
    <x v="1"/>
    <x v="1"/>
    <x v="1"/>
    <x v="1"/>
  </r>
  <r>
    <d v="2024-06-29T00:00:00"/>
    <x v="1"/>
    <x v="1"/>
    <x v="1"/>
    <x v="1"/>
    <x v="1"/>
    <x v="1"/>
  </r>
  <r>
    <d v="2024-06-30T00:00:00"/>
    <x v="1"/>
    <x v="1"/>
    <x v="1"/>
    <x v="1"/>
    <x v="1"/>
    <x v="1"/>
  </r>
  <r>
    <d v="2024-07-01T00:00:00"/>
    <x v="1"/>
    <x v="1"/>
    <x v="1"/>
    <x v="1"/>
    <x v="1"/>
    <x v="1"/>
  </r>
  <r>
    <d v="2024-07-01T00:00:00"/>
    <x v="4"/>
    <x v="107"/>
    <x v="1"/>
    <x v="4"/>
    <x v="2"/>
    <x v="1"/>
  </r>
  <r>
    <d v="2024-07-02T00:00:00"/>
    <x v="18"/>
    <x v="108"/>
    <x v="1"/>
    <x v="7"/>
    <x v="4"/>
    <x v="1"/>
  </r>
  <r>
    <d v="2024-07-02T00:00:00"/>
    <x v="19"/>
    <x v="109"/>
    <x v="1"/>
    <x v="6"/>
    <x v="4"/>
    <x v="1"/>
  </r>
  <r>
    <d v="2024-07-03T00:00:00"/>
    <x v="8"/>
    <x v="110"/>
    <x v="1"/>
    <x v="7"/>
    <x v="4"/>
    <x v="1"/>
  </r>
  <r>
    <d v="2024-07-03T00:00:00"/>
    <x v="10"/>
    <x v="111"/>
    <x v="1"/>
    <x v="9"/>
    <x v="3"/>
    <x v="1"/>
  </r>
  <r>
    <d v="2024-07-03T00:00:00"/>
    <x v="24"/>
    <x v="61"/>
    <x v="1"/>
    <x v="8"/>
    <x v="1"/>
    <x v="1"/>
  </r>
  <r>
    <d v="2024-07-04T00:00:00"/>
    <x v="1"/>
    <x v="1"/>
    <x v="1"/>
    <x v="1"/>
    <x v="1"/>
    <x v="1"/>
  </r>
  <r>
    <d v="2024-07-05T00:00:00"/>
    <x v="1"/>
    <x v="1"/>
    <x v="1"/>
    <x v="1"/>
    <x v="1"/>
    <x v="1"/>
  </r>
  <r>
    <d v="2024-07-06T00:00:00"/>
    <x v="0"/>
    <x v="0"/>
    <x v="0"/>
    <x v="16"/>
    <x v="0"/>
    <x v="0"/>
  </r>
  <r>
    <d v="2024-07-07T00:00:00"/>
    <x v="1"/>
    <x v="1"/>
    <x v="1"/>
    <x v="1"/>
    <x v="1"/>
    <x v="1"/>
  </r>
  <r>
    <d v="2024-07-09T00:00:00"/>
    <x v="2"/>
    <x v="2"/>
    <x v="1"/>
    <x v="2"/>
    <x v="2"/>
    <x v="1"/>
  </r>
  <r>
    <d v="2024-07-09T00:00:00"/>
    <x v="3"/>
    <x v="3"/>
    <x v="1"/>
    <x v="3"/>
    <x v="3"/>
    <x v="1"/>
  </r>
  <r>
    <d v="2024-07-09T00:00:00"/>
    <x v="27"/>
    <x v="61"/>
    <x v="1"/>
    <x v="8"/>
    <x v="1"/>
    <x v="1"/>
  </r>
  <r>
    <d v="2024-07-09T00:00:00"/>
    <x v="1"/>
    <x v="1"/>
    <x v="1"/>
    <x v="1"/>
    <x v="1"/>
    <x v="1"/>
  </r>
  <r>
    <d v="2024-07-10T00:00:00"/>
    <x v="1"/>
    <x v="1"/>
    <x v="1"/>
    <x v="1"/>
    <x v="1"/>
    <x v="1"/>
  </r>
  <r>
    <d v="2024-07-11T00:00:00"/>
    <x v="1"/>
    <x v="1"/>
    <x v="1"/>
    <x v="1"/>
    <x v="1"/>
    <x v="1"/>
  </r>
  <r>
    <d v="2024-07-11T00:00:00"/>
    <x v="4"/>
    <x v="112"/>
    <x v="1"/>
    <x v="4"/>
    <x v="2"/>
    <x v="1"/>
  </r>
  <r>
    <d v="2024-07-14T00:00:00"/>
    <x v="5"/>
    <x v="113"/>
    <x v="1"/>
    <x v="5"/>
    <x v="2"/>
    <x v="1"/>
  </r>
  <r>
    <d v="2024-07-14T00:00:00"/>
    <x v="1"/>
    <x v="1"/>
    <x v="1"/>
    <x v="1"/>
    <x v="1"/>
    <x v="1"/>
  </r>
  <r>
    <d v="2024-07-15T00:00:00"/>
    <x v="1"/>
    <x v="1"/>
    <x v="1"/>
    <x v="1"/>
    <x v="1"/>
    <x v="1"/>
  </r>
  <r>
    <d v="2024-07-16T00:00:00"/>
    <x v="6"/>
    <x v="114"/>
    <x v="1"/>
    <x v="15"/>
    <x v="3"/>
    <x v="1"/>
  </r>
  <r>
    <d v="2024-07-16T00:00:00"/>
    <x v="1"/>
    <x v="1"/>
    <x v="1"/>
    <x v="1"/>
    <x v="1"/>
    <x v="1"/>
  </r>
  <r>
    <d v="2024-07-17T00:00:00"/>
    <x v="1"/>
    <x v="1"/>
    <x v="1"/>
    <x v="1"/>
    <x v="1"/>
    <x v="1"/>
  </r>
  <r>
    <d v="2024-07-18T00:00:00"/>
    <x v="4"/>
    <x v="115"/>
    <x v="1"/>
    <x v="4"/>
    <x v="2"/>
    <x v="1"/>
  </r>
  <r>
    <d v="2024-07-18T00:00:00"/>
    <x v="1"/>
    <x v="1"/>
    <x v="1"/>
    <x v="1"/>
    <x v="1"/>
    <x v="1"/>
  </r>
  <r>
    <d v="2024-07-19T00:00:00"/>
    <x v="1"/>
    <x v="1"/>
    <x v="1"/>
    <x v="1"/>
    <x v="1"/>
    <x v="1"/>
  </r>
  <r>
    <d v="2024-07-19T00:00:00"/>
    <x v="7"/>
    <x v="116"/>
    <x v="1"/>
    <x v="6"/>
    <x v="4"/>
    <x v="1"/>
  </r>
  <r>
    <d v="2024-07-19T00:00:00"/>
    <x v="20"/>
    <x v="117"/>
    <x v="1"/>
    <x v="7"/>
    <x v="4"/>
    <x v="1"/>
  </r>
  <r>
    <d v="2024-07-19T00:00:00"/>
    <x v="9"/>
    <x v="118"/>
    <x v="1"/>
    <x v="8"/>
    <x v="1"/>
    <x v="1"/>
  </r>
  <r>
    <d v="2024-07-20T00:00:00"/>
    <x v="10"/>
    <x v="119"/>
    <x v="1"/>
    <x v="9"/>
    <x v="3"/>
    <x v="1"/>
  </r>
  <r>
    <d v="2024-07-21T00:00:00"/>
    <x v="11"/>
    <x v="0"/>
    <x v="7"/>
    <x v="10"/>
    <x v="5"/>
    <x v="0"/>
  </r>
  <r>
    <d v="2024-07-21T00:00:00"/>
    <x v="1"/>
    <x v="1"/>
    <x v="1"/>
    <x v="1"/>
    <x v="1"/>
    <x v="1"/>
  </r>
  <r>
    <d v="2024-07-22T00:00:00"/>
    <x v="1"/>
    <x v="1"/>
    <x v="1"/>
    <x v="1"/>
    <x v="1"/>
    <x v="1"/>
  </r>
  <r>
    <d v="2024-07-22T00:00:00"/>
    <x v="12"/>
    <x v="8"/>
    <x v="1"/>
    <x v="12"/>
    <x v="2"/>
    <x v="1"/>
  </r>
  <r>
    <d v="2024-07-23T00:00:00"/>
    <x v="13"/>
    <x v="25"/>
    <x v="1"/>
    <x v="13"/>
    <x v="4"/>
    <x v="1"/>
  </r>
  <r>
    <d v="2024-07-23T00:00:00"/>
    <x v="14"/>
    <x v="33"/>
    <x v="1"/>
    <x v="6"/>
    <x v="4"/>
    <x v="1"/>
  </r>
  <r>
    <d v="2024-07-23T00:00:00"/>
    <x v="1"/>
    <x v="1"/>
    <x v="1"/>
    <x v="1"/>
    <x v="1"/>
    <x v="1"/>
  </r>
  <r>
    <d v="2024-07-24T00:00:00"/>
    <x v="1"/>
    <x v="1"/>
    <x v="1"/>
    <x v="1"/>
    <x v="1"/>
    <x v="1"/>
  </r>
  <r>
    <d v="2024-07-25T00:00:00"/>
    <x v="1"/>
    <x v="1"/>
    <x v="1"/>
    <x v="1"/>
    <x v="1"/>
    <x v="1"/>
  </r>
  <r>
    <d v="2024-07-25T00:00:00"/>
    <x v="4"/>
    <x v="120"/>
    <x v="1"/>
    <x v="4"/>
    <x v="2"/>
    <x v="1"/>
  </r>
  <r>
    <d v="2024-07-26T00:00:00"/>
    <x v="15"/>
    <x v="121"/>
    <x v="1"/>
    <x v="8"/>
    <x v="1"/>
    <x v="1"/>
  </r>
  <r>
    <d v="2024-07-27T00:00:00"/>
    <x v="16"/>
    <x v="122"/>
    <x v="1"/>
    <x v="8"/>
    <x v="1"/>
    <x v="1"/>
  </r>
  <r>
    <d v="2024-07-28T00:00:00"/>
    <x v="17"/>
    <x v="17"/>
    <x v="1"/>
    <x v="14"/>
    <x v="6"/>
    <x v="1"/>
  </r>
  <r>
    <d v="2024-07-28T00:00:00"/>
    <x v="6"/>
    <x v="123"/>
    <x v="1"/>
    <x v="15"/>
    <x v="3"/>
    <x v="1"/>
  </r>
  <r>
    <d v="2024-07-28T00:00:00"/>
    <x v="1"/>
    <x v="1"/>
    <x v="1"/>
    <x v="1"/>
    <x v="1"/>
    <x v="1"/>
  </r>
  <r>
    <d v="2024-07-29T00:00:00"/>
    <x v="1"/>
    <x v="1"/>
    <x v="1"/>
    <x v="1"/>
    <x v="1"/>
    <x v="1"/>
  </r>
  <r>
    <d v="2024-07-30T00:00:00"/>
    <x v="1"/>
    <x v="1"/>
    <x v="1"/>
    <x v="1"/>
    <x v="1"/>
    <x v="1"/>
  </r>
  <r>
    <d v="2024-07-31T00:00:00"/>
    <x v="1"/>
    <x v="1"/>
    <x v="1"/>
    <x v="1"/>
    <x v="1"/>
    <x v="1"/>
  </r>
  <r>
    <d v="2024-08-01T00:00:00"/>
    <x v="1"/>
    <x v="1"/>
    <x v="1"/>
    <x v="1"/>
    <x v="1"/>
    <x v="1"/>
  </r>
  <r>
    <d v="2024-08-01T00:00:00"/>
    <x v="4"/>
    <x v="124"/>
    <x v="1"/>
    <x v="4"/>
    <x v="2"/>
    <x v="1"/>
  </r>
  <r>
    <d v="2024-08-02T00:00:00"/>
    <x v="18"/>
    <x v="125"/>
    <x v="1"/>
    <x v="7"/>
    <x v="4"/>
    <x v="1"/>
  </r>
  <r>
    <d v="2024-08-02T00:00:00"/>
    <x v="26"/>
    <x v="126"/>
    <x v="1"/>
    <x v="18"/>
    <x v="4"/>
    <x v="1"/>
  </r>
  <r>
    <d v="2024-08-03T00:00:00"/>
    <x v="8"/>
    <x v="127"/>
    <x v="1"/>
    <x v="7"/>
    <x v="4"/>
    <x v="1"/>
  </r>
  <r>
    <d v="2024-08-03T00:00:00"/>
    <x v="10"/>
    <x v="128"/>
    <x v="1"/>
    <x v="9"/>
    <x v="3"/>
    <x v="1"/>
  </r>
  <r>
    <d v="2024-08-03T00:00:00"/>
    <x v="24"/>
    <x v="61"/>
    <x v="1"/>
    <x v="8"/>
    <x v="1"/>
    <x v="1"/>
  </r>
  <r>
    <d v="2024-08-04T00:00:00"/>
    <x v="1"/>
    <x v="1"/>
    <x v="1"/>
    <x v="1"/>
    <x v="1"/>
    <x v="1"/>
  </r>
  <r>
    <d v="2024-08-06T00:00:00"/>
    <x v="1"/>
    <x v="1"/>
    <x v="1"/>
    <x v="1"/>
    <x v="1"/>
    <x v="1"/>
  </r>
  <r>
    <d v="2024-08-06T00:00:00"/>
    <x v="0"/>
    <x v="0"/>
    <x v="0"/>
    <x v="16"/>
    <x v="0"/>
    <x v="0"/>
  </r>
  <r>
    <d v="2024-08-07T00:00:00"/>
    <x v="1"/>
    <x v="1"/>
    <x v="1"/>
    <x v="1"/>
    <x v="1"/>
    <x v="1"/>
  </r>
  <r>
    <d v="2024-08-09T00:00:00"/>
    <x v="2"/>
    <x v="2"/>
    <x v="1"/>
    <x v="2"/>
    <x v="2"/>
    <x v="1"/>
  </r>
  <r>
    <d v="2024-08-09T00:00:00"/>
    <x v="3"/>
    <x v="3"/>
    <x v="1"/>
    <x v="3"/>
    <x v="3"/>
    <x v="1"/>
  </r>
  <r>
    <d v="2024-08-09T00:00:00"/>
    <x v="1"/>
    <x v="1"/>
    <x v="1"/>
    <x v="1"/>
    <x v="1"/>
    <x v="1"/>
  </r>
  <r>
    <d v="2024-08-09T00:00:00"/>
    <x v="1"/>
    <x v="1"/>
    <x v="1"/>
    <x v="1"/>
    <x v="1"/>
    <x v="1"/>
  </r>
  <r>
    <d v="2024-08-10T00:00:00"/>
    <x v="1"/>
    <x v="1"/>
    <x v="1"/>
    <x v="1"/>
    <x v="1"/>
    <x v="1"/>
  </r>
  <r>
    <d v="2024-08-11T00:00:00"/>
    <x v="1"/>
    <x v="1"/>
    <x v="1"/>
    <x v="1"/>
    <x v="1"/>
    <x v="1"/>
  </r>
  <r>
    <d v="2024-08-11T00:00:00"/>
    <x v="4"/>
    <x v="40"/>
    <x v="1"/>
    <x v="4"/>
    <x v="2"/>
    <x v="1"/>
  </r>
  <r>
    <d v="2024-08-14T00:00:00"/>
    <x v="5"/>
    <x v="129"/>
    <x v="1"/>
    <x v="5"/>
    <x v="2"/>
    <x v="1"/>
  </r>
  <r>
    <d v="2024-08-14T00:00:00"/>
    <x v="1"/>
    <x v="1"/>
    <x v="1"/>
    <x v="1"/>
    <x v="1"/>
    <x v="1"/>
  </r>
  <r>
    <d v="2024-08-15T00:00:00"/>
    <x v="1"/>
    <x v="1"/>
    <x v="1"/>
    <x v="1"/>
    <x v="1"/>
    <x v="1"/>
  </r>
  <r>
    <d v="2024-08-16T00:00:00"/>
    <x v="6"/>
    <x v="130"/>
    <x v="1"/>
    <x v="15"/>
    <x v="3"/>
    <x v="1"/>
  </r>
  <r>
    <d v="2024-08-16T00:00:00"/>
    <x v="1"/>
    <x v="1"/>
    <x v="1"/>
    <x v="1"/>
    <x v="1"/>
    <x v="1"/>
  </r>
  <r>
    <d v="2024-08-17T00:00:00"/>
    <x v="1"/>
    <x v="1"/>
    <x v="1"/>
    <x v="1"/>
    <x v="1"/>
    <x v="1"/>
  </r>
  <r>
    <d v="2024-08-18T00:00:00"/>
    <x v="4"/>
    <x v="131"/>
    <x v="1"/>
    <x v="4"/>
    <x v="2"/>
    <x v="1"/>
  </r>
  <r>
    <d v="2024-08-18T00:00:00"/>
    <x v="1"/>
    <x v="1"/>
    <x v="1"/>
    <x v="1"/>
    <x v="1"/>
    <x v="1"/>
  </r>
  <r>
    <d v="2024-08-19T00:00:00"/>
    <x v="1"/>
    <x v="1"/>
    <x v="1"/>
    <x v="1"/>
    <x v="1"/>
    <x v="1"/>
  </r>
  <r>
    <d v="2024-08-19T00:00:00"/>
    <x v="7"/>
    <x v="51"/>
    <x v="1"/>
    <x v="6"/>
    <x v="4"/>
    <x v="1"/>
  </r>
  <r>
    <d v="2024-08-19T00:00:00"/>
    <x v="28"/>
    <x v="132"/>
    <x v="1"/>
    <x v="7"/>
    <x v="4"/>
    <x v="1"/>
  </r>
  <r>
    <d v="2024-08-19T00:00:00"/>
    <x v="9"/>
    <x v="133"/>
    <x v="1"/>
    <x v="8"/>
    <x v="1"/>
    <x v="1"/>
  </r>
  <r>
    <d v="2024-08-20T00:00:00"/>
    <x v="10"/>
    <x v="134"/>
    <x v="1"/>
    <x v="9"/>
    <x v="3"/>
    <x v="1"/>
  </r>
  <r>
    <d v="2024-08-21T00:00:00"/>
    <x v="11"/>
    <x v="0"/>
    <x v="3"/>
    <x v="10"/>
    <x v="5"/>
    <x v="0"/>
  </r>
  <r>
    <d v="2024-08-21T00:00:00"/>
    <x v="1"/>
    <x v="1"/>
    <x v="1"/>
    <x v="1"/>
    <x v="1"/>
    <x v="1"/>
  </r>
  <r>
    <d v="2024-08-22T00:00:00"/>
    <x v="1"/>
    <x v="1"/>
    <x v="1"/>
    <x v="1"/>
    <x v="1"/>
    <x v="1"/>
  </r>
  <r>
    <d v="2024-08-22T00:00:00"/>
    <x v="12"/>
    <x v="8"/>
    <x v="1"/>
    <x v="12"/>
    <x v="2"/>
    <x v="1"/>
  </r>
  <r>
    <d v="2024-08-23T00:00:00"/>
    <x v="13"/>
    <x v="44"/>
    <x v="1"/>
    <x v="13"/>
    <x v="4"/>
    <x v="1"/>
  </r>
  <r>
    <d v="2024-08-23T00:00:00"/>
    <x v="14"/>
    <x v="33"/>
    <x v="1"/>
    <x v="6"/>
    <x v="4"/>
    <x v="1"/>
  </r>
  <r>
    <d v="2024-08-23T00:00:00"/>
    <x v="1"/>
    <x v="1"/>
    <x v="1"/>
    <x v="1"/>
    <x v="1"/>
    <x v="1"/>
  </r>
  <r>
    <d v="2024-08-24T00:00:00"/>
    <x v="1"/>
    <x v="1"/>
    <x v="1"/>
    <x v="1"/>
    <x v="1"/>
    <x v="1"/>
  </r>
  <r>
    <d v="2024-08-25T00:00:00"/>
    <x v="1"/>
    <x v="1"/>
    <x v="1"/>
    <x v="1"/>
    <x v="1"/>
    <x v="1"/>
  </r>
  <r>
    <d v="2024-08-25T00:00:00"/>
    <x v="4"/>
    <x v="135"/>
    <x v="1"/>
    <x v="4"/>
    <x v="2"/>
    <x v="1"/>
  </r>
  <r>
    <d v="2024-08-26T00:00:00"/>
    <x v="15"/>
    <x v="136"/>
    <x v="1"/>
    <x v="8"/>
    <x v="1"/>
    <x v="1"/>
  </r>
  <r>
    <d v="2024-08-27T00:00:00"/>
    <x v="16"/>
    <x v="137"/>
    <x v="1"/>
    <x v="8"/>
    <x v="1"/>
    <x v="1"/>
  </r>
  <r>
    <d v="2024-08-28T00:00:00"/>
    <x v="17"/>
    <x v="17"/>
    <x v="1"/>
    <x v="14"/>
    <x v="6"/>
    <x v="1"/>
  </r>
  <r>
    <d v="2024-08-28T00:00:00"/>
    <x v="6"/>
    <x v="138"/>
    <x v="1"/>
    <x v="15"/>
    <x v="3"/>
    <x v="1"/>
  </r>
  <r>
    <d v="2024-08-28T00:00:00"/>
    <x v="1"/>
    <x v="1"/>
    <x v="1"/>
    <x v="1"/>
    <x v="1"/>
    <x v="1"/>
  </r>
  <r>
    <d v="2024-08-29T00:00:00"/>
    <x v="1"/>
    <x v="1"/>
    <x v="1"/>
    <x v="1"/>
    <x v="1"/>
    <x v="1"/>
  </r>
  <r>
    <d v="2024-08-30T00:00:00"/>
    <x v="1"/>
    <x v="1"/>
    <x v="1"/>
    <x v="1"/>
    <x v="1"/>
    <x v="1"/>
  </r>
  <r>
    <d v="2024-08-31T00:00:00"/>
    <x v="1"/>
    <x v="1"/>
    <x v="1"/>
    <x v="1"/>
    <x v="1"/>
    <x v="1"/>
  </r>
  <r>
    <d v="2024-09-01T00:00:00"/>
    <x v="1"/>
    <x v="1"/>
    <x v="1"/>
    <x v="1"/>
    <x v="1"/>
    <x v="1"/>
  </r>
  <r>
    <d v="2024-09-01T00:00:00"/>
    <x v="4"/>
    <x v="139"/>
    <x v="1"/>
    <x v="4"/>
    <x v="2"/>
    <x v="1"/>
  </r>
  <r>
    <d v="2024-09-02T00:00:00"/>
    <x v="18"/>
    <x v="140"/>
    <x v="1"/>
    <x v="7"/>
    <x v="4"/>
    <x v="1"/>
  </r>
  <r>
    <d v="2024-09-02T00:00:00"/>
    <x v="19"/>
    <x v="141"/>
    <x v="1"/>
    <x v="6"/>
    <x v="4"/>
    <x v="1"/>
  </r>
  <r>
    <d v="2024-09-03T00:00:00"/>
    <x v="8"/>
    <x v="142"/>
    <x v="1"/>
    <x v="7"/>
    <x v="4"/>
    <x v="1"/>
  </r>
  <r>
    <d v="2024-09-03T00:00:00"/>
    <x v="10"/>
    <x v="143"/>
    <x v="1"/>
    <x v="9"/>
    <x v="3"/>
    <x v="1"/>
  </r>
  <r>
    <d v="2024-09-03T00:00:00"/>
    <x v="24"/>
    <x v="61"/>
    <x v="1"/>
    <x v="8"/>
    <x v="1"/>
    <x v="1"/>
  </r>
  <r>
    <d v="2024-09-04T00:00:00"/>
    <x v="1"/>
    <x v="1"/>
    <x v="1"/>
    <x v="1"/>
    <x v="1"/>
    <x v="1"/>
  </r>
  <r>
    <d v="2024-09-06T00:00:00"/>
    <x v="1"/>
    <x v="1"/>
    <x v="1"/>
    <x v="1"/>
    <x v="1"/>
    <x v="1"/>
  </r>
  <r>
    <d v="2024-09-06T00:00:00"/>
    <x v="0"/>
    <x v="0"/>
    <x v="0"/>
    <x v="16"/>
    <x v="0"/>
    <x v="0"/>
  </r>
  <r>
    <d v="2024-09-07T00:00:00"/>
    <x v="1"/>
    <x v="1"/>
    <x v="1"/>
    <x v="1"/>
    <x v="1"/>
    <x v="1"/>
  </r>
  <r>
    <d v="2024-09-09T00:00:00"/>
    <x v="2"/>
    <x v="2"/>
    <x v="1"/>
    <x v="2"/>
    <x v="2"/>
    <x v="1"/>
  </r>
  <r>
    <d v="2024-09-09T00:00:00"/>
    <x v="3"/>
    <x v="3"/>
    <x v="1"/>
    <x v="3"/>
    <x v="3"/>
    <x v="1"/>
  </r>
  <r>
    <d v="2024-09-09T00:00:00"/>
    <x v="1"/>
    <x v="1"/>
    <x v="1"/>
    <x v="1"/>
    <x v="1"/>
    <x v="1"/>
  </r>
  <r>
    <d v="2024-09-09T00:00:00"/>
    <x v="1"/>
    <x v="1"/>
    <x v="1"/>
    <x v="1"/>
    <x v="1"/>
    <x v="1"/>
  </r>
  <r>
    <d v="2024-09-10T00:00:00"/>
    <x v="1"/>
    <x v="1"/>
    <x v="1"/>
    <x v="1"/>
    <x v="1"/>
    <x v="1"/>
  </r>
  <r>
    <d v="2024-09-11T00:00:00"/>
    <x v="1"/>
    <x v="1"/>
    <x v="1"/>
    <x v="1"/>
    <x v="1"/>
    <x v="1"/>
  </r>
  <r>
    <d v="2024-09-11T00:00:00"/>
    <x v="4"/>
    <x v="144"/>
    <x v="1"/>
    <x v="4"/>
    <x v="2"/>
    <x v="1"/>
  </r>
  <r>
    <d v="2024-09-14T00:00:00"/>
    <x v="5"/>
    <x v="145"/>
    <x v="1"/>
    <x v="5"/>
    <x v="2"/>
    <x v="1"/>
  </r>
  <r>
    <d v="2024-09-14T00:00:00"/>
    <x v="1"/>
    <x v="1"/>
    <x v="1"/>
    <x v="1"/>
    <x v="1"/>
    <x v="1"/>
  </r>
  <r>
    <d v="2024-09-15T00:00:00"/>
    <x v="1"/>
    <x v="1"/>
    <x v="1"/>
    <x v="1"/>
    <x v="1"/>
    <x v="1"/>
  </r>
  <r>
    <d v="2024-09-16T00:00:00"/>
    <x v="6"/>
    <x v="146"/>
    <x v="1"/>
    <x v="15"/>
    <x v="3"/>
    <x v="1"/>
  </r>
  <r>
    <d v="2024-09-16T00:00:00"/>
    <x v="1"/>
    <x v="1"/>
    <x v="1"/>
    <x v="1"/>
    <x v="1"/>
    <x v="1"/>
  </r>
  <r>
    <d v="2024-09-17T00:00:00"/>
    <x v="1"/>
    <x v="1"/>
    <x v="1"/>
    <x v="1"/>
    <x v="1"/>
    <x v="1"/>
  </r>
  <r>
    <d v="2024-09-18T00:00:00"/>
    <x v="4"/>
    <x v="147"/>
    <x v="1"/>
    <x v="4"/>
    <x v="2"/>
    <x v="1"/>
  </r>
  <r>
    <d v="2024-09-18T00:00:00"/>
    <x v="1"/>
    <x v="1"/>
    <x v="1"/>
    <x v="1"/>
    <x v="1"/>
    <x v="1"/>
  </r>
  <r>
    <d v="2024-09-19T00:00:00"/>
    <x v="1"/>
    <x v="1"/>
    <x v="1"/>
    <x v="1"/>
    <x v="1"/>
    <x v="1"/>
  </r>
  <r>
    <d v="2024-09-19T00:00:00"/>
    <x v="7"/>
    <x v="148"/>
    <x v="1"/>
    <x v="6"/>
    <x v="4"/>
    <x v="1"/>
  </r>
  <r>
    <d v="2024-09-19T00:00:00"/>
    <x v="20"/>
    <x v="149"/>
    <x v="1"/>
    <x v="7"/>
    <x v="4"/>
    <x v="1"/>
  </r>
  <r>
    <d v="2024-09-19T00:00:00"/>
    <x v="9"/>
    <x v="150"/>
    <x v="1"/>
    <x v="8"/>
    <x v="1"/>
    <x v="1"/>
  </r>
  <r>
    <d v="2024-09-20T00:00:00"/>
    <x v="10"/>
    <x v="151"/>
    <x v="1"/>
    <x v="9"/>
    <x v="3"/>
    <x v="1"/>
  </r>
  <r>
    <d v="2024-09-21T00:00:00"/>
    <x v="11"/>
    <x v="0"/>
    <x v="6"/>
    <x v="10"/>
    <x v="5"/>
    <x v="0"/>
  </r>
  <r>
    <d v="2024-09-21T00:00:00"/>
    <x v="1"/>
    <x v="1"/>
    <x v="1"/>
    <x v="1"/>
    <x v="1"/>
    <x v="1"/>
  </r>
  <r>
    <d v="2024-09-22T00:00:00"/>
    <x v="1"/>
    <x v="1"/>
    <x v="1"/>
    <x v="1"/>
    <x v="1"/>
    <x v="1"/>
  </r>
  <r>
    <d v="2024-09-22T00:00:00"/>
    <x v="12"/>
    <x v="8"/>
    <x v="1"/>
    <x v="12"/>
    <x v="2"/>
    <x v="1"/>
  </r>
  <r>
    <d v="2024-09-23T00:00:00"/>
    <x v="13"/>
    <x v="30"/>
    <x v="1"/>
    <x v="13"/>
    <x v="4"/>
    <x v="1"/>
  </r>
  <r>
    <d v="2024-09-23T00:00:00"/>
    <x v="14"/>
    <x v="33"/>
    <x v="1"/>
    <x v="6"/>
    <x v="4"/>
    <x v="1"/>
  </r>
  <r>
    <d v="2024-09-23T00:00:00"/>
    <x v="1"/>
    <x v="1"/>
    <x v="1"/>
    <x v="1"/>
    <x v="1"/>
    <x v="1"/>
  </r>
  <r>
    <d v="2024-09-24T00:00:00"/>
    <x v="1"/>
    <x v="1"/>
    <x v="1"/>
    <x v="1"/>
    <x v="1"/>
    <x v="1"/>
  </r>
  <r>
    <d v="2024-09-25T00:00:00"/>
    <x v="1"/>
    <x v="1"/>
    <x v="1"/>
    <x v="1"/>
    <x v="1"/>
    <x v="1"/>
  </r>
  <r>
    <d v="2024-09-25T00:00:00"/>
    <x v="4"/>
    <x v="152"/>
    <x v="1"/>
    <x v="4"/>
    <x v="2"/>
    <x v="1"/>
  </r>
  <r>
    <d v="2024-09-26T00:00:00"/>
    <x v="15"/>
    <x v="153"/>
    <x v="1"/>
    <x v="8"/>
    <x v="1"/>
    <x v="1"/>
  </r>
  <r>
    <d v="2024-09-27T00:00:00"/>
    <x v="16"/>
    <x v="154"/>
    <x v="1"/>
    <x v="8"/>
    <x v="1"/>
    <x v="1"/>
  </r>
  <r>
    <d v="2024-09-28T00:00:00"/>
    <x v="17"/>
    <x v="17"/>
    <x v="1"/>
    <x v="14"/>
    <x v="6"/>
    <x v="1"/>
  </r>
  <r>
    <d v="2024-09-28T00:00:00"/>
    <x v="6"/>
    <x v="155"/>
    <x v="1"/>
    <x v="15"/>
    <x v="3"/>
    <x v="1"/>
  </r>
  <r>
    <d v="2024-09-28T00:00:00"/>
    <x v="1"/>
    <x v="1"/>
    <x v="1"/>
    <x v="1"/>
    <x v="1"/>
    <x v="1"/>
  </r>
  <r>
    <d v="2024-09-29T00:00:00"/>
    <x v="1"/>
    <x v="1"/>
    <x v="1"/>
    <x v="1"/>
    <x v="1"/>
    <x v="1"/>
  </r>
  <r>
    <d v="2024-09-30T00:00:00"/>
    <x v="1"/>
    <x v="1"/>
    <x v="1"/>
    <x v="1"/>
    <x v="1"/>
    <x v="1"/>
  </r>
  <r>
    <d v="2024-10-01T00:00:00"/>
    <x v="1"/>
    <x v="1"/>
    <x v="1"/>
    <x v="1"/>
    <x v="1"/>
    <x v="1"/>
  </r>
  <r>
    <d v="2024-10-02T00:00:00"/>
    <x v="1"/>
    <x v="1"/>
    <x v="1"/>
    <x v="1"/>
    <x v="1"/>
    <x v="1"/>
  </r>
  <r>
    <d v="2024-10-02T00:00:00"/>
    <x v="4"/>
    <x v="156"/>
    <x v="1"/>
    <x v="4"/>
    <x v="2"/>
    <x v="1"/>
  </r>
  <r>
    <d v="2024-10-03T00:00:00"/>
    <x v="18"/>
    <x v="157"/>
    <x v="1"/>
    <x v="7"/>
    <x v="4"/>
    <x v="1"/>
  </r>
  <r>
    <d v="2024-10-03T00:00:00"/>
    <x v="21"/>
    <x v="21"/>
    <x v="1"/>
    <x v="7"/>
    <x v="4"/>
    <x v="1"/>
  </r>
  <r>
    <d v="2024-10-04T00:00:00"/>
    <x v="8"/>
    <x v="158"/>
    <x v="1"/>
    <x v="7"/>
    <x v="4"/>
    <x v="1"/>
  </r>
  <r>
    <d v="2024-10-04T00:00:00"/>
    <x v="10"/>
    <x v="159"/>
    <x v="1"/>
    <x v="9"/>
    <x v="3"/>
    <x v="1"/>
  </r>
  <r>
    <d v="2024-10-04T00:00:00"/>
    <x v="24"/>
    <x v="61"/>
    <x v="1"/>
    <x v="8"/>
    <x v="1"/>
    <x v="1"/>
  </r>
  <r>
    <d v="2024-10-05T00:00:00"/>
    <x v="1"/>
    <x v="1"/>
    <x v="1"/>
    <x v="1"/>
    <x v="1"/>
    <x v="1"/>
  </r>
  <r>
    <d v="2024-10-07T00:00:00"/>
    <x v="1"/>
    <x v="1"/>
    <x v="1"/>
    <x v="1"/>
    <x v="1"/>
    <x v="1"/>
  </r>
  <r>
    <d v="2024-10-07T00:00:00"/>
    <x v="0"/>
    <x v="0"/>
    <x v="0"/>
    <x v="16"/>
    <x v="0"/>
    <x v="0"/>
  </r>
  <r>
    <d v="2024-10-08T00:00:00"/>
    <x v="1"/>
    <x v="1"/>
    <x v="1"/>
    <x v="1"/>
    <x v="1"/>
    <x v="1"/>
  </r>
  <r>
    <d v="2024-10-10T00:00:00"/>
    <x v="2"/>
    <x v="2"/>
    <x v="1"/>
    <x v="2"/>
    <x v="2"/>
    <x v="1"/>
  </r>
  <r>
    <d v="2024-10-10T00:00:00"/>
    <x v="3"/>
    <x v="3"/>
    <x v="1"/>
    <x v="3"/>
    <x v="3"/>
    <x v="1"/>
  </r>
  <r>
    <d v="2024-10-10T00:00:00"/>
    <x v="1"/>
    <x v="1"/>
    <x v="1"/>
    <x v="1"/>
    <x v="1"/>
    <x v="1"/>
  </r>
  <r>
    <d v="2024-10-10T00:00:00"/>
    <x v="1"/>
    <x v="1"/>
    <x v="1"/>
    <x v="1"/>
    <x v="1"/>
    <x v="1"/>
  </r>
  <r>
    <d v="2024-10-11T00:00:00"/>
    <x v="1"/>
    <x v="1"/>
    <x v="1"/>
    <x v="1"/>
    <x v="1"/>
    <x v="1"/>
  </r>
  <r>
    <d v="2024-10-12T00:00:00"/>
    <x v="1"/>
    <x v="1"/>
    <x v="1"/>
    <x v="1"/>
    <x v="1"/>
    <x v="1"/>
  </r>
  <r>
    <d v="2024-10-12T00:00:00"/>
    <x v="4"/>
    <x v="160"/>
    <x v="1"/>
    <x v="4"/>
    <x v="2"/>
    <x v="1"/>
  </r>
  <r>
    <d v="2024-10-15T00:00:00"/>
    <x v="5"/>
    <x v="161"/>
    <x v="1"/>
    <x v="5"/>
    <x v="2"/>
    <x v="1"/>
  </r>
  <r>
    <d v="2024-10-15T00:00:00"/>
    <x v="1"/>
    <x v="1"/>
    <x v="1"/>
    <x v="1"/>
    <x v="1"/>
    <x v="1"/>
  </r>
  <r>
    <d v="2024-10-16T00:00:00"/>
    <x v="1"/>
    <x v="1"/>
    <x v="1"/>
    <x v="1"/>
    <x v="1"/>
    <x v="1"/>
  </r>
  <r>
    <d v="2024-10-17T00:00:00"/>
    <x v="6"/>
    <x v="162"/>
    <x v="1"/>
    <x v="15"/>
    <x v="3"/>
    <x v="1"/>
  </r>
  <r>
    <d v="2024-10-17T00:00:00"/>
    <x v="1"/>
    <x v="1"/>
    <x v="1"/>
    <x v="1"/>
    <x v="1"/>
    <x v="1"/>
  </r>
  <r>
    <d v="2024-10-18T00:00:00"/>
    <x v="1"/>
    <x v="1"/>
    <x v="1"/>
    <x v="1"/>
    <x v="1"/>
    <x v="1"/>
  </r>
  <r>
    <d v="2024-10-19T00:00:00"/>
    <x v="4"/>
    <x v="163"/>
    <x v="1"/>
    <x v="4"/>
    <x v="2"/>
    <x v="1"/>
  </r>
  <r>
    <d v="2024-10-19T00:00:00"/>
    <x v="1"/>
    <x v="1"/>
    <x v="1"/>
    <x v="1"/>
    <x v="1"/>
    <x v="1"/>
  </r>
  <r>
    <d v="2024-10-20T00:00:00"/>
    <x v="1"/>
    <x v="1"/>
    <x v="1"/>
    <x v="1"/>
    <x v="1"/>
    <x v="1"/>
  </r>
  <r>
    <d v="2024-10-20T00:00:00"/>
    <x v="7"/>
    <x v="164"/>
    <x v="1"/>
    <x v="6"/>
    <x v="4"/>
    <x v="1"/>
  </r>
  <r>
    <d v="2024-10-20T00:00:00"/>
    <x v="20"/>
    <x v="165"/>
    <x v="1"/>
    <x v="7"/>
    <x v="4"/>
    <x v="1"/>
  </r>
  <r>
    <d v="2024-10-20T00:00:00"/>
    <x v="9"/>
    <x v="166"/>
    <x v="1"/>
    <x v="8"/>
    <x v="1"/>
    <x v="1"/>
  </r>
  <r>
    <d v="2024-10-21T00:00:00"/>
    <x v="10"/>
    <x v="167"/>
    <x v="1"/>
    <x v="9"/>
    <x v="3"/>
    <x v="1"/>
  </r>
  <r>
    <d v="2024-10-22T00:00:00"/>
    <x v="11"/>
    <x v="0"/>
    <x v="6"/>
    <x v="10"/>
    <x v="5"/>
    <x v="0"/>
  </r>
  <r>
    <d v="2024-10-22T00:00:00"/>
    <x v="1"/>
    <x v="1"/>
    <x v="1"/>
    <x v="1"/>
    <x v="1"/>
    <x v="1"/>
  </r>
  <r>
    <d v="2024-10-23T00:00:00"/>
    <x v="1"/>
    <x v="1"/>
    <x v="1"/>
    <x v="1"/>
    <x v="1"/>
    <x v="1"/>
  </r>
  <r>
    <d v="2024-10-23T00:00:00"/>
    <x v="22"/>
    <x v="50"/>
    <x v="1"/>
    <x v="17"/>
    <x v="7"/>
    <x v="1"/>
  </r>
  <r>
    <d v="2024-10-23T00:00:00"/>
    <x v="12"/>
    <x v="8"/>
    <x v="1"/>
    <x v="12"/>
    <x v="2"/>
    <x v="1"/>
  </r>
  <r>
    <d v="2024-10-24T00:00:00"/>
    <x v="13"/>
    <x v="79"/>
    <x v="1"/>
    <x v="13"/>
    <x v="4"/>
    <x v="1"/>
  </r>
  <r>
    <d v="2024-10-24T00:00:00"/>
    <x v="14"/>
    <x v="33"/>
    <x v="1"/>
    <x v="6"/>
    <x v="4"/>
    <x v="1"/>
  </r>
  <r>
    <d v="2024-10-24T00:00:00"/>
    <x v="1"/>
    <x v="1"/>
    <x v="1"/>
    <x v="1"/>
    <x v="1"/>
    <x v="1"/>
  </r>
  <r>
    <d v="2024-10-25T00:00:00"/>
    <x v="1"/>
    <x v="1"/>
    <x v="1"/>
    <x v="1"/>
    <x v="1"/>
    <x v="1"/>
  </r>
  <r>
    <d v="2024-10-26T00:00:00"/>
    <x v="1"/>
    <x v="1"/>
    <x v="1"/>
    <x v="1"/>
    <x v="1"/>
    <x v="1"/>
  </r>
  <r>
    <d v="2024-10-26T00:00:00"/>
    <x v="4"/>
    <x v="168"/>
    <x v="1"/>
    <x v="4"/>
    <x v="2"/>
    <x v="1"/>
  </r>
  <r>
    <d v="2024-10-27T00:00:00"/>
    <x v="15"/>
    <x v="169"/>
    <x v="1"/>
    <x v="8"/>
    <x v="1"/>
    <x v="1"/>
  </r>
  <r>
    <d v="2024-10-28T00:00:00"/>
    <x v="16"/>
    <x v="170"/>
    <x v="1"/>
    <x v="8"/>
    <x v="1"/>
    <x v="1"/>
  </r>
  <r>
    <d v="2024-10-29T00:00:00"/>
    <x v="17"/>
    <x v="17"/>
    <x v="1"/>
    <x v="14"/>
    <x v="6"/>
    <x v="1"/>
  </r>
  <r>
    <d v="2024-10-29T00:00:00"/>
    <x v="6"/>
    <x v="171"/>
    <x v="1"/>
    <x v="15"/>
    <x v="3"/>
    <x v="1"/>
  </r>
  <r>
    <d v="2024-10-29T00:00:00"/>
    <x v="1"/>
    <x v="1"/>
    <x v="1"/>
    <x v="1"/>
    <x v="1"/>
    <x v="1"/>
  </r>
  <r>
    <d v="2024-10-30T00:00:00"/>
    <x v="1"/>
    <x v="1"/>
    <x v="1"/>
    <x v="1"/>
    <x v="1"/>
    <x v="1"/>
  </r>
  <r>
    <d v="2024-10-31T00:00:00"/>
    <x v="1"/>
    <x v="1"/>
    <x v="1"/>
    <x v="1"/>
    <x v="1"/>
    <x v="1"/>
  </r>
  <r>
    <d v="2024-11-01T00:00:00"/>
    <x v="1"/>
    <x v="1"/>
    <x v="1"/>
    <x v="1"/>
    <x v="1"/>
    <x v="1"/>
  </r>
  <r>
    <d v="2024-11-02T00:00:00"/>
    <x v="1"/>
    <x v="1"/>
    <x v="1"/>
    <x v="1"/>
    <x v="1"/>
    <x v="1"/>
  </r>
  <r>
    <d v="2024-11-02T00:00:00"/>
    <x v="4"/>
    <x v="172"/>
    <x v="1"/>
    <x v="4"/>
    <x v="2"/>
    <x v="1"/>
  </r>
  <r>
    <d v="2024-11-03T00:00:00"/>
    <x v="18"/>
    <x v="173"/>
    <x v="1"/>
    <x v="7"/>
    <x v="4"/>
    <x v="1"/>
  </r>
  <r>
    <d v="2024-11-03T00:00:00"/>
    <x v="19"/>
    <x v="174"/>
    <x v="1"/>
    <x v="6"/>
    <x v="4"/>
    <x v="1"/>
  </r>
  <r>
    <d v="2024-11-04T00:00:00"/>
    <x v="29"/>
    <x v="175"/>
    <x v="1"/>
    <x v="7"/>
    <x v="4"/>
    <x v="1"/>
  </r>
  <r>
    <d v="2024-11-04T00:00:00"/>
    <x v="10"/>
    <x v="176"/>
    <x v="1"/>
    <x v="9"/>
    <x v="3"/>
    <x v="1"/>
  </r>
  <r>
    <d v="2024-11-04T00:00:00"/>
    <x v="24"/>
    <x v="61"/>
    <x v="1"/>
    <x v="8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6">
  <r>
    <d v="2024-01-09T00:00:00"/>
    <s v="Nextleap DAF"/>
    <n v="0"/>
    <n v="120000"/>
    <s v="Nextleap DAF"/>
    <s v="Salary"/>
    <s v="Income"/>
    <x v="0"/>
  </r>
  <r>
    <d v="2024-01-09T00:00:00"/>
    <s v="Drink"/>
    <n v="120"/>
    <n v="0"/>
    <s v="Coffee"/>
    <s v="Dining Out"/>
    <s v="Expense"/>
    <x v="0"/>
  </r>
  <r>
    <d v="2024-01-10T00:00:00"/>
    <s v="Flat Expenses"/>
    <n v="21600"/>
    <n v="0"/>
    <s v="Rent"/>
    <s v="Living Expenses"/>
    <s v="Expense"/>
    <x v="0"/>
  </r>
  <r>
    <d v="2024-01-10T00:00:00"/>
    <s v="EMI"/>
    <n v="3600"/>
    <n v="0"/>
    <s v="Cash loan"/>
    <s v="Transport"/>
    <s v="Expense"/>
    <x v="0"/>
  </r>
  <r>
    <d v="2024-01-10T00:00:00"/>
    <s v="Drink"/>
    <n v="120"/>
    <n v="0"/>
    <s v="Coffee"/>
    <s v="Dining Out"/>
    <s v="Expense"/>
    <x v="0"/>
  </r>
  <r>
    <d v="2024-01-11T00:00:00"/>
    <s v="Drink"/>
    <n v="120"/>
    <n v="0"/>
    <s v="Coffee"/>
    <s v="Dining Out"/>
    <s v="Expense"/>
    <x v="0"/>
  </r>
  <r>
    <d v="2024-01-12T00:00:00"/>
    <s v="Drink"/>
    <n v="120"/>
    <n v="0"/>
    <s v="Coffee"/>
    <s v="Dining Out"/>
    <s v="Expense"/>
    <x v="0"/>
  </r>
  <r>
    <d v="2024-01-13T00:00:00"/>
    <s v="Drink"/>
    <n v="120"/>
    <n v="0"/>
    <s v="Coffee"/>
    <s v="Dining Out"/>
    <s v="Expense"/>
    <x v="0"/>
  </r>
  <r>
    <d v="2024-01-13T00:00:00"/>
    <s v="Green's"/>
    <n v="3720"/>
    <n v="0"/>
    <s v="Groceries"/>
    <s v="Living Expenses"/>
    <s v="Expense"/>
    <x v="0"/>
  </r>
  <r>
    <d v="2024-01-16T00:00:00"/>
    <s v="Power source"/>
    <n v="1200"/>
    <n v="0"/>
    <s v="Gas/Electrics"/>
    <s v="Living Expenses"/>
    <s v="Expense"/>
    <x v="0"/>
  </r>
  <r>
    <d v="2024-01-16T00:00:00"/>
    <s v="Drink"/>
    <n v="120"/>
    <n v="0"/>
    <s v="Coffee"/>
    <s v="Dining Out"/>
    <s v="Expense"/>
    <x v="0"/>
  </r>
  <r>
    <d v="2024-01-17T00:00:00"/>
    <s v="Drink"/>
    <n v="120"/>
    <n v="0"/>
    <s v="Coffee"/>
    <s v="Dining Out"/>
    <s v="Expense"/>
    <x v="0"/>
  </r>
  <r>
    <d v="2024-01-18T00:00:00"/>
    <s v="Fuel"/>
    <n v="1848"/>
    <n v="0"/>
    <s v="Coffee"/>
    <s v="Dining Out"/>
    <s v="Expense"/>
    <x v="0"/>
  </r>
  <r>
    <d v="2024-01-18T00:00:00"/>
    <s v="Drink"/>
    <n v="120"/>
    <n v="0"/>
    <s v="Coffee"/>
    <s v="Dining Out"/>
    <s v="Expense"/>
    <x v="0"/>
  </r>
  <r>
    <d v="2024-01-19T00:00:00"/>
    <s v="Drink"/>
    <n v="120"/>
    <n v="0"/>
    <s v="Coffee"/>
    <s v="Dining Out"/>
    <s v="Expense"/>
    <x v="0"/>
  </r>
  <r>
    <d v="2024-01-20T00:00:00"/>
    <s v="Green's"/>
    <n v="3240"/>
    <n v="0"/>
    <s v="Groceries"/>
    <s v="Living Expenses"/>
    <s v="Expense"/>
    <x v="0"/>
  </r>
  <r>
    <d v="2024-01-20T00:00:00"/>
    <s v="Drink"/>
    <n v="120"/>
    <n v="0"/>
    <s v="Coffee"/>
    <s v="Dining Out"/>
    <s v="Expense"/>
    <x v="0"/>
  </r>
  <r>
    <d v="2024-01-21T00:00:00"/>
    <s v="Drink"/>
    <n v="120"/>
    <n v="0"/>
    <s v="Coffee"/>
    <s v="Dining Out"/>
    <s v="Expense"/>
    <x v="0"/>
  </r>
  <r>
    <d v="2024-01-21T00:00:00"/>
    <s v="Cinemas"/>
    <n v="960"/>
    <n v="0"/>
    <s v="Entertainment"/>
    <s v="Discretionary"/>
    <s v="Expense"/>
    <x v="0"/>
  </r>
  <r>
    <d v="2024-01-21T00:00:00"/>
    <s v="Zara Clothes"/>
    <n v="2352"/>
    <n v="0"/>
    <s v="Clothes"/>
    <s v="Discretionary"/>
    <s v="Expense"/>
    <x v="0"/>
  </r>
  <r>
    <d v="2024-01-21T00:00:00"/>
    <s v="Swiggy"/>
    <n v="1248"/>
    <n v="0"/>
    <s v="Restaurant"/>
    <s v="Dining Out"/>
    <s v="Expense"/>
    <x v="0"/>
  </r>
  <r>
    <d v="2024-01-22T00:00:00"/>
    <s v="Ola"/>
    <n v="672"/>
    <n v="0"/>
    <s v="Taxi"/>
    <s v="Transport"/>
    <s v="Expense"/>
    <x v="0"/>
  </r>
  <r>
    <d v="2024-01-23T00:00:00"/>
    <s v="Onlne earning"/>
    <n v="0"/>
    <n v="108000"/>
    <s v="YouTube"/>
    <s v="Passive"/>
    <s v="Income"/>
    <x v="0"/>
  </r>
  <r>
    <d v="2024-01-23T00:00:00"/>
    <s v="Drink"/>
    <n v="120"/>
    <n v="0"/>
    <s v="Coffee"/>
    <s v="Dining Out"/>
    <s v="Expense"/>
    <x v="0"/>
  </r>
  <r>
    <d v="2024-01-24T00:00:00"/>
    <s v="Drink"/>
    <n v="120"/>
    <n v="0"/>
    <s v="Coffee"/>
    <s v="Dining Out"/>
    <s v="Expense"/>
    <x v="0"/>
  </r>
  <r>
    <d v="2024-01-24T00:00:00"/>
    <s v="Onlne earning"/>
    <n v="0"/>
    <n v="108000"/>
    <s v="Teachable"/>
    <s v="Passive"/>
    <s v="Income"/>
    <x v="0"/>
  </r>
  <r>
    <d v="2024-01-24T00:00:00"/>
    <s v="Phone"/>
    <n v="960"/>
    <n v="0"/>
    <s v="Phone"/>
    <s v="Living Expenses"/>
    <s v="Expense"/>
    <x v="0"/>
  </r>
  <r>
    <d v="2024-01-25T00:00:00"/>
    <s v="Family and Friends surprises"/>
    <n v="1080"/>
    <n v="0"/>
    <s v="Gifts"/>
    <s v="Discretionary"/>
    <s v="Expense"/>
    <x v="0"/>
  </r>
  <r>
    <d v="2024-01-25T00:00:00"/>
    <s v="Online streaming"/>
    <n v="768"/>
    <n v="0"/>
    <s v="Entertainment"/>
    <s v="Discretionary"/>
    <s v="Expense"/>
    <x v="0"/>
  </r>
  <r>
    <d v="2024-01-25T00:00:00"/>
    <s v="Drink"/>
    <n v="120"/>
    <n v="0"/>
    <s v="Coffee"/>
    <s v="Dining Out"/>
    <s v="Expense"/>
    <x v="0"/>
  </r>
  <r>
    <d v="2024-01-26T00:00:00"/>
    <s v="Drink"/>
    <n v="120"/>
    <n v="0"/>
    <s v="Coffee"/>
    <s v="Dining Out"/>
    <s v="Expense"/>
    <x v="0"/>
  </r>
  <r>
    <d v="2024-01-27T00:00:00"/>
    <s v="Drink"/>
    <n v="120"/>
    <n v="0"/>
    <s v="Coffee"/>
    <s v="Dining Out"/>
    <s v="Expense"/>
    <x v="0"/>
  </r>
  <r>
    <d v="2024-01-27T00:00:00"/>
    <s v="Green's"/>
    <n v="4080"/>
    <n v="0"/>
    <s v="Groceries"/>
    <s v="Living Expenses"/>
    <s v="Expense"/>
    <x v="0"/>
  </r>
  <r>
    <d v="2024-01-28T00:00:00"/>
    <s v="Office Lunch"/>
    <n v="888"/>
    <n v="0"/>
    <s v="Restaurant"/>
    <s v="Dining Out"/>
    <s v="Expense"/>
    <x v="0"/>
  </r>
  <r>
    <d v="2024-01-29T00:00:00"/>
    <s v="Evening snacks"/>
    <n v="288"/>
    <n v="0"/>
    <s v="Restaurant"/>
    <s v="Dining Out"/>
    <s v="Expense"/>
    <x v="0"/>
  </r>
  <r>
    <d v="2024-01-30T00:00:00"/>
    <s v="Orphanage"/>
    <n v="1320"/>
    <n v="0"/>
    <s v="Donation"/>
    <s v="Charity"/>
    <s v="Expense"/>
    <x v="0"/>
  </r>
  <r>
    <d v="2024-01-30T00:00:00"/>
    <s v="Fuel"/>
    <n v="1512"/>
    <n v="0"/>
    <s v="Fueling"/>
    <s v="Transport"/>
    <s v="Expense"/>
    <x v="0"/>
  </r>
  <r>
    <d v="2024-01-30T00:00:00"/>
    <s v="Drink"/>
    <n v="120"/>
    <n v="0"/>
    <s v="Coffee"/>
    <s v="Dining Out"/>
    <s v="Expense"/>
    <x v="0"/>
  </r>
  <r>
    <d v="2024-01-31T00:00:00"/>
    <s v="Drink"/>
    <n v="120"/>
    <n v="0"/>
    <s v="Coffee"/>
    <s v="Dining Out"/>
    <s v="Expense"/>
    <x v="0"/>
  </r>
  <r>
    <d v="2024-02-01T00:00:00"/>
    <s v="Drink"/>
    <n v="120"/>
    <n v="0"/>
    <s v="Coffee"/>
    <s v="Dining Out"/>
    <s v="Expense"/>
    <x v="1"/>
  </r>
  <r>
    <d v="2024-02-02T00:00:00"/>
    <s v="Drink"/>
    <n v="120"/>
    <n v="0"/>
    <s v="Coffee"/>
    <s v="Dining Out"/>
    <s v="Expense"/>
    <x v="1"/>
  </r>
  <r>
    <d v="2024-02-03T00:00:00"/>
    <s v="Drink"/>
    <n v="120"/>
    <n v="0"/>
    <s v="Coffee"/>
    <s v="Dining Out"/>
    <s v="Expense"/>
    <x v="1"/>
  </r>
  <r>
    <d v="2024-02-03T00:00:00"/>
    <s v="Green's"/>
    <n v="3888"/>
    <n v="0"/>
    <s v="Groceries"/>
    <s v="Living Expenses"/>
    <s v="Expense"/>
    <x v="1"/>
  </r>
  <r>
    <d v="2024-02-04T00:00:00"/>
    <s v="Trainers"/>
    <n v="3000"/>
    <n v="0"/>
    <s v="Clothes"/>
    <s v="Discretionary"/>
    <s v="Expense"/>
    <x v="1"/>
  </r>
  <r>
    <d v="2024-02-04T00:00:00"/>
    <s v="Hangingout/Ticket"/>
    <n v="4200"/>
    <n v="0"/>
    <s v="Entertainment"/>
    <s v="Discretionary"/>
    <s v="Expense"/>
    <x v="1"/>
  </r>
  <r>
    <d v="2024-02-05T00:00:00"/>
    <s v="Zara Clothes"/>
    <n v="3480"/>
    <n v="0"/>
    <s v="Clothes"/>
    <s v="Discretionary"/>
    <s v="Expense"/>
    <x v="1"/>
  </r>
  <r>
    <d v="2024-02-05T00:00:00"/>
    <s v="Ola"/>
    <n v="552"/>
    <n v="0"/>
    <s v="Taxi"/>
    <s v="Transport"/>
    <s v="Expense"/>
    <x v="1"/>
  </r>
  <r>
    <d v="2024-02-06T00:00:00"/>
    <s v="Nextleap DAF"/>
    <n v="0"/>
    <n v="120000"/>
    <s v="Data with Decision"/>
    <s v="Salary"/>
    <s v="Income"/>
    <x v="1"/>
  </r>
  <r>
    <d v="2024-02-06T00:00:00"/>
    <s v="Drink"/>
    <n v="120"/>
    <n v="0"/>
    <s v="Coffee"/>
    <s v="Dining Out"/>
    <s v="Expense"/>
    <x v="1"/>
  </r>
  <r>
    <d v="2024-02-07T00:00:00"/>
    <s v="Flat Expenses"/>
    <n v="21600"/>
    <n v="0"/>
    <s v="Rent"/>
    <s v="Living Expenses"/>
    <s v="Expense"/>
    <x v="1"/>
  </r>
  <r>
    <d v="2024-02-07T00:00:00"/>
    <s v="EMI"/>
    <n v="3600"/>
    <n v="0"/>
    <s v="Cash loan"/>
    <s v="Transport"/>
    <s v="Expense"/>
    <x v="1"/>
  </r>
  <r>
    <d v="2024-02-07T00:00:00"/>
    <s v="Drink"/>
    <n v="120"/>
    <n v="0"/>
    <s v="Coffee"/>
    <s v="Dining Out"/>
    <s v="Expense"/>
    <x v="1"/>
  </r>
  <r>
    <d v="2024-02-08T00:00:00"/>
    <s v="Drink"/>
    <n v="120"/>
    <n v="0"/>
    <s v="Coffee"/>
    <s v="Dining Out"/>
    <s v="Expense"/>
    <x v="1"/>
  </r>
  <r>
    <d v="2024-02-09T00:00:00"/>
    <s v="Drink"/>
    <n v="120"/>
    <n v="0"/>
    <s v="Coffee"/>
    <s v="Dining Out"/>
    <s v="Expense"/>
    <x v="1"/>
  </r>
  <r>
    <d v="2024-02-10T00:00:00"/>
    <s v="Drink"/>
    <n v="120"/>
    <n v="0"/>
    <s v="Coffee"/>
    <s v="Dining Out"/>
    <s v="Expense"/>
    <x v="1"/>
  </r>
  <r>
    <d v="2024-02-10T00:00:00"/>
    <s v="Green's"/>
    <n v="4920"/>
    <n v="0"/>
    <s v="Groceries"/>
    <s v="Living Expenses"/>
    <s v="Expense"/>
    <x v="1"/>
  </r>
  <r>
    <d v="2024-02-13T00:00:00"/>
    <s v="Power source"/>
    <n v="1226"/>
    <n v="0"/>
    <s v="Gas/Electrics"/>
    <s v="Living Expenses"/>
    <s v="Expense"/>
    <x v="1"/>
  </r>
  <r>
    <d v="2024-02-13T00:00:00"/>
    <s v="Drink"/>
    <n v="120"/>
    <n v="0"/>
    <s v="Coffee"/>
    <s v="Dining Out"/>
    <s v="Expense"/>
    <x v="1"/>
  </r>
  <r>
    <d v="2024-02-14T00:00:00"/>
    <s v="Drink"/>
    <n v="120"/>
    <n v="0"/>
    <s v="Coffee"/>
    <s v="Dining Out"/>
    <s v="Expense"/>
    <x v="1"/>
  </r>
  <r>
    <d v="2024-02-15T00:00:00"/>
    <s v="Fuel"/>
    <n v="1872"/>
    <n v="0"/>
    <s v="Fueling"/>
    <s v="Transport"/>
    <s v="Expense"/>
    <x v="1"/>
  </r>
  <r>
    <d v="2024-02-15T00:00:00"/>
    <s v="Drink"/>
    <n v="120"/>
    <n v="0"/>
    <s v="Coffee"/>
    <s v="Dining Out"/>
    <s v="Expense"/>
    <x v="1"/>
  </r>
  <r>
    <d v="2024-02-16T00:00:00"/>
    <s v="Drink"/>
    <n v="120"/>
    <n v="0"/>
    <s v="Coffee"/>
    <s v="Dining Out"/>
    <s v="Expense"/>
    <x v="1"/>
  </r>
  <r>
    <d v="2024-02-17T00:00:00"/>
    <s v="Green's"/>
    <n v="3262"/>
    <n v="0"/>
    <s v="Groceries"/>
    <s v="Living Expenses"/>
    <s v="Expense"/>
    <x v="1"/>
  </r>
  <r>
    <d v="2024-02-17T00:00:00"/>
    <s v="Drink"/>
    <n v="120"/>
    <n v="0"/>
    <s v="Coffee"/>
    <s v="Dining Out"/>
    <s v="Expense"/>
    <x v="1"/>
  </r>
  <r>
    <d v="2024-02-18T00:00:00"/>
    <s v="Drink"/>
    <n v="120"/>
    <n v="0"/>
    <s v="Coffee"/>
    <s v="Dining Out"/>
    <s v="Expense"/>
    <x v="1"/>
  </r>
  <r>
    <d v="2024-02-18T00:00:00"/>
    <s v="Cinemas"/>
    <n v="982"/>
    <n v="0"/>
    <s v="Entertainment"/>
    <s v="Discretionary"/>
    <s v="Expense"/>
    <x v="1"/>
  </r>
  <r>
    <d v="2024-02-18T00:00:00"/>
    <s v="Myntra Accesories"/>
    <n v="2376"/>
    <n v="0"/>
    <s v="Clothes"/>
    <s v="Discretionary"/>
    <s v="Expense"/>
    <x v="1"/>
  </r>
  <r>
    <d v="2024-02-18T00:00:00"/>
    <s v="Swiggy"/>
    <n v="1272"/>
    <n v="0"/>
    <s v="Restaurant"/>
    <s v="Dining Out"/>
    <s v="Expense"/>
    <x v="1"/>
  </r>
  <r>
    <d v="2024-02-19T00:00:00"/>
    <s v="Ola"/>
    <n v="694"/>
    <n v="0"/>
    <s v="Taxi"/>
    <s v="Transport"/>
    <s v="Expense"/>
    <x v="1"/>
  </r>
  <r>
    <d v="2024-02-20T00:00:00"/>
    <s v="Onlne earning"/>
    <n v="0"/>
    <n v="19200"/>
    <s v="YouTube"/>
    <s v="Passive"/>
    <s v="Income"/>
    <x v="1"/>
  </r>
  <r>
    <d v="2024-02-20T00:00:00"/>
    <s v="Drink"/>
    <n v="120"/>
    <n v="0"/>
    <s v="Coffee"/>
    <s v="Dining Out"/>
    <s v="Expense"/>
    <x v="1"/>
  </r>
  <r>
    <d v="2024-02-21T00:00:00"/>
    <s v="Drink"/>
    <n v="120"/>
    <n v="0"/>
    <s v="Coffee"/>
    <s v="Dining Out"/>
    <s v="Expense"/>
    <x v="1"/>
  </r>
  <r>
    <d v="2024-02-21T00:00:00"/>
    <s v="Phone"/>
    <n v="960"/>
    <n v="0"/>
    <s v="Phone"/>
    <s v="Living Expenses"/>
    <s v="Expense"/>
    <x v="1"/>
  </r>
  <r>
    <d v="2024-02-22T00:00:00"/>
    <s v="Family and Friends surprises"/>
    <n v="1102"/>
    <n v="0"/>
    <s v="Gifts"/>
    <s v="Discretionary"/>
    <s v="Expense"/>
    <x v="1"/>
  </r>
  <r>
    <d v="2024-02-22T00:00:00"/>
    <s v="Online streaming"/>
    <n v="840"/>
    <n v="0"/>
    <s v="Entertainment"/>
    <s v="Discretionary"/>
    <s v="Expense"/>
    <x v="1"/>
  </r>
  <r>
    <d v="2024-02-22T00:00:00"/>
    <s v="Drink"/>
    <n v="120"/>
    <n v="0"/>
    <s v="Coffee"/>
    <s v="Dining Out"/>
    <s v="Expense"/>
    <x v="1"/>
  </r>
  <r>
    <d v="2024-02-23T00:00:00"/>
    <s v="Drink"/>
    <n v="120"/>
    <n v="0"/>
    <s v="Coffee"/>
    <s v="Dining Out"/>
    <s v="Expense"/>
    <x v="1"/>
  </r>
  <r>
    <d v="2024-02-24T00:00:00"/>
    <s v="Drink"/>
    <n v="120"/>
    <n v="0"/>
    <s v="Coffee"/>
    <s v="Dining Out"/>
    <s v="Expense"/>
    <x v="1"/>
  </r>
  <r>
    <d v="2024-02-24T00:00:00"/>
    <s v="Green's"/>
    <n v="4104"/>
    <n v="0"/>
    <s v="Groceries"/>
    <s v="Living Expenses"/>
    <s v="Expense"/>
    <x v="1"/>
  </r>
  <r>
    <d v="2024-02-25T00:00:00"/>
    <s v="Office Lunch"/>
    <n v="910"/>
    <n v="0"/>
    <s v="Restaurant"/>
    <s v="Dining Out"/>
    <s v="Expense"/>
    <x v="1"/>
  </r>
  <r>
    <d v="2024-02-26T00:00:00"/>
    <s v="Evening snacks"/>
    <n v="310"/>
    <n v="0"/>
    <s v="Restaurant"/>
    <s v="Dining Out"/>
    <s v="Expense"/>
    <x v="1"/>
  </r>
  <r>
    <d v="2024-02-27T00:00:00"/>
    <s v="Orphanage"/>
    <n v="1320"/>
    <n v="0"/>
    <s v="Donation"/>
    <s v="Charity"/>
    <s v="Expense"/>
    <x v="1"/>
  </r>
  <r>
    <d v="2024-02-27T00:00:00"/>
    <s v="Fuel"/>
    <n v="1538"/>
    <n v="0"/>
    <s v="Fueling"/>
    <s v="Transport"/>
    <s v="Expense"/>
    <x v="1"/>
  </r>
  <r>
    <d v="2024-02-27T00:00:00"/>
    <s v="Drink"/>
    <n v="120"/>
    <n v="0"/>
    <s v="Coffee"/>
    <s v="Dining Out"/>
    <s v="Expense"/>
    <x v="1"/>
  </r>
  <r>
    <d v="2024-02-28T00:00:00"/>
    <s v="Drink"/>
    <n v="120"/>
    <n v="0"/>
    <s v="Coffee"/>
    <s v="Dining Out"/>
    <s v="Expense"/>
    <x v="1"/>
  </r>
  <r>
    <d v="2024-02-29T00:00:00"/>
    <s v="Drink"/>
    <n v="120"/>
    <n v="0"/>
    <s v="Coffee"/>
    <s v="Dining Out"/>
    <s v="Expense"/>
    <x v="1"/>
  </r>
  <r>
    <d v="2024-03-01T00:00:00"/>
    <s v="Drink"/>
    <n v="120"/>
    <n v="0"/>
    <s v="Coffee"/>
    <s v="Dining Out"/>
    <s v="Expense"/>
    <x v="2"/>
  </r>
  <r>
    <d v="2024-03-02T00:00:00"/>
    <s v="Drink"/>
    <n v="120"/>
    <n v="0"/>
    <s v="Coffee"/>
    <s v="Dining Out"/>
    <s v="Expense"/>
    <x v="2"/>
  </r>
  <r>
    <d v="2024-03-02T00:00:00"/>
    <s v="Green's"/>
    <n v="3910"/>
    <n v="0"/>
    <s v="Groceries"/>
    <s v="Living Expenses"/>
    <s v="Expense"/>
    <x v="2"/>
  </r>
  <r>
    <d v="2024-03-03T00:00:00"/>
    <s v="Trainers"/>
    <n v="3022"/>
    <n v="0"/>
    <s v="Clothes"/>
    <s v="Discretionary"/>
    <s v="Expense"/>
    <x v="2"/>
  </r>
  <r>
    <d v="2024-03-03T00:00:00"/>
    <s v="Global Fashion"/>
    <n v="3288"/>
    <n v="0"/>
    <s v="Clothes"/>
    <s v="Discretionary"/>
    <s v="Expense"/>
    <x v="2"/>
  </r>
  <r>
    <d v="2024-03-04T00:00:00"/>
    <s v="Zara Clothes"/>
    <n v="3506"/>
    <n v="0"/>
    <s v="Clothes"/>
    <s v="Discretionary"/>
    <s v="Expense"/>
    <x v="2"/>
  </r>
  <r>
    <d v="2024-03-04T00:00:00"/>
    <s v="Ola"/>
    <n v="578"/>
    <n v="0"/>
    <s v="Taxi"/>
    <s v="Transport"/>
    <s v="Expense"/>
    <x v="2"/>
  </r>
  <r>
    <d v="2024-03-05T00:00:00"/>
    <s v="Nextleap DAF"/>
    <n v="0"/>
    <n v="120000"/>
    <s v="Data with Decision"/>
    <s v="Salary"/>
    <s v="Income"/>
    <x v="2"/>
  </r>
  <r>
    <d v="2024-03-05T00:00:00"/>
    <s v="Drink"/>
    <n v="120"/>
    <n v="0"/>
    <s v="Coffee"/>
    <s v="Dining Out"/>
    <s v="Expense"/>
    <x v="2"/>
  </r>
  <r>
    <d v="2024-03-06T00:00:00"/>
    <s v="Flat Expenses"/>
    <n v="21600"/>
    <n v="0"/>
    <s v="Rent"/>
    <s v="Living Expenses"/>
    <s v="Expense"/>
    <x v="2"/>
  </r>
  <r>
    <d v="2024-03-06T00:00:00"/>
    <s v="EMI"/>
    <n v="3600"/>
    <n v="0"/>
    <s v="Cash loan"/>
    <s v="Transport"/>
    <s v="Expense"/>
    <x v="2"/>
  </r>
  <r>
    <d v="2024-03-06T00:00:00"/>
    <s v="Drink"/>
    <n v="120"/>
    <n v="0"/>
    <s v="Coffee"/>
    <s v="Dining Out"/>
    <s v="Expense"/>
    <x v="2"/>
  </r>
  <r>
    <d v="2024-03-07T00:00:00"/>
    <s v="Drink"/>
    <n v="120"/>
    <n v="0"/>
    <s v="Coffee"/>
    <s v="Dining Out"/>
    <s v="Expense"/>
    <x v="2"/>
  </r>
  <r>
    <d v="2024-03-08T00:00:00"/>
    <s v="Drink"/>
    <n v="120"/>
    <n v="0"/>
    <s v="Coffee"/>
    <s v="Dining Out"/>
    <s v="Expense"/>
    <x v="2"/>
  </r>
  <r>
    <d v="2024-03-09T00:00:00"/>
    <s v="Drink"/>
    <n v="120"/>
    <n v="0"/>
    <s v="Coffee"/>
    <s v="Dining Out"/>
    <s v="Expense"/>
    <x v="2"/>
  </r>
  <r>
    <d v="2024-03-09T00:00:00"/>
    <s v="Green's"/>
    <n v="3576"/>
    <n v="0"/>
    <s v="Groceries"/>
    <s v="Living Expenses"/>
    <s v="Expense"/>
    <x v="2"/>
  </r>
  <r>
    <d v="2024-03-12T00:00:00"/>
    <s v="Power source"/>
    <n v="1250"/>
    <n v="0"/>
    <s v="Gas/Electrics"/>
    <s v="Living Expenses"/>
    <s v="Expense"/>
    <x v="2"/>
  </r>
  <r>
    <d v="2024-03-12T00:00:00"/>
    <s v="Drink"/>
    <n v="120"/>
    <n v="0"/>
    <s v="Coffee"/>
    <s v="Dining Out"/>
    <s v="Expense"/>
    <x v="2"/>
  </r>
  <r>
    <d v="2024-03-13T00:00:00"/>
    <s v="Drink"/>
    <n v="120"/>
    <n v="0"/>
    <s v="Coffee"/>
    <s v="Dining Out"/>
    <s v="Expense"/>
    <x v="2"/>
  </r>
  <r>
    <d v="2024-03-14T00:00:00"/>
    <s v="Fuel"/>
    <n v="1894"/>
    <n v="0"/>
    <s v="Fueling"/>
    <s v="Transport"/>
    <s v="Expense"/>
    <x v="2"/>
  </r>
  <r>
    <d v="2024-03-14T00:00:00"/>
    <s v="Drink"/>
    <n v="120"/>
    <n v="0"/>
    <s v="Coffee"/>
    <s v="Dining Out"/>
    <s v="Expense"/>
    <x v="2"/>
  </r>
  <r>
    <d v="2024-03-15T00:00:00"/>
    <s v="Drink"/>
    <n v="120"/>
    <n v="0"/>
    <s v="Coffee"/>
    <s v="Dining Out"/>
    <s v="Expense"/>
    <x v="2"/>
  </r>
  <r>
    <d v="2024-03-16T00:00:00"/>
    <s v="Green's"/>
    <n v="3288"/>
    <n v="0"/>
    <s v="Groceries"/>
    <s v="Living Expenses"/>
    <s v="Expense"/>
    <x v="2"/>
  </r>
  <r>
    <d v="2024-03-16T00:00:00"/>
    <s v="Drink"/>
    <n v="120"/>
    <n v="0"/>
    <s v="Coffee"/>
    <s v="Dining Out"/>
    <s v="Expense"/>
    <x v="2"/>
  </r>
  <r>
    <d v="2024-03-17T00:00:00"/>
    <s v="Drink"/>
    <n v="120"/>
    <n v="0"/>
    <s v="Coffee"/>
    <s v="Dining Out"/>
    <s v="Expense"/>
    <x v="2"/>
  </r>
  <r>
    <d v="2024-03-17T00:00:00"/>
    <s v="Cinemas"/>
    <n v="1003"/>
    <n v="0"/>
    <s v="Entertainment"/>
    <s v="Discretionary"/>
    <s v="Expense"/>
    <x v="2"/>
  </r>
  <r>
    <d v="2024-03-17T00:00:00"/>
    <s v="Myntra Accesories"/>
    <n v="2398"/>
    <n v="0"/>
    <s v="Clothes"/>
    <s v="Discretionary"/>
    <s v="Expense"/>
    <x v="2"/>
  </r>
  <r>
    <d v="2024-03-17T00:00:00"/>
    <s v="Swiggy"/>
    <n v="1296"/>
    <n v="0"/>
    <s v="Restaurant"/>
    <s v="Dining Out"/>
    <s v="Expense"/>
    <x v="2"/>
  </r>
  <r>
    <d v="2024-03-18T00:00:00"/>
    <s v="Ola"/>
    <n v="720"/>
    <n v="0"/>
    <s v="Taxi"/>
    <s v="Transport"/>
    <s v="Expense"/>
    <x v="2"/>
  </r>
  <r>
    <d v="2024-03-19T00:00:00"/>
    <s v="Onlne earning"/>
    <n v="0"/>
    <n v="24000"/>
    <s v="YouTube"/>
    <s v="Passive"/>
    <s v="Income"/>
    <x v="2"/>
  </r>
  <r>
    <d v="2024-03-19T00:00:00"/>
    <s v="Drink"/>
    <n v="120"/>
    <n v="0"/>
    <s v="Coffee"/>
    <s v="Dining Out"/>
    <s v="Expense"/>
    <x v="2"/>
  </r>
  <r>
    <d v="2024-03-20T00:00:00"/>
    <s v="Drink"/>
    <n v="120"/>
    <n v="0"/>
    <s v="Coffee"/>
    <s v="Dining Out"/>
    <s v="Expense"/>
    <x v="2"/>
  </r>
  <r>
    <d v="2024-03-20T00:00:00"/>
    <s v="Taken medication"/>
    <n v="1800"/>
    <n v="0"/>
    <s v="Doctor"/>
    <s v="Medical"/>
    <s v="Expense"/>
    <x v="2"/>
  </r>
  <r>
    <d v="2024-03-20T00:00:00"/>
    <s v="Phone"/>
    <n v="960"/>
    <n v="0"/>
    <s v="Phone"/>
    <s v="Living Expenses"/>
    <s v="Expense"/>
    <x v="2"/>
  </r>
  <r>
    <d v="2024-03-21T00:00:00"/>
    <s v="Family and Friends surprises"/>
    <n v="1123"/>
    <n v="0"/>
    <s v="Gifts"/>
    <s v="Discretionary"/>
    <s v="Expense"/>
    <x v="2"/>
  </r>
  <r>
    <d v="2024-03-21T00:00:00"/>
    <s v="Online streaming"/>
    <n v="840"/>
    <n v="0"/>
    <s v="Entertainment"/>
    <s v="Discretionary"/>
    <s v="Expense"/>
    <x v="2"/>
  </r>
  <r>
    <d v="2024-03-21T00:00:00"/>
    <s v="Drink"/>
    <n v="120"/>
    <n v="0"/>
    <s v="Coffee"/>
    <s v="Dining Out"/>
    <s v="Expense"/>
    <x v="2"/>
  </r>
  <r>
    <d v="2024-03-22T00:00:00"/>
    <s v="Drink"/>
    <n v="120"/>
    <n v="0"/>
    <s v="Coffee"/>
    <s v="Dining Out"/>
    <s v="Expense"/>
    <x v="2"/>
  </r>
  <r>
    <d v="2024-03-23T00:00:00"/>
    <s v="Drink"/>
    <n v="120"/>
    <n v="0"/>
    <s v="Coffee"/>
    <s v="Dining Out"/>
    <s v="Expense"/>
    <x v="2"/>
  </r>
  <r>
    <d v="2024-03-23T00:00:00"/>
    <s v="Green's"/>
    <n v="4126"/>
    <n v="0"/>
    <s v="Groceries"/>
    <s v="Living Expenses"/>
    <s v="Expense"/>
    <x v="2"/>
  </r>
  <r>
    <d v="2024-03-24T00:00:00"/>
    <s v="Office Lunch"/>
    <n v="936"/>
    <n v="0"/>
    <s v="Restaurant"/>
    <s v="Dining Out"/>
    <s v="Expense"/>
    <x v="2"/>
  </r>
  <r>
    <d v="2024-03-25T00:00:00"/>
    <s v="Evening snacks"/>
    <n v="336"/>
    <n v="0"/>
    <s v="Restaurant"/>
    <s v="Dining Out"/>
    <s v="Expense"/>
    <x v="2"/>
  </r>
  <r>
    <d v="2024-03-26T00:00:00"/>
    <s v="Orphanage"/>
    <n v="1320"/>
    <n v="0"/>
    <s v="Donation"/>
    <s v="Charity"/>
    <s v="Expense"/>
    <x v="2"/>
  </r>
  <r>
    <d v="2024-03-26T00:00:00"/>
    <s v="Fuel"/>
    <n v="1560"/>
    <n v="0"/>
    <s v="Fueling"/>
    <s v="Transport"/>
    <s v="Expense"/>
    <x v="2"/>
  </r>
  <r>
    <d v="2024-03-26T00:00:00"/>
    <s v="Drink"/>
    <n v="120"/>
    <n v="0"/>
    <s v="Coffee"/>
    <s v="Dining Out"/>
    <s v="Expense"/>
    <x v="2"/>
  </r>
  <r>
    <d v="2024-03-27T00:00:00"/>
    <s v="Drink"/>
    <n v="120"/>
    <n v="0"/>
    <s v="Coffee"/>
    <s v="Dining Out"/>
    <s v="Expense"/>
    <x v="2"/>
  </r>
  <r>
    <d v="2024-03-28T00:00:00"/>
    <s v="Drink"/>
    <n v="120"/>
    <n v="0"/>
    <s v="Coffee"/>
    <s v="Dining Out"/>
    <s v="Expense"/>
    <x v="2"/>
  </r>
  <r>
    <d v="2024-03-29T00:00:00"/>
    <s v="Drink"/>
    <n v="120"/>
    <n v="0"/>
    <s v="Coffee"/>
    <s v="Dining Out"/>
    <s v="Expense"/>
    <x v="2"/>
  </r>
  <r>
    <d v="2024-03-30T00:00:00"/>
    <s v="Drink"/>
    <n v="120"/>
    <n v="0"/>
    <s v="Coffee"/>
    <s v="Dining Out"/>
    <s v="Expense"/>
    <x v="2"/>
  </r>
  <r>
    <d v="2024-03-30T00:00:00"/>
    <s v="Green's"/>
    <n v="5016"/>
    <n v="0"/>
    <s v="Groceries"/>
    <s v="Living Expenses"/>
    <s v="Expense"/>
    <x v="2"/>
  </r>
  <r>
    <d v="2024-03-31T00:00:00"/>
    <s v="Trainers"/>
    <n v="3048"/>
    <n v="0"/>
    <s v="Clothes"/>
    <s v="Discretionary"/>
    <s v="Expense"/>
    <x v="2"/>
  </r>
  <r>
    <d v="2024-03-31T00:00:00"/>
    <s v="Decathlon"/>
    <n v="4253"/>
    <n v="0"/>
    <s v="Clothes"/>
    <s v="Discretionary"/>
    <s v="Expense"/>
    <x v="2"/>
  </r>
  <r>
    <d v="2024-04-01T00:00:00"/>
    <s v="Zara Clothes"/>
    <n v="3530"/>
    <n v="0"/>
    <s v="Clothes"/>
    <s v="Discretionary"/>
    <s v="Expense"/>
    <x v="3"/>
  </r>
  <r>
    <d v="2024-04-01T00:00:00"/>
    <s v="Ola"/>
    <n v="600"/>
    <n v="0"/>
    <s v="Taxi"/>
    <s v="Transport"/>
    <s v="Expense"/>
    <x v="3"/>
  </r>
  <r>
    <d v="2024-04-02T00:00:00"/>
    <s v="Foodary"/>
    <n v="360"/>
    <n v="0"/>
    <s v="Restaurant"/>
    <s v="Dining Out"/>
    <s v="Expense"/>
    <x v="3"/>
  </r>
  <r>
    <d v="2024-04-03T00:00:00"/>
    <s v="Drink"/>
    <n v="120"/>
    <n v="0"/>
    <s v="Coffee"/>
    <s v="Dining Out"/>
    <s v="Expense"/>
    <x v="3"/>
  </r>
  <r>
    <d v="2024-04-04T00:00:00"/>
    <s v="Drink"/>
    <n v="120"/>
    <n v="0"/>
    <s v="Coffee"/>
    <s v="Dining Out"/>
    <s v="Expense"/>
    <x v="3"/>
  </r>
  <r>
    <d v="2024-04-05T00:00:00"/>
    <s v="Nextleap DAF"/>
    <n v="0"/>
    <n v="120000"/>
    <s v="Data with Decision"/>
    <s v="Salary"/>
    <s v="Income"/>
    <x v="3"/>
  </r>
  <r>
    <d v="2024-04-05T00:00:00"/>
    <s v="Drink"/>
    <n v="120"/>
    <n v="0"/>
    <s v="Coffee"/>
    <s v="Dining Out"/>
    <s v="Expense"/>
    <x v="3"/>
  </r>
  <r>
    <d v="2024-04-06T00:00:00"/>
    <s v="Flat Expenses"/>
    <n v="21600"/>
    <n v="0"/>
    <s v="Rent"/>
    <s v="Living Expenses"/>
    <s v="Expense"/>
    <x v="3"/>
  </r>
  <r>
    <d v="2024-04-06T00:00:00"/>
    <s v="EMI"/>
    <n v="3600"/>
    <n v="0"/>
    <s v="Cash loan"/>
    <s v="Transport"/>
    <s v="Expense"/>
    <x v="3"/>
  </r>
  <r>
    <d v="2024-04-06T00:00:00"/>
    <s v="Drink"/>
    <n v="120"/>
    <n v="0"/>
    <s v="Coffee"/>
    <s v="Dining Out"/>
    <s v="Expense"/>
    <x v="3"/>
  </r>
  <r>
    <d v="2024-04-07T00:00:00"/>
    <s v="Drink"/>
    <n v="120"/>
    <n v="0"/>
    <s v="Coffee"/>
    <s v="Dining Out"/>
    <s v="Expense"/>
    <x v="3"/>
  </r>
  <r>
    <d v="2024-04-08T00:00:00"/>
    <s v="Drink"/>
    <n v="120"/>
    <n v="0"/>
    <s v="Coffee"/>
    <s v="Dining Out"/>
    <s v="Expense"/>
    <x v="3"/>
  </r>
  <r>
    <d v="2024-04-09T00:00:00"/>
    <s v="Drink"/>
    <n v="120"/>
    <n v="0"/>
    <s v="Coffee"/>
    <s v="Dining Out"/>
    <s v="Expense"/>
    <x v="3"/>
  </r>
  <r>
    <d v="2024-04-09T00:00:00"/>
    <s v="Green's"/>
    <n v="3797"/>
    <n v="0"/>
    <s v="Groceries"/>
    <s v="Living Expenses"/>
    <s v="Expense"/>
    <x v="3"/>
  </r>
  <r>
    <d v="2024-04-12T00:00:00"/>
    <s v="Power source"/>
    <n v="1277"/>
    <n v="0"/>
    <s v="Gas/Electrics"/>
    <s v="Living Expenses"/>
    <s v="Expense"/>
    <x v="3"/>
  </r>
  <r>
    <d v="2024-04-12T00:00:00"/>
    <s v="Drink"/>
    <n v="120"/>
    <n v="0"/>
    <s v="Coffee"/>
    <s v="Dining Out"/>
    <s v="Expense"/>
    <x v="3"/>
  </r>
  <r>
    <d v="2024-04-13T00:00:00"/>
    <s v="Drink"/>
    <n v="120"/>
    <n v="0"/>
    <s v="Coffee"/>
    <s v="Dining Out"/>
    <s v="Expense"/>
    <x v="3"/>
  </r>
  <r>
    <d v="2024-04-14T00:00:00"/>
    <s v="Fuel"/>
    <n v="1918"/>
    <n v="0"/>
    <s v="Fueling"/>
    <s v="Transport"/>
    <s v="Expense"/>
    <x v="3"/>
  </r>
  <r>
    <d v="2024-04-14T00:00:00"/>
    <s v="Drink"/>
    <n v="120"/>
    <n v="0"/>
    <s v="Coffee"/>
    <s v="Dining Out"/>
    <s v="Expense"/>
    <x v="3"/>
  </r>
  <r>
    <d v="2024-04-15T00:00:00"/>
    <s v="Drink"/>
    <n v="120"/>
    <n v="0"/>
    <s v="Coffee"/>
    <s v="Dining Out"/>
    <s v="Expense"/>
    <x v="3"/>
  </r>
  <r>
    <d v="2024-04-16T00:00:00"/>
    <s v="Green's"/>
    <n v="2352"/>
    <n v="0"/>
    <s v="Groceries"/>
    <s v="Living Expenses"/>
    <s v="Expense"/>
    <x v="3"/>
  </r>
  <r>
    <d v="2024-04-16T00:00:00"/>
    <s v="Drink"/>
    <n v="120"/>
    <n v="0"/>
    <s v="Coffee"/>
    <s v="Dining Out"/>
    <s v="Expense"/>
    <x v="3"/>
  </r>
  <r>
    <d v="2024-04-17T00:00:00"/>
    <s v="Drink"/>
    <n v="120"/>
    <n v="0"/>
    <s v="Coffee"/>
    <s v="Dining Out"/>
    <s v="Expense"/>
    <x v="3"/>
  </r>
  <r>
    <d v="2024-04-17T00:00:00"/>
    <s v="Cinemas"/>
    <n v="1027"/>
    <n v="0"/>
    <s v="Entertainment"/>
    <s v="Discretionary"/>
    <s v="Expense"/>
    <x v="3"/>
  </r>
  <r>
    <d v="2024-04-17T00:00:00"/>
    <s v="Myntra Accesories"/>
    <n v="2422"/>
    <n v="0"/>
    <s v="Clothes"/>
    <s v="Discretionary"/>
    <s v="Expense"/>
    <x v="3"/>
  </r>
  <r>
    <d v="2024-04-17T00:00:00"/>
    <s v="Swiggy"/>
    <n v="1318"/>
    <n v="0"/>
    <s v="Restaurant"/>
    <s v="Dining Out"/>
    <s v="Expense"/>
    <x v="3"/>
  </r>
  <r>
    <d v="2024-04-18T00:00:00"/>
    <s v="Ola"/>
    <n v="744"/>
    <n v="0"/>
    <s v="Taxi"/>
    <s v="Transport"/>
    <s v="Expense"/>
    <x v="3"/>
  </r>
  <r>
    <d v="2024-04-19T00:00:00"/>
    <s v="Onlne earning"/>
    <n v="0"/>
    <n v="56160"/>
    <s v="YouTube"/>
    <s v="Passive"/>
    <s v="Income"/>
    <x v="3"/>
  </r>
  <r>
    <d v="2024-04-19T00:00:00"/>
    <s v="Drink"/>
    <n v="120"/>
    <n v="0"/>
    <s v="Coffee"/>
    <s v="Dining Out"/>
    <s v="Expense"/>
    <x v="3"/>
  </r>
  <r>
    <d v="2024-04-20T00:00:00"/>
    <s v="Drink"/>
    <n v="120"/>
    <n v="0"/>
    <s v="Coffee"/>
    <s v="Dining Out"/>
    <s v="Expense"/>
    <x v="3"/>
  </r>
  <r>
    <d v="2024-04-20T00:00:00"/>
    <s v="Phone"/>
    <n v="960"/>
    <n v="0"/>
    <s v="Phone"/>
    <s v="Living Expenses"/>
    <s v="Expense"/>
    <x v="3"/>
  </r>
  <r>
    <d v="2024-04-21T00:00:00"/>
    <s v="Family and Friends surprises"/>
    <n v="1150"/>
    <n v="0"/>
    <s v="Gifts"/>
    <s v="Discretionary"/>
    <s v="Expense"/>
    <x v="3"/>
  </r>
  <r>
    <d v="2024-04-21T00:00:00"/>
    <s v="Online streaming"/>
    <n v="840"/>
    <n v="0"/>
    <s v="Entertainment"/>
    <s v="Discretionary"/>
    <s v="Expense"/>
    <x v="3"/>
  </r>
  <r>
    <d v="2024-04-21T00:00:00"/>
    <s v="Drink"/>
    <n v="120"/>
    <n v="0"/>
    <s v="Coffee"/>
    <s v="Dining Out"/>
    <s v="Expense"/>
    <x v="3"/>
  </r>
  <r>
    <d v="2024-04-22T00:00:00"/>
    <s v="Drink"/>
    <n v="120"/>
    <n v="0"/>
    <s v="Coffee"/>
    <s v="Dining Out"/>
    <s v="Expense"/>
    <x v="3"/>
  </r>
  <r>
    <d v="2024-04-23T00:00:00"/>
    <s v="Drink"/>
    <n v="120"/>
    <n v="0"/>
    <s v="Coffee"/>
    <s v="Dining Out"/>
    <s v="Expense"/>
    <x v="3"/>
  </r>
  <r>
    <d v="2024-04-23T00:00:00"/>
    <s v="Green's"/>
    <n v="4152"/>
    <n v="0"/>
    <s v="Groceries"/>
    <s v="Living Expenses"/>
    <s v="Expense"/>
    <x v="3"/>
  </r>
  <r>
    <d v="2024-04-24T00:00:00"/>
    <s v="Office Lunch"/>
    <n v="962"/>
    <n v="0"/>
    <s v="Restaurant"/>
    <s v="Dining Out"/>
    <s v="Expense"/>
    <x v="3"/>
  </r>
  <r>
    <d v="2024-04-25T00:00:00"/>
    <s v="Evening snacks"/>
    <n v="362"/>
    <n v="0"/>
    <s v="Restaurant"/>
    <s v="Dining Out"/>
    <s v="Expense"/>
    <x v="3"/>
  </r>
  <r>
    <d v="2024-04-26T00:00:00"/>
    <s v="Orphanage"/>
    <n v="1320"/>
    <n v="0"/>
    <s v="Donation"/>
    <s v="Charity"/>
    <s v="Expense"/>
    <x v="3"/>
  </r>
  <r>
    <d v="2024-04-26T00:00:00"/>
    <s v="Fuel"/>
    <n v="1584"/>
    <n v="0"/>
    <s v="Fueling"/>
    <s v="Transport"/>
    <s v="Expense"/>
    <x v="3"/>
  </r>
  <r>
    <d v="2024-04-26T00:00:00"/>
    <s v="Drink"/>
    <n v="120"/>
    <n v="0"/>
    <s v="Coffee"/>
    <s v="Dining Out"/>
    <s v="Expense"/>
    <x v="3"/>
  </r>
  <r>
    <d v="2024-04-27T00:00:00"/>
    <s v="Drink"/>
    <n v="120"/>
    <n v="0"/>
    <s v="Coffee"/>
    <s v="Dining Out"/>
    <s v="Expense"/>
    <x v="3"/>
  </r>
  <r>
    <d v="2024-04-28T00:00:00"/>
    <s v="Drink"/>
    <n v="120"/>
    <n v="0"/>
    <s v="Coffee"/>
    <s v="Dining Out"/>
    <s v="Expense"/>
    <x v="3"/>
  </r>
  <r>
    <d v="2024-04-29T00:00:00"/>
    <s v="Drink"/>
    <n v="120"/>
    <n v="0"/>
    <s v="Coffee"/>
    <s v="Dining Out"/>
    <s v="Expense"/>
    <x v="3"/>
  </r>
  <r>
    <d v="2024-04-30T00:00:00"/>
    <s v="Drink"/>
    <n v="120"/>
    <n v="0"/>
    <s v="Coffee"/>
    <s v="Dining Out"/>
    <s v="Expense"/>
    <x v="3"/>
  </r>
  <r>
    <d v="2024-04-30T00:00:00"/>
    <s v="Green's"/>
    <n v="3958"/>
    <n v="0"/>
    <s v="Groceries"/>
    <s v="Living Expenses"/>
    <s v="Expense"/>
    <x v="3"/>
  </r>
  <r>
    <d v="2024-05-01T00:00:00"/>
    <s v="Trainers"/>
    <n v="3070"/>
    <n v="0"/>
    <s v="Clothes"/>
    <s v="Discretionary"/>
    <s v="Expense"/>
    <x v="4"/>
  </r>
  <r>
    <d v="2024-05-01T00:00:00"/>
    <s v="Clubing"/>
    <n v="7200"/>
    <n v="0"/>
    <s v="Entertainment"/>
    <s v="Discretionary"/>
    <s v="Expense"/>
    <x v="4"/>
  </r>
  <r>
    <d v="2024-05-02T00:00:00"/>
    <s v="Zara Clothes"/>
    <n v="3554"/>
    <n v="0"/>
    <s v="Clothes"/>
    <s v="Discretionary"/>
    <s v="Expense"/>
    <x v="4"/>
  </r>
  <r>
    <d v="2024-05-02T00:00:00"/>
    <s v="Ola"/>
    <n v="626"/>
    <n v="0"/>
    <s v="Taxi"/>
    <s v="Transport"/>
    <s v="Expense"/>
    <x v="4"/>
  </r>
  <r>
    <d v="2024-05-03T00:00:00"/>
    <s v="Foodary"/>
    <n v="360"/>
    <n v="0"/>
    <s v="Restaurant"/>
    <s v="Dining Out"/>
    <s v="Expense"/>
    <x v="4"/>
  </r>
  <r>
    <d v="2024-05-03T00:00:00"/>
    <s v="Drink"/>
    <n v="120"/>
    <n v="0"/>
    <s v="Coffee"/>
    <s v="Dining Out"/>
    <s v="Expense"/>
    <x v="4"/>
  </r>
  <r>
    <d v="2024-05-04T00:00:00"/>
    <s v="Drink"/>
    <n v="120"/>
    <n v="0"/>
    <s v="Coffee"/>
    <s v="Dining Out"/>
    <s v="Expense"/>
    <x v="4"/>
  </r>
  <r>
    <d v="2024-05-06T00:00:00"/>
    <s v="Drink"/>
    <n v="120"/>
    <n v="0"/>
    <s v="Coffee"/>
    <s v="Dining Out"/>
    <s v="Expense"/>
    <x v="4"/>
  </r>
  <r>
    <d v="2024-05-07T00:00:00"/>
    <s v="Nextleap DAF"/>
    <n v="0"/>
    <n v="120000"/>
    <s v="Data with Decision"/>
    <s v="Salary"/>
    <s v="Income"/>
    <x v="4"/>
  </r>
  <r>
    <d v="2024-05-07T00:00:00"/>
    <s v="Flat Expenses"/>
    <n v="21600"/>
    <n v="0"/>
    <s v="Rent"/>
    <s v="Living Expenses"/>
    <s v="Expense"/>
    <x v="4"/>
  </r>
  <r>
    <d v="2024-05-07T00:00:00"/>
    <s v="EMI"/>
    <n v="3600"/>
    <n v="0"/>
    <s v="Cash loan"/>
    <s v="Transport"/>
    <s v="Expense"/>
    <x v="4"/>
  </r>
  <r>
    <d v="2024-05-07T00:00:00"/>
    <s v="Drink"/>
    <n v="120"/>
    <n v="0"/>
    <s v="Coffee"/>
    <s v="Dining Out"/>
    <s v="Expense"/>
    <x v="4"/>
  </r>
  <r>
    <d v="2024-05-08T00:00:00"/>
    <s v="Drink"/>
    <n v="120"/>
    <n v="0"/>
    <s v="Coffee"/>
    <s v="Dining Out"/>
    <s v="Expense"/>
    <x v="4"/>
  </r>
  <r>
    <d v="2024-05-09T00:00:00"/>
    <s v="Drink"/>
    <n v="120"/>
    <n v="0"/>
    <s v="Coffee"/>
    <s v="Dining Out"/>
    <s v="Expense"/>
    <x v="4"/>
  </r>
  <r>
    <d v="2024-05-10T00:00:00"/>
    <s v="Drink"/>
    <n v="120"/>
    <n v="0"/>
    <s v="Coffee"/>
    <s v="Dining Out"/>
    <s v="Expense"/>
    <x v="4"/>
  </r>
  <r>
    <d v="2024-05-10T00:00:00"/>
    <s v="Green's"/>
    <n v="4080"/>
    <n v="0"/>
    <s v="Groceries"/>
    <s v="Living Expenses"/>
    <s v="Expense"/>
    <x v="4"/>
  </r>
  <r>
    <d v="2024-05-13T00:00:00"/>
    <s v="Power source"/>
    <n v="1298"/>
    <n v="0"/>
    <s v="Gas/Electrics"/>
    <s v="Living Expenses"/>
    <s v="Expense"/>
    <x v="4"/>
  </r>
  <r>
    <d v="2024-05-13T00:00:00"/>
    <s v="Drink"/>
    <n v="120"/>
    <n v="0"/>
    <s v="Coffee"/>
    <s v="Dining Out"/>
    <s v="Expense"/>
    <x v="4"/>
  </r>
  <r>
    <d v="2024-05-14T00:00:00"/>
    <s v="Drink"/>
    <n v="120"/>
    <n v="0"/>
    <s v="Coffee"/>
    <s v="Dining Out"/>
    <s v="Expense"/>
    <x v="4"/>
  </r>
  <r>
    <d v="2024-05-15T00:00:00"/>
    <s v="Fuel"/>
    <n v="1944"/>
    <n v="0"/>
    <s v="Fueling"/>
    <s v="Transport"/>
    <s v="Expense"/>
    <x v="4"/>
  </r>
  <r>
    <d v="2024-05-15T00:00:00"/>
    <s v="Drink"/>
    <n v="120"/>
    <n v="0"/>
    <s v="Coffee"/>
    <s v="Dining Out"/>
    <s v="Expense"/>
    <x v="4"/>
  </r>
  <r>
    <d v="2024-05-16T00:00:00"/>
    <s v="Drink"/>
    <n v="120"/>
    <n v="0"/>
    <s v="Coffee"/>
    <s v="Dining Out"/>
    <s v="Expense"/>
    <x v="4"/>
  </r>
  <r>
    <d v="2024-05-17T00:00:00"/>
    <s v="Green's"/>
    <n v="3338"/>
    <n v="0"/>
    <s v="Groceries"/>
    <s v="Living Expenses"/>
    <s v="Expense"/>
    <x v="4"/>
  </r>
  <r>
    <d v="2024-05-17T00:00:00"/>
    <s v="Drink"/>
    <n v="120"/>
    <n v="0"/>
    <s v="Coffee"/>
    <s v="Dining Out"/>
    <s v="Expense"/>
    <x v="4"/>
  </r>
  <r>
    <d v="2024-05-18T00:00:00"/>
    <s v="Drink"/>
    <n v="120"/>
    <n v="0"/>
    <s v="Coffee"/>
    <s v="Dining Out"/>
    <s v="Expense"/>
    <x v="4"/>
  </r>
  <r>
    <d v="2024-05-18T00:00:00"/>
    <s v="Cinemas"/>
    <n v="1054"/>
    <n v="0"/>
    <s v="Entertainment"/>
    <s v="Discretionary"/>
    <s v="Expense"/>
    <x v="4"/>
  </r>
  <r>
    <d v="2024-05-18T00:00:00"/>
    <s v="Myntra Accesories"/>
    <n v="2443"/>
    <n v="0"/>
    <s v="Clothes"/>
    <s v="Discretionary"/>
    <s v="Expense"/>
    <x v="4"/>
  </r>
  <r>
    <d v="2024-05-18T00:00:00"/>
    <s v="Swiggy"/>
    <n v="1342"/>
    <n v="0"/>
    <s v="Restaurant"/>
    <s v="Dining Out"/>
    <s v="Expense"/>
    <x v="4"/>
  </r>
  <r>
    <d v="2024-05-19T00:00:00"/>
    <s v="Ola"/>
    <n v="768"/>
    <n v="0"/>
    <s v="Taxi"/>
    <s v="Transport"/>
    <s v="Expense"/>
    <x v="4"/>
  </r>
  <r>
    <d v="2024-05-20T00:00:00"/>
    <s v="Onlne earning"/>
    <n v="0"/>
    <n v="24000"/>
    <s v="YouTube"/>
    <s v="Passive"/>
    <s v="Income"/>
    <x v="4"/>
  </r>
  <r>
    <d v="2024-05-20T00:00:00"/>
    <s v="Drink"/>
    <n v="120"/>
    <n v="0"/>
    <s v="Coffee"/>
    <s v="Dining Out"/>
    <s v="Expense"/>
    <x v="4"/>
  </r>
  <r>
    <d v="2024-05-21T00:00:00"/>
    <s v="Drink"/>
    <n v="120"/>
    <n v="0"/>
    <s v="Coffee"/>
    <s v="Dining Out"/>
    <s v="Expense"/>
    <x v="4"/>
  </r>
  <r>
    <d v="2024-05-21T00:00:00"/>
    <s v="Taken medication"/>
    <n v="1800"/>
    <n v="0"/>
    <s v="Doctor"/>
    <s v="Medical"/>
    <s v="Expense"/>
    <x v="4"/>
  </r>
  <r>
    <d v="2024-05-21T00:00:00"/>
    <s v="Phone"/>
    <n v="960"/>
    <n v="0"/>
    <s v="Phone"/>
    <s v="Living Expenses"/>
    <s v="Expense"/>
    <x v="4"/>
  </r>
  <r>
    <d v="2024-05-22T00:00:00"/>
    <s v="Family and Friends surprises"/>
    <n v="1176"/>
    <n v="0"/>
    <s v="Gifts"/>
    <s v="Discretionary"/>
    <s v="Expense"/>
    <x v="4"/>
  </r>
  <r>
    <d v="2024-05-22T00:00:00"/>
    <s v="Online streaming"/>
    <n v="840"/>
    <n v="0"/>
    <s v="Entertainment"/>
    <s v="Discretionary"/>
    <s v="Expense"/>
    <x v="4"/>
  </r>
  <r>
    <d v="2024-05-22T00:00:00"/>
    <s v="Drink"/>
    <n v="120"/>
    <n v="0"/>
    <s v="Coffee"/>
    <s v="Dining Out"/>
    <s v="Expense"/>
    <x v="4"/>
  </r>
  <r>
    <d v="2024-05-23T00:00:00"/>
    <s v="Drink"/>
    <n v="120"/>
    <n v="0"/>
    <s v="Coffee"/>
    <s v="Dining Out"/>
    <s v="Expense"/>
    <x v="4"/>
  </r>
  <r>
    <d v="2024-05-24T00:00:00"/>
    <s v="Drink"/>
    <n v="120"/>
    <n v="0"/>
    <s v="Coffee"/>
    <s v="Dining Out"/>
    <s v="Expense"/>
    <x v="4"/>
  </r>
  <r>
    <d v="2024-05-24T00:00:00"/>
    <s v="Green's"/>
    <n v="4176"/>
    <n v="0"/>
    <s v="Groceries"/>
    <s v="Living Expenses"/>
    <s v="Expense"/>
    <x v="4"/>
  </r>
  <r>
    <d v="2024-05-25T00:00:00"/>
    <s v="Office Lunch"/>
    <n v="986"/>
    <n v="0"/>
    <s v="Restaurant"/>
    <s v="Dining Out"/>
    <s v="Expense"/>
    <x v="4"/>
  </r>
  <r>
    <d v="2024-05-26T00:00:00"/>
    <s v="Evening snacks"/>
    <n v="389"/>
    <n v="0"/>
    <s v="Restaurant"/>
    <s v="Dining Out"/>
    <s v="Expense"/>
    <x v="4"/>
  </r>
  <r>
    <d v="2024-05-27T00:00:00"/>
    <s v="Orphanage"/>
    <n v="1320"/>
    <n v="0"/>
    <s v="Donation"/>
    <s v="Charity"/>
    <s v="Expense"/>
    <x v="4"/>
  </r>
  <r>
    <d v="2024-05-27T00:00:00"/>
    <s v="Fuel"/>
    <n v="1608"/>
    <n v="0"/>
    <s v="Fueling"/>
    <s v="Transport"/>
    <s v="Expense"/>
    <x v="4"/>
  </r>
  <r>
    <d v="2024-05-27T00:00:00"/>
    <s v="Drink"/>
    <n v="120"/>
    <n v="0"/>
    <s v="Coffee"/>
    <s v="Dining Out"/>
    <s v="Expense"/>
    <x v="4"/>
  </r>
  <r>
    <d v="2024-05-28T00:00:00"/>
    <s v="Drink"/>
    <n v="120"/>
    <n v="0"/>
    <s v="Coffee"/>
    <s v="Dining Out"/>
    <s v="Expense"/>
    <x v="4"/>
  </r>
  <r>
    <d v="2024-05-29T00:00:00"/>
    <s v="Drink"/>
    <n v="120"/>
    <n v="0"/>
    <s v="Coffee"/>
    <s v="Dining Out"/>
    <s v="Expense"/>
    <x v="4"/>
  </r>
  <r>
    <d v="2024-05-30T00:00:00"/>
    <s v="Drink"/>
    <n v="120"/>
    <n v="0"/>
    <s v="Coffee"/>
    <s v="Dining Out"/>
    <s v="Expense"/>
    <x v="4"/>
  </r>
  <r>
    <d v="2024-05-31T00:00:00"/>
    <s v="Drink"/>
    <n v="120"/>
    <n v="0"/>
    <s v="Coffee"/>
    <s v="Dining Out"/>
    <s v="Expense"/>
    <x v="4"/>
  </r>
  <r>
    <d v="2024-05-31T00:00:00"/>
    <s v="Green's"/>
    <n v="3979"/>
    <n v="0"/>
    <s v="Groceries"/>
    <s v="Living Expenses"/>
    <s v="Expense"/>
    <x v="4"/>
  </r>
  <r>
    <d v="2024-06-01T00:00:00"/>
    <s v="Trainers"/>
    <n v="3091"/>
    <n v="0"/>
    <s v="Clothes"/>
    <s v="Discretionary"/>
    <s v="Expense"/>
    <x v="5"/>
  </r>
  <r>
    <d v="2024-06-01T00:00:00"/>
    <s v="Home décor"/>
    <n v="5640"/>
    <n v="0"/>
    <s v="Furnishings"/>
    <s v="Discretionary"/>
    <s v="Expense"/>
    <x v="5"/>
  </r>
  <r>
    <d v="2024-06-02T00:00:00"/>
    <s v="Zara Clothes"/>
    <n v="3581"/>
    <n v="0"/>
    <s v="Clothes"/>
    <s v="Discretionary"/>
    <s v="Expense"/>
    <x v="5"/>
  </r>
  <r>
    <d v="2024-06-02T00:00:00"/>
    <s v="Ola"/>
    <n v="653"/>
    <n v="0"/>
    <s v="Taxi"/>
    <s v="Transport"/>
    <s v="Expense"/>
    <x v="5"/>
  </r>
  <r>
    <d v="2024-06-04T00:00:00"/>
    <s v="Foodary"/>
    <n v="360"/>
    <n v="0"/>
    <s v="Restaurant"/>
    <s v="Dining Out"/>
    <s v="Expense"/>
    <x v="5"/>
  </r>
  <r>
    <d v="2024-06-03T00:00:00"/>
    <s v="Drink"/>
    <n v="120"/>
    <n v="0"/>
    <s v="Coffee"/>
    <s v="Dining Out"/>
    <s v="Expense"/>
    <x v="5"/>
  </r>
  <r>
    <d v="2024-06-04T00:00:00"/>
    <s v="Drink"/>
    <n v="120"/>
    <n v="0"/>
    <s v="Coffee"/>
    <s v="Dining Out"/>
    <s v="Expense"/>
    <x v="5"/>
  </r>
  <r>
    <d v="2024-06-05T00:00:00"/>
    <s v="Nextleap DAF"/>
    <n v="0"/>
    <n v="120000"/>
    <s v="Data with Decision"/>
    <s v="Salary"/>
    <s v="Income"/>
    <x v="5"/>
  </r>
  <r>
    <d v="2024-06-07T00:00:00"/>
    <s v="Drink"/>
    <n v="120"/>
    <n v="0"/>
    <s v="Coffee"/>
    <s v="Dining Out"/>
    <s v="Expense"/>
    <x v="5"/>
  </r>
  <r>
    <d v="2024-06-07T00:00:00"/>
    <s v="Flat Expenses"/>
    <n v="21600"/>
    <n v="0"/>
    <s v="Rent"/>
    <s v="Living Expenses"/>
    <s v="Expense"/>
    <x v="5"/>
  </r>
  <r>
    <d v="2024-06-07T00:00:00"/>
    <s v="EMI"/>
    <n v="3600"/>
    <n v="0"/>
    <s v="Cash loan"/>
    <s v="Transport"/>
    <s v="Expense"/>
    <x v="5"/>
  </r>
  <r>
    <d v="2024-06-07T00:00:00"/>
    <s v="Drink"/>
    <n v="120"/>
    <n v="0"/>
    <s v="Coffee"/>
    <s v="Dining Out"/>
    <s v="Expense"/>
    <x v="5"/>
  </r>
  <r>
    <d v="2024-06-08T00:00:00"/>
    <s v="Drink"/>
    <n v="120"/>
    <n v="0"/>
    <s v="Coffee"/>
    <s v="Dining Out"/>
    <s v="Expense"/>
    <x v="5"/>
  </r>
  <r>
    <d v="2024-06-09T00:00:00"/>
    <s v="Drink"/>
    <n v="120"/>
    <n v="0"/>
    <s v="Coffee"/>
    <s v="Dining Out"/>
    <s v="Expense"/>
    <x v="5"/>
  </r>
  <r>
    <d v="2024-06-10T00:00:00"/>
    <s v="Drink"/>
    <n v="120"/>
    <n v="0"/>
    <s v="Coffee"/>
    <s v="Dining Out"/>
    <s v="Expense"/>
    <x v="5"/>
  </r>
  <r>
    <d v="2024-06-10T00:00:00"/>
    <s v="Green's"/>
    <n v="2856"/>
    <n v="0"/>
    <s v="Groceries"/>
    <s v="Living Expenses"/>
    <s v="Expense"/>
    <x v="5"/>
  </r>
  <r>
    <d v="2024-06-13T00:00:00"/>
    <s v="Power source"/>
    <n v="1320"/>
    <n v="0"/>
    <s v="Gas/Electrics"/>
    <s v="Living Expenses"/>
    <s v="Expense"/>
    <x v="5"/>
  </r>
  <r>
    <d v="2024-06-13T00:00:00"/>
    <s v="Drink"/>
    <n v="120"/>
    <n v="0"/>
    <s v="Coffee"/>
    <s v="Dining Out"/>
    <s v="Expense"/>
    <x v="5"/>
  </r>
  <r>
    <d v="2024-06-14T00:00:00"/>
    <s v="Drink"/>
    <n v="120"/>
    <n v="0"/>
    <s v="Coffee"/>
    <s v="Dining Out"/>
    <s v="Expense"/>
    <x v="5"/>
  </r>
  <r>
    <d v="2024-06-15T00:00:00"/>
    <s v="Fuel"/>
    <n v="1970"/>
    <n v="0"/>
    <s v="Fueling"/>
    <s v="Transport"/>
    <s v="Expense"/>
    <x v="5"/>
  </r>
  <r>
    <d v="2024-06-15T00:00:00"/>
    <s v="Drink"/>
    <n v="120"/>
    <n v="0"/>
    <s v="Coffee"/>
    <s v="Dining Out"/>
    <s v="Expense"/>
    <x v="5"/>
  </r>
  <r>
    <d v="2024-06-16T00:00:00"/>
    <s v="Drink"/>
    <n v="120"/>
    <n v="0"/>
    <s v="Coffee"/>
    <s v="Dining Out"/>
    <s v="Expense"/>
    <x v="5"/>
  </r>
  <r>
    <d v="2024-06-17T00:00:00"/>
    <s v="Green's"/>
    <n v="3365"/>
    <n v="0"/>
    <s v="Groceries"/>
    <s v="Living Expenses"/>
    <s v="Expense"/>
    <x v="5"/>
  </r>
  <r>
    <d v="2024-06-17T00:00:00"/>
    <s v="Drink"/>
    <n v="120"/>
    <n v="0"/>
    <s v="Coffee"/>
    <s v="Dining Out"/>
    <s v="Expense"/>
    <x v="5"/>
  </r>
  <r>
    <d v="2024-06-18T00:00:00"/>
    <s v="Drink"/>
    <n v="120"/>
    <n v="0"/>
    <s v="Coffee"/>
    <s v="Dining Out"/>
    <s v="Expense"/>
    <x v="5"/>
  </r>
  <r>
    <d v="2024-06-18T00:00:00"/>
    <s v="Cinemas"/>
    <n v="1078"/>
    <n v="0"/>
    <s v="Entertainment"/>
    <s v="Discretionary"/>
    <s v="Expense"/>
    <x v="5"/>
  </r>
  <r>
    <d v="2024-06-18T00:00:00"/>
    <s v="Myntra Accesories"/>
    <n v="2470"/>
    <n v="0"/>
    <s v="Clothes"/>
    <s v="Discretionary"/>
    <s v="Expense"/>
    <x v="5"/>
  </r>
  <r>
    <d v="2024-06-18T00:00:00"/>
    <s v="Swiggy"/>
    <n v="1366"/>
    <n v="0"/>
    <s v="Restaurant"/>
    <s v="Dining Out"/>
    <s v="Expense"/>
    <x v="5"/>
  </r>
  <r>
    <d v="2024-06-19T00:00:00"/>
    <s v="Ola"/>
    <n v="794"/>
    <n v="0"/>
    <s v="Taxi"/>
    <s v="Transport"/>
    <s v="Expense"/>
    <x v="5"/>
  </r>
  <r>
    <d v="2024-06-20T00:00:00"/>
    <s v="Onlne earning"/>
    <n v="0"/>
    <n v="2400"/>
    <s v="YouTube"/>
    <s v="Passive"/>
    <s v="Income"/>
    <x v="5"/>
  </r>
  <r>
    <d v="2024-06-20T00:00:00"/>
    <s v="Drink"/>
    <n v="120"/>
    <n v="0"/>
    <s v="Coffee"/>
    <s v="Dining Out"/>
    <s v="Expense"/>
    <x v="5"/>
  </r>
  <r>
    <d v="2024-06-21T00:00:00"/>
    <s v="Drink"/>
    <n v="120"/>
    <n v="0"/>
    <s v="Coffee"/>
    <s v="Dining Out"/>
    <s v="Expense"/>
    <x v="5"/>
  </r>
  <r>
    <d v="2024-06-21T00:00:00"/>
    <s v="Phone"/>
    <n v="960"/>
    <n v="0"/>
    <s v="Phone"/>
    <s v="Living Expenses"/>
    <s v="Expense"/>
    <x v="5"/>
  </r>
  <r>
    <d v="2024-06-22T00:00:00"/>
    <s v="Family and Friends surprises"/>
    <n v="1202"/>
    <n v="0"/>
    <s v="Gifts"/>
    <s v="Discretionary"/>
    <s v="Expense"/>
    <x v="5"/>
  </r>
  <r>
    <d v="2024-06-22T00:00:00"/>
    <s v="Online streaming"/>
    <n v="840"/>
    <n v="0"/>
    <s v="Entertainment"/>
    <s v="Discretionary"/>
    <s v="Expense"/>
    <x v="5"/>
  </r>
  <r>
    <d v="2024-06-22T00:00:00"/>
    <s v="Drink"/>
    <n v="120"/>
    <n v="0"/>
    <s v="Coffee"/>
    <s v="Dining Out"/>
    <s v="Expense"/>
    <x v="5"/>
  </r>
  <r>
    <d v="2024-06-23T00:00:00"/>
    <s v="Drink"/>
    <n v="120"/>
    <n v="0"/>
    <s v="Coffee"/>
    <s v="Dining Out"/>
    <s v="Expense"/>
    <x v="5"/>
  </r>
  <r>
    <d v="2024-06-24T00:00:00"/>
    <s v="Drink"/>
    <n v="120"/>
    <n v="0"/>
    <s v="Coffee"/>
    <s v="Dining Out"/>
    <s v="Expense"/>
    <x v="5"/>
  </r>
  <r>
    <d v="2024-06-24T00:00:00"/>
    <s v="Green's"/>
    <n v="5616"/>
    <n v="0"/>
    <s v="Groceries"/>
    <s v="Living Expenses"/>
    <s v="Expense"/>
    <x v="5"/>
  </r>
  <r>
    <d v="2024-06-25T00:00:00"/>
    <s v="Office Lunch"/>
    <n v="1010"/>
    <n v="0"/>
    <s v="Restaurant"/>
    <s v="Dining Out"/>
    <s v="Expense"/>
    <x v="5"/>
  </r>
  <r>
    <d v="2024-06-26T00:00:00"/>
    <s v="Evening snacks"/>
    <n v="410"/>
    <n v="0"/>
    <s v="Restaurant"/>
    <s v="Dining Out"/>
    <s v="Expense"/>
    <x v="5"/>
  </r>
  <r>
    <d v="2024-06-27T00:00:00"/>
    <s v="Orphanage"/>
    <n v="1320"/>
    <n v="0"/>
    <s v="Donation"/>
    <s v="Charity"/>
    <s v="Expense"/>
    <x v="5"/>
  </r>
  <r>
    <d v="2024-06-27T00:00:00"/>
    <s v="Fuel"/>
    <n v="1630"/>
    <n v="0"/>
    <s v="Fueling"/>
    <s v="Transport"/>
    <s v="Expense"/>
    <x v="5"/>
  </r>
  <r>
    <d v="2024-06-27T00:00:00"/>
    <s v="Drink"/>
    <n v="120"/>
    <n v="0"/>
    <s v="Coffee"/>
    <s v="Dining Out"/>
    <s v="Expense"/>
    <x v="5"/>
  </r>
  <r>
    <d v="2024-06-28T00:00:00"/>
    <s v="Drink"/>
    <n v="120"/>
    <n v="0"/>
    <s v="Coffee"/>
    <s v="Dining Out"/>
    <s v="Expense"/>
    <x v="5"/>
  </r>
  <r>
    <d v="2024-06-29T00:00:00"/>
    <s v="Drink"/>
    <n v="120"/>
    <n v="0"/>
    <s v="Coffee"/>
    <s v="Dining Out"/>
    <s v="Expense"/>
    <x v="5"/>
  </r>
  <r>
    <d v="2024-06-30T00:00:00"/>
    <s v="Drink"/>
    <n v="120"/>
    <n v="0"/>
    <s v="Coffee"/>
    <s v="Dining Out"/>
    <s v="Expense"/>
    <x v="5"/>
  </r>
  <r>
    <d v="2024-07-01T00:00:00"/>
    <s v="Drink"/>
    <n v="120"/>
    <n v="0"/>
    <s v="Coffee"/>
    <s v="Dining Out"/>
    <s v="Expense"/>
    <x v="6"/>
  </r>
  <r>
    <d v="2024-07-01T00:00:00"/>
    <s v="Green's"/>
    <n v="4006"/>
    <n v="0"/>
    <s v="Groceries"/>
    <s v="Living Expenses"/>
    <s v="Expense"/>
    <x v="6"/>
  </r>
  <r>
    <d v="2024-07-02T00:00:00"/>
    <s v="Trainers"/>
    <n v="3118"/>
    <n v="0"/>
    <s v="Clothes"/>
    <s v="Discretionary"/>
    <s v="Expense"/>
    <x v="6"/>
  </r>
  <r>
    <d v="2024-07-02T00:00:00"/>
    <s v="Hangingout/Ticket"/>
    <n v="4327"/>
    <n v="0"/>
    <s v="Entertainment"/>
    <s v="Discretionary"/>
    <s v="Expense"/>
    <x v="6"/>
  </r>
  <r>
    <d v="2024-07-03T00:00:00"/>
    <s v="Zara Clothes"/>
    <n v="3602"/>
    <n v="0"/>
    <s v="Clothes"/>
    <s v="Discretionary"/>
    <s v="Expense"/>
    <x v="6"/>
  </r>
  <r>
    <d v="2024-07-03T00:00:00"/>
    <s v="Ola"/>
    <n v="677"/>
    <n v="0"/>
    <s v="Taxi"/>
    <s v="Transport"/>
    <s v="Expense"/>
    <x v="6"/>
  </r>
  <r>
    <d v="2024-07-03T00:00:00"/>
    <s v="Foodary"/>
    <n v="360"/>
    <n v="0"/>
    <s v="Restaurant"/>
    <s v="Dining Out"/>
    <s v="Expense"/>
    <x v="6"/>
  </r>
  <r>
    <d v="2024-07-04T00:00:00"/>
    <s v="Drink"/>
    <n v="120"/>
    <n v="0"/>
    <s v="Coffee"/>
    <s v="Dining Out"/>
    <s v="Expense"/>
    <x v="6"/>
  </r>
  <r>
    <d v="2024-07-05T00:00:00"/>
    <s v="Drink"/>
    <n v="120"/>
    <n v="0"/>
    <s v="Coffee"/>
    <s v="Dining Out"/>
    <s v="Expense"/>
    <x v="6"/>
  </r>
  <r>
    <d v="2024-07-06T00:00:00"/>
    <s v="Nextleap DAF"/>
    <n v="0"/>
    <n v="120000"/>
    <s v="Data with Decision"/>
    <s v="Salary"/>
    <s v="Income"/>
    <x v="6"/>
  </r>
  <r>
    <d v="2024-07-07T00:00:00"/>
    <s v="Drink"/>
    <n v="120"/>
    <n v="0"/>
    <s v="Coffee"/>
    <s v="Dining Out"/>
    <s v="Expense"/>
    <x v="6"/>
  </r>
  <r>
    <d v="2024-07-09T00:00:00"/>
    <s v="Flat Expenses"/>
    <n v="21600"/>
    <n v="0"/>
    <s v="Rent"/>
    <s v="Living Expenses"/>
    <s v="Expense"/>
    <x v="6"/>
  </r>
  <r>
    <d v="2024-07-09T00:00:00"/>
    <s v="EMI"/>
    <n v="3600"/>
    <n v="0"/>
    <s v="Cash loan"/>
    <s v="Transport"/>
    <s v="Expense"/>
    <x v="6"/>
  </r>
  <r>
    <d v="2024-07-09T00:00:00"/>
    <s v="Feedings"/>
    <n v="360"/>
    <n v="0"/>
    <s v="Restaurant"/>
    <s v="Dining Out"/>
    <s v="Expense"/>
    <x v="6"/>
  </r>
  <r>
    <d v="2024-07-09T00:00:00"/>
    <s v="Drink"/>
    <n v="120"/>
    <n v="0"/>
    <s v="Coffee"/>
    <s v="Dining Out"/>
    <s v="Expense"/>
    <x v="6"/>
  </r>
  <r>
    <d v="2024-07-10T00:00:00"/>
    <s v="Drink"/>
    <n v="120"/>
    <n v="0"/>
    <s v="Coffee"/>
    <s v="Dining Out"/>
    <s v="Expense"/>
    <x v="6"/>
  </r>
  <r>
    <d v="2024-07-11T00:00:00"/>
    <s v="Drink"/>
    <n v="120"/>
    <n v="0"/>
    <s v="Coffee"/>
    <s v="Dining Out"/>
    <s v="Expense"/>
    <x v="6"/>
  </r>
  <r>
    <d v="2024-07-11T00:00:00"/>
    <s v="Green's"/>
    <n v="4320"/>
    <n v="0"/>
    <s v="Groceries"/>
    <s v="Living Expenses"/>
    <s v="Expense"/>
    <x v="6"/>
  </r>
  <r>
    <d v="2024-07-14T00:00:00"/>
    <s v="Power source"/>
    <n v="1346"/>
    <n v="0"/>
    <s v="Gas/Electrics"/>
    <s v="Living Expenses"/>
    <s v="Expense"/>
    <x v="6"/>
  </r>
  <r>
    <d v="2024-07-14T00:00:00"/>
    <s v="Drink"/>
    <n v="120"/>
    <n v="0"/>
    <s v="Coffee"/>
    <s v="Dining Out"/>
    <s v="Expense"/>
    <x v="6"/>
  </r>
  <r>
    <d v="2024-07-15T00:00:00"/>
    <s v="Drink"/>
    <n v="120"/>
    <n v="0"/>
    <s v="Coffee"/>
    <s v="Dining Out"/>
    <s v="Expense"/>
    <x v="6"/>
  </r>
  <r>
    <d v="2024-07-16T00:00:00"/>
    <s v="Fuel"/>
    <n v="1994"/>
    <n v="0"/>
    <s v="Fueling"/>
    <s v="Transport"/>
    <s v="Expense"/>
    <x v="6"/>
  </r>
  <r>
    <d v="2024-07-16T00:00:00"/>
    <s v="Drink"/>
    <n v="120"/>
    <n v="0"/>
    <s v="Coffee"/>
    <s v="Dining Out"/>
    <s v="Expense"/>
    <x v="6"/>
  </r>
  <r>
    <d v="2024-07-17T00:00:00"/>
    <s v="Drink"/>
    <n v="120"/>
    <n v="0"/>
    <s v="Coffee"/>
    <s v="Dining Out"/>
    <s v="Expense"/>
    <x v="6"/>
  </r>
  <r>
    <d v="2024-07-18T00:00:00"/>
    <s v="Green's"/>
    <n v="3386"/>
    <n v="0"/>
    <s v="Groceries"/>
    <s v="Living Expenses"/>
    <s v="Expense"/>
    <x v="6"/>
  </r>
  <r>
    <d v="2024-07-18T00:00:00"/>
    <s v="Drink"/>
    <n v="120"/>
    <n v="0"/>
    <s v="Coffee"/>
    <s v="Dining Out"/>
    <s v="Expense"/>
    <x v="6"/>
  </r>
  <r>
    <d v="2024-07-19T00:00:00"/>
    <s v="Drink"/>
    <n v="120"/>
    <n v="0"/>
    <s v="Coffee"/>
    <s v="Dining Out"/>
    <s v="Expense"/>
    <x v="6"/>
  </r>
  <r>
    <d v="2024-07-19T00:00:00"/>
    <s v="Cinemas"/>
    <n v="1099"/>
    <n v="0"/>
    <s v="Entertainment"/>
    <s v="Discretionary"/>
    <s v="Expense"/>
    <x v="6"/>
  </r>
  <r>
    <d v="2024-07-19T00:00:00"/>
    <s v="Myntra Accesories"/>
    <n v="2491"/>
    <n v="0"/>
    <s v="Clothes"/>
    <s v="Discretionary"/>
    <s v="Expense"/>
    <x v="6"/>
  </r>
  <r>
    <d v="2024-07-19T00:00:00"/>
    <s v="Swiggy"/>
    <n v="1392"/>
    <n v="0"/>
    <s v="Restaurant"/>
    <s v="Dining Out"/>
    <s v="Expense"/>
    <x v="6"/>
  </r>
  <r>
    <d v="2024-07-20T00:00:00"/>
    <s v="Ola"/>
    <n v="821"/>
    <n v="0"/>
    <s v="Taxi"/>
    <s v="Transport"/>
    <s v="Expense"/>
    <x v="6"/>
  </r>
  <r>
    <d v="2024-07-21T00:00:00"/>
    <s v="Onlne earning"/>
    <n v="0"/>
    <n v="4800"/>
    <s v="YouTube"/>
    <s v="Passive"/>
    <s v="Income"/>
    <x v="6"/>
  </r>
  <r>
    <d v="2024-07-21T00:00:00"/>
    <s v="Drink"/>
    <n v="120"/>
    <n v="0"/>
    <s v="Coffee"/>
    <s v="Dining Out"/>
    <s v="Expense"/>
    <x v="6"/>
  </r>
  <r>
    <d v="2024-07-22T00:00:00"/>
    <s v="Drink"/>
    <n v="120"/>
    <n v="0"/>
    <s v="Coffee"/>
    <s v="Dining Out"/>
    <s v="Expense"/>
    <x v="6"/>
  </r>
  <r>
    <d v="2024-07-22T00:00:00"/>
    <s v="Phone"/>
    <n v="960"/>
    <n v="0"/>
    <s v="Phone"/>
    <s v="Living Expenses"/>
    <s v="Expense"/>
    <x v="6"/>
  </r>
  <r>
    <d v="2024-07-23T00:00:00"/>
    <s v="Family and Friends surprises"/>
    <n v="1226"/>
    <n v="0"/>
    <s v="Gifts"/>
    <s v="Discretionary"/>
    <s v="Expense"/>
    <x v="6"/>
  </r>
  <r>
    <d v="2024-07-23T00:00:00"/>
    <s v="Online streaming"/>
    <n v="840"/>
    <n v="0"/>
    <s v="Entertainment"/>
    <s v="Discretionary"/>
    <s v="Expense"/>
    <x v="6"/>
  </r>
  <r>
    <d v="2024-07-23T00:00:00"/>
    <s v="Drink"/>
    <n v="120"/>
    <n v="0"/>
    <s v="Coffee"/>
    <s v="Dining Out"/>
    <s v="Expense"/>
    <x v="6"/>
  </r>
  <r>
    <d v="2024-07-24T00:00:00"/>
    <s v="Drink"/>
    <n v="120"/>
    <n v="0"/>
    <s v="Coffee"/>
    <s v="Dining Out"/>
    <s v="Expense"/>
    <x v="6"/>
  </r>
  <r>
    <d v="2024-07-25T00:00:00"/>
    <s v="Drink"/>
    <n v="120"/>
    <n v="0"/>
    <s v="Coffee"/>
    <s v="Dining Out"/>
    <s v="Expense"/>
    <x v="6"/>
  </r>
  <r>
    <d v="2024-07-25T00:00:00"/>
    <s v="Green's"/>
    <n v="4224"/>
    <n v="0"/>
    <s v="Groceries"/>
    <s v="Living Expenses"/>
    <s v="Expense"/>
    <x v="6"/>
  </r>
  <r>
    <d v="2024-07-26T00:00:00"/>
    <s v="Office Lunch"/>
    <n v="1034"/>
    <n v="0"/>
    <s v="Restaurant"/>
    <s v="Dining Out"/>
    <s v="Expense"/>
    <x v="6"/>
  </r>
  <r>
    <d v="2024-07-27T00:00:00"/>
    <s v="Evening snacks"/>
    <n v="437"/>
    <n v="0"/>
    <s v="Restaurant"/>
    <s v="Dining Out"/>
    <s v="Expense"/>
    <x v="6"/>
  </r>
  <r>
    <d v="2024-07-28T00:00:00"/>
    <s v="Orphanage"/>
    <n v="1320"/>
    <n v="0"/>
    <s v="Donation"/>
    <s v="Charity"/>
    <s v="Expense"/>
    <x v="6"/>
  </r>
  <r>
    <d v="2024-07-28T00:00:00"/>
    <s v="Fuel"/>
    <n v="1651"/>
    <n v="0"/>
    <s v="Fueling"/>
    <s v="Transport"/>
    <s v="Expense"/>
    <x v="6"/>
  </r>
  <r>
    <d v="2024-07-28T00:00:00"/>
    <s v="Drink"/>
    <n v="120"/>
    <n v="0"/>
    <s v="Coffee"/>
    <s v="Dining Out"/>
    <s v="Expense"/>
    <x v="6"/>
  </r>
  <r>
    <d v="2024-07-29T00:00:00"/>
    <s v="Drink"/>
    <n v="120"/>
    <n v="0"/>
    <s v="Coffee"/>
    <s v="Dining Out"/>
    <s v="Expense"/>
    <x v="6"/>
  </r>
  <r>
    <d v="2024-07-30T00:00:00"/>
    <s v="Drink"/>
    <n v="120"/>
    <n v="0"/>
    <s v="Coffee"/>
    <s v="Dining Out"/>
    <s v="Expense"/>
    <x v="6"/>
  </r>
  <r>
    <d v="2024-07-31T00:00:00"/>
    <s v="Drink"/>
    <n v="120"/>
    <n v="0"/>
    <s v="Coffee"/>
    <s v="Dining Out"/>
    <s v="Expense"/>
    <x v="6"/>
  </r>
  <r>
    <d v="2024-08-01T00:00:00"/>
    <s v="Drink"/>
    <n v="120"/>
    <n v="0"/>
    <s v="Coffee"/>
    <s v="Dining Out"/>
    <s v="Expense"/>
    <x v="7"/>
  </r>
  <r>
    <d v="2024-08-01T00:00:00"/>
    <s v="Green's"/>
    <n v="4632"/>
    <n v="0"/>
    <s v="Groceries"/>
    <s v="Living Expenses"/>
    <s v="Expense"/>
    <x v="7"/>
  </r>
  <r>
    <d v="2024-08-02T00:00:00"/>
    <s v="Trainers"/>
    <n v="3139"/>
    <n v="0"/>
    <s v="Clothes"/>
    <s v="Discretionary"/>
    <s v="Expense"/>
    <x v="7"/>
  </r>
  <r>
    <d v="2024-08-02T00:00:00"/>
    <s v="Home décor"/>
    <n v="4354"/>
    <n v="0"/>
    <s v="Furnishings"/>
    <s v="Discretionary"/>
    <s v="Expense"/>
    <x v="7"/>
  </r>
  <r>
    <d v="2024-08-03T00:00:00"/>
    <s v="Zara Clothes"/>
    <n v="3629"/>
    <n v="0"/>
    <s v="Clothes"/>
    <s v="Discretionary"/>
    <s v="Expense"/>
    <x v="7"/>
  </r>
  <r>
    <d v="2024-08-03T00:00:00"/>
    <s v="Ola"/>
    <n v="703"/>
    <n v="0"/>
    <s v="Taxi"/>
    <s v="Transport"/>
    <s v="Expense"/>
    <x v="7"/>
  </r>
  <r>
    <d v="2024-08-03T00:00:00"/>
    <s v="Foodary"/>
    <n v="360"/>
    <n v="0"/>
    <s v="Restaurant"/>
    <s v="Dining Out"/>
    <s v="Expense"/>
    <x v="7"/>
  </r>
  <r>
    <d v="2024-08-04T00:00:00"/>
    <s v="Drink"/>
    <n v="120"/>
    <n v="0"/>
    <s v="Coffee"/>
    <s v="Dining Out"/>
    <s v="Expense"/>
    <x v="7"/>
  </r>
  <r>
    <d v="2024-08-06T00:00:00"/>
    <s v="Drink"/>
    <n v="120"/>
    <n v="0"/>
    <s v="Coffee"/>
    <s v="Dining Out"/>
    <s v="Expense"/>
    <x v="7"/>
  </r>
  <r>
    <d v="2024-08-06T00:00:00"/>
    <s v="Nextleap DAF"/>
    <n v="0"/>
    <n v="120000"/>
    <s v="Data with Decision"/>
    <s v="Salary"/>
    <s v="Income"/>
    <x v="7"/>
  </r>
  <r>
    <d v="2024-08-07T00:00:00"/>
    <s v="Drink"/>
    <n v="120"/>
    <n v="0"/>
    <s v="Coffee"/>
    <s v="Dining Out"/>
    <s v="Expense"/>
    <x v="7"/>
  </r>
  <r>
    <d v="2024-08-09T00:00:00"/>
    <s v="Flat Expenses"/>
    <n v="21600"/>
    <n v="0"/>
    <s v="Rent"/>
    <s v="Living Expenses"/>
    <s v="Expense"/>
    <x v="7"/>
  </r>
  <r>
    <d v="2024-08-09T00:00:00"/>
    <s v="EMI"/>
    <n v="3600"/>
    <n v="0"/>
    <s v="Cash loan"/>
    <s v="Transport"/>
    <s v="Expense"/>
    <x v="7"/>
  </r>
  <r>
    <d v="2024-08-09T00:00:00"/>
    <s v="Drink"/>
    <n v="120"/>
    <n v="0"/>
    <s v="Coffee"/>
    <s v="Dining Out"/>
    <s v="Expense"/>
    <x v="7"/>
  </r>
  <r>
    <d v="2024-08-09T00:00:00"/>
    <s v="Drink"/>
    <n v="120"/>
    <n v="0"/>
    <s v="Coffee"/>
    <s v="Dining Out"/>
    <s v="Expense"/>
    <x v="7"/>
  </r>
  <r>
    <d v="2024-08-10T00:00:00"/>
    <s v="Drink"/>
    <n v="120"/>
    <n v="0"/>
    <s v="Coffee"/>
    <s v="Dining Out"/>
    <s v="Expense"/>
    <x v="7"/>
  </r>
  <r>
    <d v="2024-08-11T00:00:00"/>
    <s v="Drink"/>
    <n v="120"/>
    <n v="0"/>
    <s v="Coffee"/>
    <s v="Dining Out"/>
    <s v="Expense"/>
    <x v="7"/>
  </r>
  <r>
    <d v="2024-08-11T00:00:00"/>
    <s v="Green's"/>
    <n v="3288"/>
    <n v="0"/>
    <s v="Groceries"/>
    <s v="Living Expenses"/>
    <s v="Expense"/>
    <x v="7"/>
  </r>
  <r>
    <d v="2024-08-14T00:00:00"/>
    <s v="Power source"/>
    <n v="1368"/>
    <n v="0"/>
    <s v="Gas/Electrics"/>
    <s v="Living Expenses"/>
    <s v="Expense"/>
    <x v="7"/>
  </r>
  <r>
    <d v="2024-08-14T00:00:00"/>
    <s v="Drink"/>
    <n v="120"/>
    <n v="0"/>
    <s v="Coffee"/>
    <s v="Dining Out"/>
    <s v="Expense"/>
    <x v="7"/>
  </r>
  <r>
    <d v="2024-08-15T00:00:00"/>
    <s v="Drink"/>
    <n v="120"/>
    <n v="0"/>
    <s v="Coffee"/>
    <s v="Dining Out"/>
    <s v="Expense"/>
    <x v="7"/>
  </r>
  <r>
    <d v="2024-08-16T00:00:00"/>
    <s v="Fuel"/>
    <n v="2021"/>
    <n v="0"/>
    <s v="Fueling"/>
    <s v="Transport"/>
    <s v="Expense"/>
    <x v="7"/>
  </r>
  <r>
    <d v="2024-08-16T00:00:00"/>
    <s v="Drink"/>
    <n v="120"/>
    <n v="0"/>
    <s v="Coffee"/>
    <s v="Dining Out"/>
    <s v="Expense"/>
    <x v="7"/>
  </r>
  <r>
    <d v="2024-08-17T00:00:00"/>
    <s v="Drink"/>
    <n v="120"/>
    <n v="0"/>
    <s v="Coffee"/>
    <s v="Dining Out"/>
    <s v="Expense"/>
    <x v="7"/>
  </r>
  <r>
    <d v="2024-08-18T00:00:00"/>
    <s v="Green's"/>
    <n v="3410"/>
    <n v="0"/>
    <s v="Groceries"/>
    <s v="Living Expenses"/>
    <s v="Expense"/>
    <x v="7"/>
  </r>
  <r>
    <d v="2024-08-18T00:00:00"/>
    <s v="Drink"/>
    <n v="120"/>
    <n v="0"/>
    <s v="Coffee"/>
    <s v="Dining Out"/>
    <s v="Expense"/>
    <x v="7"/>
  </r>
  <r>
    <d v="2024-08-19T00:00:00"/>
    <s v="Drink"/>
    <n v="120"/>
    <n v="0"/>
    <s v="Coffee"/>
    <s v="Dining Out"/>
    <s v="Expense"/>
    <x v="7"/>
  </r>
  <r>
    <d v="2024-08-19T00:00:00"/>
    <s v="Cinemas"/>
    <n v="1123"/>
    <n v="0"/>
    <s v="Entertainment"/>
    <s v="Discretionary"/>
    <s v="Expense"/>
    <x v="7"/>
  </r>
  <r>
    <d v="2024-08-19T00:00:00"/>
    <s v="Sarojini Nagar"/>
    <n v="2513"/>
    <n v="0"/>
    <s v="Clothes"/>
    <s v="Discretionary"/>
    <s v="Expense"/>
    <x v="7"/>
  </r>
  <r>
    <d v="2024-08-19T00:00:00"/>
    <s v="Swiggy"/>
    <n v="1418"/>
    <n v="0"/>
    <s v="Restaurant"/>
    <s v="Dining Out"/>
    <s v="Expense"/>
    <x v="7"/>
  </r>
  <r>
    <d v="2024-08-20T00:00:00"/>
    <s v="Ola"/>
    <n v="842"/>
    <n v="0"/>
    <s v="Taxi"/>
    <s v="Transport"/>
    <s v="Expense"/>
    <x v="7"/>
  </r>
  <r>
    <d v="2024-08-21T00:00:00"/>
    <s v="Onlne earning"/>
    <n v="0"/>
    <n v="19200"/>
    <s v="YouTube"/>
    <s v="Passive"/>
    <s v="Income"/>
    <x v="7"/>
  </r>
  <r>
    <d v="2024-08-21T00:00:00"/>
    <s v="Drink"/>
    <n v="120"/>
    <n v="0"/>
    <s v="Coffee"/>
    <s v="Dining Out"/>
    <s v="Expense"/>
    <x v="7"/>
  </r>
  <r>
    <d v="2024-08-22T00:00:00"/>
    <s v="Drink"/>
    <n v="120"/>
    <n v="0"/>
    <s v="Coffee"/>
    <s v="Dining Out"/>
    <s v="Expense"/>
    <x v="7"/>
  </r>
  <r>
    <d v="2024-08-22T00:00:00"/>
    <s v="Phone"/>
    <n v="960"/>
    <n v="0"/>
    <s v="Phone"/>
    <s v="Living Expenses"/>
    <s v="Expense"/>
    <x v="7"/>
  </r>
  <r>
    <d v="2024-08-23T00:00:00"/>
    <s v="Family and Friends surprises"/>
    <n v="1250"/>
    <n v="0"/>
    <s v="Gifts"/>
    <s v="Discretionary"/>
    <s v="Expense"/>
    <x v="7"/>
  </r>
  <r>
    <d v="2024-08-23T00:00:00"/>
    <s v="Online streaming"/>
    <n v="840"/>
    <n v="0"/>
    <s v="Entertainment"/>
    <s v="Discretionary"/>
    <s v="Expense"/>
    <x v="7"/>
  </r>
  <r>
    <d v="2024-08-23T00:00:00"/>
    <s v="Drink"/>
    <n v="120"/>
    <n v="0"/>
    <s v="Coffee"/>
    <s v="Dining Out"/>
    <s v="Expense"/>
    <x v="7"/>
  </r>
  <r>
    <d v="2024-08-24T00:00:00"/>
    <s v="Drink"/>
    <n v="120"/>
    <n v="0"/>
    <s v="Coffee"/>
    <s v="Dining Out"/>
    <s v="Expense"/>
    <x v="7"/>
  </r>
  <r>
    <d v="2024-08-25T00:00:00"/>
    <s v="Drink"/>
    <n v="120"/>
    <n v="0"/>
    <s v="Coffee"/>
    <s v="Dining Out"/>
    <s v="Expense"/>
    <x v="7"/>
  </r>
  <r>
    <d v="2024-08-25T00:00:00"/>
    <s v="Green's"/>
    <n v="4248"/>
    <n v="0"/>
    <s v="Groceries"/>
    <s v="Living Expenses"/>
    <s v="Expense"/>
    <x v="7"/>
  </r>
  <r>
    <d v="2024-08-26T00:00:00"/>
    <s v="Office Lunch"/>
    <n v="1061"/>
    <n v="0"/>
    <s v="Restaurant"/>
    <s v="Dining Out"/>
    <s v="Expense"/>
    <x v="7"/>
  </r>
  <r>
    <d v="2024-08-27T00:00:00"/>
    <s v="Evening snacks"/>
    <n v="461"/>
    <n v="0"/>
    <s v="Restaurant"/>
    <s v="Dining Out"/>
    <s v="Expense"/>
    <x v="7"/>
  </r>
  <r>
    <d v="2024-08-28T00:00:00"/>
    <s v="Orphanage"/>
    <n v="1320"/>
    <n v="0"/>
    <s v="Donation"/>
    <s v="Charity"/>
    <s v="Expense"/>
    <x v="7"/>
  </r>
  <r>
    <d v="2024-08-28T00:00:00"/>
    <s v="Fuel"/>
    <n v="1673"/>
    <n v="0"/>
    <s v="Fueling"/>
    <s v="Transport"/>
    <s v="Expense"/>
    <x v="7"/>
  </r>
  <r>
    <d v="2024-08-28T00:00:00"/>
    <s v="Drink"/>
    <n v="120"/>
    <n v="0"/>
    <s v="Coffee"/>
    <s v="Dining Out"/>
    <s v="Expense"/>
    <x v="7"/>
  </r>
  <r>
    <d v="2024-08-29T00:00:00"/>
    <s v="Drink"/>
    <n v="120"/>
    <n v="0"/>
    <s v="Coffee"/>
    <s v="Dining Out"/>
    <s v="Expense"/>
    <x v="7"/>
  </r>
  <r>
    <d v="2024-08-30T00:00:00"/>
    <s v="Drink"/>
    <n v="120"/>
    <n v="0"/>
    <s v="Coffee"/>
    <s v="Dining Out"/>
    <s v="Expense"/>
    <x v="7"/>
  </r>
  <r>
    <d v="2024-08-31T00:00:00"/>
    <s v="Drink"/>
    <n v="120"/>
    <n v="0"/>
    <s v="Coffee"/>
    <s v="Dining Out"/>
    <s v="Expense"/>
    <x v="7"/>
  </r>
  <r>
    <d v="2024-09-01T00:00:00"/>
    <s v="Drink"/>
    <n v="120"/>
    <n v="0"/>
    <s v="Coffee"/>
    <s v="Dining Out"/>
    <s v="Expense"/>
    <x v="8"/>
  </r>
  <r>
    <d v="2024-09-01T00:00:00"/>
    <s v="Green's"/>
    <n v="2808"/>
    <n v="0"/>
    <s v="Groceries"/>
    <s v="Living Expenses"/>
    <s v="Expense"/>
    <x v="8"/>
  </r>
  <r>
    <d v="2024-09-02T00:00:00"/>
    <s v="Trainers"/>
    <n v="3166"/>
    <n v="0"/>
    <s v="Clothes"/>
    <s v="Discretionary"/>
    <s v="Expense"/>
    <x v="8"/>
  </r>
  <r>
    <d v="2024-09-02T00:00:00"/>
    <s v="Hangingout/Ticket"/>
    <n v="4378"/>
    <n v="0"/>
    <s v="Entertainment"/>
    <s v="Discretionary"/>
    <s v="Expense"/>
    <x v="8"/>
  </r>
  <r>
    <d v="2024-09-03T00:00:00"/>
    <s v="Zara Clothes"/>
    <n v="3655"/>
    <n v="0"/>
    <s v="Clothes"/>
    <s v="Discretionary"/>
    <s v="Expense"/>
    <x v="8"/>
  </r>
  <r>
    <d v="2024-09-03T00:00:00"/>
    <s v="Ola"/>
    <n v="727"/>
    <n v="0"/>
    <s v="Taxi"/>
    <s v="Transport"/>
    <s v="Expense"/>
    <x v="8"/>
  </r>
  <r>
    <d v="2024-09-03T00:00:00"/>
    <s v="Foodary"/>
    <n v="360"/>
    <n v="0"/>
    <s v="Restaurant"/>
    <s v="Dining Out"/>
    <s v="Expense"/>
    <x v="8"/>
  </r>
  <r>
    <d v="2024-09-04T00:00:00"/>
    <s v="Drink"/>
    <n v="120"/>
    <n v="0"/>
    <s v="Coffee"/>
    <s v="Dining Out"/>
    <s v="Expense"/>
    <x v="8"/>
  </r>
  <r>
    <d v="2024-09-06T00:00:00"/>
    <s v="Drink"/>
    <n v="120"/>
    <n v="0"/>
    <s v="Coffee"/>
    <s v="Dining Out"/>
    <s v="Expense"/>
    <x v="8"/>
  </r>
  <r>
    <d v="2024-09-06T00:00:00"/>
    <s v="Nextleap DAF"/>
    <n v="0"/>
    <n v="120000"/>
    <s v="Data with Decision"/>
    <s v="Salary"/>
    <s v="Income"/>
    <x v="8"/>
  </r>
  <r>
    <d v="2024-09-07T00:00:00"/>
    <s v="Drink"/>
    <n v="120"/>
    <n v="0"/>
    <s v="Coffee"/>
    <s v="Dining Out"/>
    <s v="Expense"/>
    <x v="8"/>
  </r>
  <r>
    <d v="2024-09-09T00:00:00"/>
    <s v="Flat Expenses"/>
    <n v="21600"/>
    <n v="0"/>
    <s v="Rent"/>
    <s v="Living Expenses"/>
    <s v="Expense"/>
    <x v="8"/>
  </r>
  <r>
    <d v="2024-09-09T00:00:00"/>
    <s v="EMI"/>
    <n v="3600"/>
    <n v="0"/>
    <s v="Cash loan"/>
    <s v="Transport"/>
    <s v="Expense"/>
    <x v="8"/>
  </r>
  <r>
    <d v="2024-09-09T00:00:00"/>
    <s v="Drink"/>
    <n v="120"/>
    <n v="0"/>
    <s v="Coffee"/>
    <s v="Dining Out"/>
    <s v="Expense"/>
    <x v="8"/>
  </r>
  <r>
    <d v="2024-09-09T00:00:00"/>
    <s v="Drink"/>
    <n v="120"/>
    <n v="0"/>
    <s v="Coffee"/>
    <s v="Dining Out"/>
    <s v="Expense"/>
    <x v="8"/>
  </r>
  <r>
    <d v="2024-09-10T00:00:00"/>
    <s v="Drink"/>
    <n v="120"/>
    <n v="0"/>
    <s v="Coffee"/>
    <s v="Dining Out"/>
    <s v="Expense"/>
    <x v="8"/>
  </r>
  <r>
    <d v="2024-09-11T00:00:00"/>
    <s v="Drink"/>
    <n v="120"/>
    <n v="0"/>
    <s v="Coffee"/>
    <s v="Dining Out"/>
    <s v="Expense"/>
    <x v="8"/>
  </r>
  <r>
    <d v="2024-09-11T00:00:00"/>
    <s v="Green's"/>
    <n v="3922"/>
    <n v="0"/>
    <s v="Groceries"/>
    <s v="Living Expenses"/>
    <s v="Expense"/>
    <x v="8"/>
  </r>
  <r>
    <d v="2024-09-14T00:00:00"/>
    <s v="Power source"/>
    <n v="1394"/>
    <n v="0"/>
    <s v="Gas/Electrics"/>
    <s v="Living Expenses"/>
    <s v="Expense"/>
    <x v="8"/>
  </r>
  <r>
    <d v="2024-09-14T00:00:00"/>
    <s v="Drink"/>
    <n v="120"/>
    <n v="0"/>
    <s v="Coffee"/>
    <s v="Dining Out"/>
    <s v="Expense"/>
    <x v="8"/>
  </r>
  <r>
    <d v="2024-09-15T00:00:00"/>
    <s v="Drink"/>
    <n v="120"/>
    <n v="0"/>
    <s v="Coffee"/>
    <s v="Dining Out"/>
    <s v="Expense"/>
    <x v="8"/>
  </r>
  <r>
    <d v="2024-09-16T00:00:00"/>
    <s v="Fuel"/>
    <n v="2047"/>
    <n v="0"/>
    <s v="Fueling"/>
    <s v="Transport"/>
    <s v="Expense"/>
    <x v="8"/>
  </r>
  <r>
    <d v="2024-09-16T00:00:00"/>
    <s v="Drink"/>
    <n v="120"/>
    <n v="0"/>
    <s v="Coffee"/>
    <s v="Dining Out"/>
    <s v="Expense"/>
    <x v="8"/>
  </r>
  <r>
    <d v="2024-09-17T00:00:00"/>
    <s v="Drink"/>
    <n v="120"/>
    <n v="0"/>
    <s v="Coffee"/>
    <s v="Dining Out"/>
    <s v="Expense"/>
    <x v="8"/>
  </r>
  <r>
    <d v="2024-09-18T00:00:00"/>
    <s v="Green's"/>
    <n v="3432"/>
    <n v="0"/>
    <s v="Groceries"/>
    <s v="Living Expenses"/>
    <s v="Expense"/>
    <x v="8"/>
  </r>
  <r>
    <d v="2024-09-18T00:00:00"/>
    <s v="Drink"/>
    <n v="120"/>
    <n v="0"/>
    <s v="Coffee"/>
    <s v="Dining Out"/>
    <s v="Expense"/>
    <x v="8"/>
  </r>
  <r>
    <d v="2024-09-19T00:00:00"/>
    <s v="Drink"/>
    <n v="120"/>
    <n v="0"/>
    <s v="Coffee"/>
    <s v="Dining Out"/>
    <s v="Expense"/>
    <x v="8"/>
  </r>
  <r>
    <d v="2024-09-19T00:00:00"/>
    <s v="Cinemas"/>
    <n v="1147"/>
    <n v="0"/>
    <s v="Entertainment"/>
    <s v="Discretionary"/>
    <s v="Expense"/>
    <x v="8"/>
  </r>
  <r>
    <d v="2024-09-19T00:00:00"/>
    <s v="Myntra Accesories"/>
    <n v="2539"/>
    <n v="0"/>
    <s v="Clothes"/>
    <s v="Discretionary"/>
    <s v="Expense"/>
    <x v="8"/>
  </r>
  <r>
    <d v="2024-09-19T00:00:00"/>
    <s v="Swiggy"/>
    <n v="1442"/>
    <n v="0"/>
    <s v="Restaurant"/>
    <s v="Dining Out"/>
    <s v="Expense"/>
    <x v="8"/>
  </r>
  <r>
    <d v="2024-09-20T00:00:00"/>
    <s v="Ola"/>
    <n v="869"/>
    <n v="0"/>
    <s v="Taxi"/>
    <s v="Transport"/>
    <s v="Expense"/>
    <x v="8"/>
  </r>
  <r>
    <d v="2024-09-21T00:00:00"/>
    <s v="Onlne earning"/>
    <n v="0"/>
    <n v="2400"/>
    <s v="YouTube"/>
    <s v="Passive"/>
    <s v="Income"/>
    <x v="8"/>
  </r>
  <r>
    <d v="2024-09-21T00:00:00"/>
    <s v="Drink"/>
    <n v="120"/>
    <n v="0"/>
    <s v="Coffee"/>
    <s v="Dining Out"/>
    <s v="Expense"/>
    <x v="8"/>
  </r>
  <r>
    <d v="2024-09-22T00:00:00"/>
    <s v="Drink"/>
    <n v="120"/>
    <n v="0"/>
    <s v="Coffee"/>
    <s v="Dining Out"/>
    <s v="Expense"/>
    <x v="8"/>
  </r>
  <r>
    <d v="2024-09-22T00:00:00"/>
    <s v="Phone"/>
    <n v="960"/>
    <n v="0"/>
    <s v="Phone"/>
    <s v="Living Expenses"/>
    <s v="Expense"/>
    <x v="8"/>
  </r>
  <r>
    <d v="2024-09-23T00:00:00"/>
    <s v="Family and Friends surprises"/>
    <n v="1272"/>
    <n v="0"/>
    <s v="Gifts"/>
    <s v="Discretionary"/>
    <s v="Expense"/>
    <x v="8"/>
  </r>
  <r>
    <d v="2024-09-23T00:00:00"/>
    <s v="Online streaming"/>
    <n v="840"/>
    <n v="0"/>
    <s v="Entertainment"/>
    <s v="Discretionary"/>
    <s v="Expense"/>
    <x v="8"/>
  </r>
  <r>
    <d v="2024-09-23T00:00:00"/>
    <s v="Drink"/>
    <n v="120"/>
    <n v="0"/>
    <s v="Coffee"/>
    <s v="Dining Out"/>
    <s v="Expense"/>
    <x v="8"/>
  </r>
  <r>
    <d v="2024-09-24T00:00:00"/>
    <s v="Drink"/>
    <n v="120"/>
    <n v="0"/>
    <s v="Coffee"/>
    <s v="Dining Out"/>
    <s v="Expense"/>
    <x v="8"/>
  </r>
  <r>
    <d v="2024-09-25T00:00:00"/>
    <s v="Drink"/>
    <n v="120"/>
    <n v="0"/>
    <s v="Coffee"/>
    <s v="Dining Out"/>
    <s v="Expense"/>
    <x v="8"/>
  </r>
  <r>
    <d v="2024-09-25T00:00:00"/>
    <s v="Green's"/>
    <n v="4270"/>
    <n v="0"/>
    <s v="Groceries"/>
    <s v="Living Expenses"/>
    <s v="Expense"/>
    <x v="8"/>
  </r>
  <r>
    <d v="2024-09-26T00:00:00"/>
    <s v="Office Lunch"/>
    <n v="1087"/>
    <n v="0"/>
    <s v="Restaurant"/>
    <s v="Dining Out"/>
    <s v="Expense"/>
    <x v="8"/>
  </r>
  <r>
    <d v="2024-09-27T00:00:00"/>
    <s v="Evening snacks"/>
    <n v="482"/>
    <n v="0"/>
    <s v="Restaurant"/>
    <s v="Dining Out"/>
    <s v="Expense"/>
    <x v="8"/>
  </r>
  <r>
    <d v="2024-09-28T00:00:00"/>
    <s v="Orphanage"/>
    <n v="1320"/>
    <n v="0"/>
    <s v="Donation"/>
    <s v="Charity"/>
    <s v="Expense"/>
    <x v="8"/>
  </r>
  <r>
    <d v="2024-09-28T00:00:00"/>
    <s v="Fuel"/>
    <n v="1694"/>
    <n v="0"/>
    <s v="Fueling"/>
    <s v="Transport"/>
    <s v="Expense"/>
    <x v="8"/>
  </r>
  <r>
    <d v="2024-09-28T00:00:00"/>
    <s v="Drink"/>
    <n v="120"/>
    <n v="0"/>
    <s v="Coffee"/>
    <s v="Dining Out"/>
    <s v="Expense"/>
    <x v="8"/>
  </r>
  <r>
    <d v="2024-09-29T00:00:00"/>
    <s v="Drink"/>
    <n v="120"/>
    <n v="0"/>
    <s v="Coffee"/>
    <s v="Dining Out"/>
    <s v="Expense"/>
    <x v="8"/>
  </r>
  <r>
    <d v="2024-09-30T00:00:00"/>
    <s v="Drink"/>
    <n v="120"/>
    <n v="0"/>
    <s v="Coffee"/>
    <s v="Dining Out"/>
    <s v="Expense"/>
    <x v="8"/>
  </r>
  <r>
    <d v="2024-10-01T00:00:00"/>
    <s v="Drink"/>
    <n v="120"/>
    <n v="0"/>
    <s v="Coffee"/>
    <s v="Dining Out"/>
    <s v="Expense"/>
    <x v="9"/>
  </r>
  <r>
    <d v="2024-10-02T00:00:00"/>
    <s v="Drink"/>
    <n v="120"/>
    <n v="0"/>
    <s v="Coffee"/>
    <s v="Dining Out"/>
    <s v="Expense"/>
    <x v="9"/>
  </r>
  <r>
    <d v="2024-10-02T00:00:00"/>
    <s v="Green's"/>
    <n v="5352"/>
    <n v="0"/>
    <s v="Groceries"/>
    <s v="Living Expenses"/>
    <s v="Expense"/>
    <x v="9"/>
  </r>
  <r>
    <d v="2024-10-03T00:00:00"/>
    <s v="Trainers"/>
    <n v="3190"/>
    <n v="0"/>
    <s v="Clothes"/>
    <s v="Discretionary"/>
    <s v="Expense"/>
    <x v="9"/>
  </r>
  <r>
    <d v="2024-10-03T00:00:00"/>
    <s v="Global Fashion"/>
    <n v="4200"/>
    <n v="0"/>
    <s v="Clothes"/>
    <s v="Discretionary"/>
    <s v="Expense"/>
    <x v="9"/>
  </r>
  <r>
    <d v="2024-10-04T00:00:00"/>
    <s v="Zara Clothes"/>
    <n v="3682"/>
    <n v="0"/>
    <s v="Clothes"/>
    <s v="Discretionary"/>
    <s v="Expense"/>
    <x v="9"/>
  </r>
  <r>
    <d v="2024-10-04T00:00:00"/>
    <s v="Ola"/>
    <n v="749"/>
    <n v="0"/>
    <s v="Taxi"/>
    <s v="Transport"/>
    <s v="Expense"/>
    <x v="9"/>
  </r>
  <r>
    <d v="2024-10-04T00:00:00"/>
    <s v="Foodary"/>
    <n v="360"/>
    <n v="0"/>
    <s v="Restaurant"/>
    <s v="Dining Out"/>
    <s v="Expense"/>
    <x v="9"/>
  </r>
  <r>
    <d v="2024-10-05T00:00:00"/>
    <s v="Drink"/>
    <n v="120"/>
    <n v="0"/>
    <s v="Coffee"/>
    <s v="Dining Out"/>
    <s v="Expense"/>
    <x v="9"/>
  </r>
  <r>
    <d v="2024-10-07T00:00:00"/>
    <s v="Drink"/>
    <n v="120"/>
    <n v="0"/>
    <s v="Coffee"/>
    <s v="Dining Out"/>
    <s v="Expense"/>
    <x v="9"/>
  </r>
  <r>
    <d v="2024-10-07T00:00:00"/>
    <s v="Nextleap DAF"/>
    <n v="0"/>
    <n v="120000"/>
    <s v="Data with Decision"/>
    <s v="Salary"/>
    <s v="Income"/>
    <x v="9"/>
  </r>
  <r>
    <d v="2024-10-08T00:00:00"/>
    <s v="Drink"/>
    <n v="120"/>
    <n v="0"/>
    <s v="Coffee"/>
    <s v="Dining Out"/>
    <s v="Expense"/>
    <x v="9"/>
  </r>
  <r>
    <d v="2024-10-10T00:00:00"/>
    <s v="Flat Expenses"/>
    <n v="21600"/>
    <n v="0"/>
    <s v="Rent"/>
    <s v="Living Expenses"/>
    <s v="Expense"/>
    <x v="9"/>
  </r>
  <r>
    <d v="2024-10-10T00:00:00"/>
    <s v="EMI"/>
    <n v="3600"/>
    <n v="0"/>
    <s v="Cash loan"/>
    <s v="Transport"/>
    <s v="Expense"/>
    <x v="9"/>
  </r>
  <r>
    <d v="2024-10-10T00:00:00"/>
    <s v="Drink"/>
    <n v="120"/>
    <n v="0"/>
    <s v="Coffee"/>
    <s v="Dining Out"/>
    <s v="Expense"/>
    <x v="9"/>
  </r>
  <r>
    <d v="2024-10-10T00:00:00"/>
    <s v="Drink"/>
    <n v="120"/>
    <n v="0"/>
    <s v="Coffee"/>
    <s v="Dining Out"/>
    <s v="Expense"/>
    <x v="9"/>
  </r>
  <r>
    <d v="2024-10-11T00:00:00"/>
    <s v="Drink"/>
    <n v="120"/>
    <n v="0"/>
    <s v="Coffee"/>
    <s v="Dining Out"/>
    <s v="Expense"/>
    <x v="9"/>
  </r>
  <r>
    <d v="2024-10-12T00:00:00"/>
    <s v="Drink"/>
    <n v="120"/>
    <n v="0"/>
    <s v="Coffee"/>
    <s v="Dining Out"/>
    <s v="Expense"/>
    <x v="9"/>
  </r>
  <r>
    <d v="2024-10-12T00:00:00"/>
    <s v="Green's"/>
    <n v="2520"/>
    <n v="0"/>
    <s v="Groceries"/>
    <s v="Living Expenses"/>
    <s v="Expense"/>
    <x v="9"/>
  </r>
  <r>
    <d v="2024-10-15T00:00:00"/>
    <s v="Power source"/>
    <n v="1416"/>
    <n v="0"/>
    <s v="Gas/Electrics"/>
    <s v="Living Expenses"/>
    <s v="Expense"/>
    <x v="9"/>
  </r>
  <r>
    <d v="2024-10-15T00:00:00"/>
    <s v="Drink"/>
    <n v="120"/>
    <n v="0"/>
    <s v="Coffee"/>
    <s v="Dining Out"/>
    <s v="Expense"/>
    <x v="9"/>
  </r>
  <r>
    <d v="2024-10-16T00:00:00"/>
    <s v="Drink"/>
    <n v="120"/>
    <n v="0"/>
    <s v="Coffee"/>
    <s v="Dining Out"/>
    <s v="Expense"/>
    <x v="9"/>
  </r>
  <r>
    <d v="2024-10-17T00:00:00"/>
    <s v="Fuel"/>
    <n v="2074"/>
    <n v="0"/>
    <s v="Fueling"/>
    <s v="Transport"/>
    <s v="Expense"/>
    <x v="9"/>
  </r>
  <r>
    <d v="2024-10-17T00:00:00"/>
    <s v="Drink"/>
    <n v="120"/>
    <n v="0"/>
    <s v="Coffee"/>
    <s v="Dining Out"/>
    <s v="Expense"/>
    <x v="9"/>
  </r>
  <r>
    <d v="2024-10-18T00:00:00"/>
    <s v="Drink"/>
    <n v="120"/>
    <n v="0"/>
    <s v="Coffee"/>
    <s v="Dining Out"/>
    <s v="Expense"/>
    <x v="9"/>
  </r>
  <r>
    <d v="2024-10-19T00:00:00"/>
    <s v="Green's"/>
    <n v="3454"/>
    <n v="0"/>
    <s v="Groceries"/>
    <s v="Living Expenses"/>
    <s v="Expense"/>
    <x v="9"/>
  </r>
  <r>
    <d v="2024-10-19T00:00:00"/>
    <s v="Drink"/>
    <n v="120"/>
    <n v="0"/>
    <s v="Coffee"/>
    <s v="Dining Out"/>
    <s v="Expense"/>
    <x v="9"/>
  </r>
  <r>
    <d v="2024-10-20T00:00:00"/>
    <s v="Drink"/>
    <n v="120"/>
    <n v="0"/>
    <s v="Coffee"/>
    <s v="Dining Out"/>
    <s v="Expense"/>
    <x v="9"/>
  </r>
  <r>
    <d v="2024-10-20T00:00:00"/>
    <s v="Cinemas"/>
    <n v="1171"/>
    <n v="0"/>
    <s v="Entertainment"/>
    <s v="Discretionary"/>
    <s v="Expense"/>
    <x v="9"/>
  </r>
  <r>
    <d v="2024-10-20T00:00:00"/>
    <s v="Myntra Accesories"/>
    <n v="2561"/>
    <n v="0"/>
    <s v="Clothes"/>
    <s v="Discretionary"/>
    <s v="Expense"/>
    <x v="9"/>
  </r>
  <r>
    <d v="2024-10-20T00:00:00"/>
    <s v="Swiggy"/>
    <n v="1466"/>
    <n v="0"/>
    <s v="Restaurant"/>
    <s v="Dining Out"/>
    <s v="Expense"/>
    <x v="9"/>
  </r>
  <r>
    <d v="2024-10-21T00:00:00"/>
    <s v="Ola"/>
    <n v="893"/>
    <n v="0"/>
    <s v="Taxi"/>
    <s v="Transport"/>
    <s v="Expense"/>
    <x v="9"/>
  </r>
  <r>
    <d v="2024-10-22T00:00:00"/>
    <s v="Onlne earning"/>
    <n v="0"/>
    <n v="2400"/>
    <s v="YouTube"/>
    <s v="Passive"/>
    <s v="Income"/>
    <x v="9"/>
  </r>
  <r>
    <d v="2024-10-22T00:00:00"/>
    <s v="Drink"/>
    <n v="120"/>
    <n v="0"/>
    <s v="Coffee"/>
    <s v="Dining Out"/>
    <s v="Expense"/>
    <x v="9"/>
  </r>
  <r>
    <d v="2024-10-23T00:00:00"/>
    <s v="Drink"/>
    <n v="120"/>
    <n v="0"/>
    <s v="Coffee"/>
    <s v="Dining Out"/>
    <s v="Expense"/>
    <x v="9"/>
  </r>
  <r>
    <d v="2024-10-23T00:00:00"/>
    <s v="Taken medication"/>
    <n v="1800"/>
    <n v="0"/>
    <s v="Doctor"/>
    <s v="Medical"/>
    <s v="Expense"/>
    <x v="9"/>
  </r>
  <r>
    <d v="2024-10-23T00:00:00"/>
    <s v="Phone"/>
    <n v="960"/>
    <n v="0"/>
    <s v="Phone"/>
    <s v="Living Expenses"/>
    <s v="Expense"/>
    <x v="9"/>
  </r>
  <r>
    <d v="2024-10-24T00:00:00"/>
    <s v="Family and Friends surprises"/>
    <n v="1298"/>
    <n v="0"/>
    <s v="Gifts"/>
    <s v="Discretionary"/>
    <s v="Expense"/>
    <x v="9"/>
  </r>
  <r>
    <d v="2024-10-24T00:00:00"/>
    <s v="Online streaming"/>
    <n v="840"/>
    <n v="0"/>
    <s v="Entertainment"/>
    <s v="Discretionary"/>
    <s v="Expense"/>
    <x v="9"/>
  </r>
  <r>
    <d v="2024-10-24T00:00:00"/>
    <s v="Drink"/>
    <n v="120"/>
    <n v="0"/>
    <s v="Coffee"/>
    <s v="Dining Out"/>
    <s v="Expense"/>
    <x v="9"/>
  </r>
  <r>
    <d v="2024-10-25T00:00:00"/>
    <s v="Drink"/>
    <n v="120"/>
    <n v="0"/>
    <s v="Coffee"/>
    <s v="Dining Out"/>
    <s v="Expense"/>
    <x v="9"/>
  </r>
  <r>
    <d v="2024-10-26T00:00:00"/>
    <s v="Drink"/>
    <n v="120"/>
    <n v="0"/>
    <s v="Coffee"/>
    <s v="Dining Out"/>
    <s v="Expense"/>
    <x v="9"/>
  </r>
  <r>
    <d v="2024-10-26T00:00:00"/>
    <s v="Green's"/>
    <n v="4294"/>
    <n v="0"/>
    <s v="Groceries"/>
    <s v="Living Expenses"/>
    <s v="Expense"/>
    <x v="9"/>
  </r>
  <r>
    <d v="2024-10-27T00:00:00"/>
    <s v="Office Lunch"/>
    <n v="1109"/>
    <n v="0"/>
    <s v="Restaurant"/>
    <s v="Dining Out"/>
    <s v="Expense"/>
    <x v="9"/>
  </r>
  <r>
    <d v="2024-10-28T00:00:00"/>
    <s v="Evening snacks"/>
    <n v="506"/>
    <n v="0"/>
    <s v="Restaurant"/>
    <s v="Dining Out"/>
    <s v="Expense"/>
    <x v="9"/>
  </r>
  <r>
    <d v="2024-10-29T00:00:00"/>
    <s v="Orphanage"/>
    <n v="1320"/>
    <n v="0"/>
    <s v="Donation"/>
    <s v="Charity"/>
    <s v="Expense"/>
    <x v="9"/>
  </r>
  <r>
    <d v="2024-10-29T00:00:00"/>
    <s v="Fuel"/>
    <n v="1716"/>
    <n v="0"/>
    <s v="Fueling"/>
    <s v="Transport"/>
    <s v="Expense"/>
    <x v="9"/>
  </r>
  <r>
    <d v="2024-10-29T00:00:00"/>
    <s v="Drink"/>
    <n v="120"/>
    <n v="0"/>
    <s v="Coffee"/>
    <s v="Dining Out"/>
    <s v="Expense"/>
    <x v="9"/>
  </r>
  <r>
    <d v="2024-10-30T00:00:00"/>
    <s v="Drink"/>
    <n v="120"/>
    <n v="0"/>
    <s v="Coffee"/>
    <s v="Dining Out"/>
    <s v="Expense"/>
    <x v="9"/>
  </r>
  <r>
    <d v="2024-10-31T00:00:00"/>
    <s v="Drink"/>
    <n v="120"/>
    <n v="0"/>
    <s v="Coffee"/>
    <s v="Dining Out"/>
    <s v="Expense"/>
    <x v="9"/>
  </r>
  <r>
    <d v="2024-11-01T00:00:00"/>
    <s v="Drink"/>
    <n v="120"/>
    <n v="0"/>
    <s v="Coffee"/>
    <s v="Dining Out"/>
    <s v="Expense"/>
    <x v="10"/>
  </r>
  <r>
    <d v="2024-11-02T00:00:00"/>
    <s v="Drink"/>
    <n v="120"/>
    <n v="0"/>
    <s v="Coffee"/>
    <s v="Dining Out"/>
    <s v="Expense"/>
    <x v="10"/>
  </r>
  <r>
    <d v="2024-11-02T00:00:00"/>
    <s v="Green's"/>
    <n v="4536"/>
    <n v="0"/>
    <s v="Groceries"/>
    <s v="Living Expenses"/>
    <s v="Expense"/>
    <x v="10"/>
  </r>
  <r>
    <d v="2024-11-03T00:00:00"/>
    <s v="Trainers"/>
    <n v="3211"/>
    <n v="0"/>
    <s v="Clothes"/>
    <s v="Discretionary"/>
    <s v="Expense"/>
    <x v="10"/>
  </r>
  <r>
    <d v="2024-11-03T00:00:00"/>
    <s v="Hangingout/Ticket"/>
    <n v="4426"/>
    <n v="0"/>
    <s v="Entertainment"/>
    <s v="Discretionary"/>
    <s v="Expense"/>
    <x v="10"/>
  </r>
  <r>
    <d v="2024-11-04T00:00:00"/>
    <s v="H&amp;m Visit"/>
    <n v="3708"/>
    <n v="0"/>
    <s v="Clothes"/>
    <s v="Discretionary"/>
    <s v="Expense"/>
    <x v="10"/>
  </r>
  <r>
    <d v="2024-11-04T00:00:00"/>
    <s v="Ola"/>
    <n v="770"/>
    <n v="0"/>
    <s v="Taxi"/>
    <s v="Transport"/>
    <s v="Expense"/>
    <x v="10"/>
  </r>
  <r>
    <d v="2024-11-04T00:00:00"/>
    <s v="Foodary"/>
    <n v="360"/>
    <n v="0"/>
    <s v="Restaurant"/>
    <s v="Dining Out"/>
    <s v="Expense"/>
    <x v="1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6">
  <r>
    <d v="2024-01-09T00:00:00"/>
    <s v="Nextleap DAF"/>
    <n v="0"/>
    <n v="120000"/>
    <s v="Nextleap DAF"/>
    <s v="Salary"/>
    <s v="Income"/>
    <s v="January"/>
    <x v="0"/>
  </r>
  <r>
    <d v="2024-01-09T00:00:00"/>
    <s v="Drink"/>
    <n v="120"/>
    <n v="0"/>
    <s v="Coffee"/>
    <s v="Dining Out"/>
    <s v="Expense"/>
    <s v="January"/>
    <x v="0"/>
  </r>
  <r>
    <d v="2024-01-10T00:00:00"/>
    <s v="Flat Expenses"/>
    <n v="21600"/>
    <n v="0"/>
    <s v="Rent"/>
    <s v="Living Expenses"/>
    <s v="Expense"/>
    <s v="January"/>
    <x v="0"/>
  </r>
  <r>
    <d v="2024-01-10T00:00:00"/>
    <s v="EMI"/>
    <n v="3600"/>
    <n v="0"/>
    <s v="Cash loan"/>
    <s v="Transport"/>
    <s v="Expense"/>
    <s v="January"/>
    <x v="0"/>
  </r>
  <r>
    <d v="2024-01-10T00:00:00"/>
    <s v="Drink"/>
    <n v="120"/>
    <n v="0"/>
    <s v="Coffee"/>
    <s v="Dining Out"/>
    <s v="Expense"/>
    <s v="January"/>
    <x v="0"/>
  </r>
  <r>
    <d v="2024-01-11T00:00:00"/>
    <s v="Drink"/>
    <n v="120"/>
    <n v="0"/>
    <s v="Coffee"/>
    <s v="Dining Out"/>
    <s v="Expense"/>
    <s v="January"/>
    <x v="0"/>
  </r>
  <r>
    <d v="2024-01-12T00:00:00"/>
    <s v="Drink"/>
    <n v="120"/>
    <n v="0"/>
    <s v="Coffee"/>
    <s v="Dining Out"/>
    <s v="Expense"/>
    <s v="January"/>
    <x v="0"/>
  </r>
  <r>
    <d v="2024-01-13T00:00:00"/>
    <s v="Drink"/>
    <n v="120"/>
    <n v="0"/>
    <s v="Coffee"/>
    <s v="Dining Out"/>
    <s v="Expense"/>
    <s v="January"/>
    <x v="0"/>
  </r>
  <r>
    <d v="2024-01-13T00:00:00"/>
    <s v="Green's"/>
    <n v="3720"/>
    <n v="0"/>
    <s v="Groceries"/>
    <s v="Living Expenses"/>
    <s v="Expense"/>
    <s v="January"/>
    <x v="0"/>
  </r>
  <r>
    <d v="2024-01-16T00:00:00"/>
    <s v="Power source"/>
    <n v="1200"/>
    <n v="0"/>
    <s v="Gas/Electrics"/>
    <s v="Living Expenses"/>
    <s v="Expense"/>
    <s v="January"/>
    <x v="1"/>
  </r>
  <r>
    <d v="2024-01-16T00:00:00"/>
    <s v="Drink"/>
    <n v="120"/>
    <n v="0"/>
    <s v="Coffee"/>
    <s v="Dining Out"/>
    <s v="Expense"/>
    <s v="January"/>
    <x v="1"/>
  </r>
  <r>
    <d v="2024-01-17T00:00:00"/>
    <s v="Drink"/>
    <n v="120"/>
    <n v="0"/>
    <s v="Coffee"/>
    <s v="Dining Out"/>
    <s v="Expense"/>
    <s v="January"/>
    <x v="1"/>
  </r>
  <r>
    <d v="2024-01-18T00:00:00"/>
    <s v="Fuel"/>
    <n v="1848"/>
    <n v="0"/>
    <s v="Coffee"/>
    <s v="Dining Out"/>
    <s v="Expense"/>
    <s v="January"/>
    <x v="1"/>
  </r>
  <r>
    <d v="2024-01-18T00:00:00"/>
    <s v="Drink"/>
    <n v="120"/>
    <n v="0"/>
    <s v="Coffee"/>
    <s v="Dining Out"/>
    <s v="Expense"/>
    <s v="January"/>
    <x v="1"/>
  </r>
  <r>
    <d v="2024-01-19T00:00:00"/>
    <s v="Drink"/>
    <n v="120"/>
    <n v="0"/>
    <s v="Coffee"/>
    <s v="Dining Out"/>
    <s v="Expense"/>
    <s v="January"/>
    <x v="1"/>
  </r>
  <r>
    <d v="2024-01-20T00:00:00"/>
    <s v="Green's"/>
    <n v="3240"/>
    <n v="0"/>
    <s v="Groceries"/>
    <s v="Living Expenses"/>
    <s v="Expense"/>
    <s v="January"/>
    <x v="1"/>
  </r>
  <r>
    <d v="2024-01-20T00:00:00"/>
    <s v="Drink"/>
    <n v="120"/>
    <n v="0"/>
    <s v="Coffee"/>
    <s v="Dining Out"/>
    <s v="Expense"/>
    <s v="January"/>
    <x v="1"/>
  </r>
  <r>
    <d v="2024-01-21T00:00:00"/>
    <s v="Drink"/>
    <n v="120"/>
    <n v="0"/>
    <s v="Coffee"/>
    <s v="Dining Out"/>
    <s v="Expense"/>
    <s v="January"/>
    <x v="2"/>
  </r>
  <r>
    <d v="2024-01-21T00:00:00"/>
    <s v="Cinemas"/>
    <n v="960"/>
    <n v="0"/>
    <s v="Entertainment"/>
    <s v="Discretionary"/>
    <s v="Expense"/>
    <s v="January"/>
    <x v="2"/>
  </r>
  <r>
    <d v="2024-01-21T00:00:00"/>
    <s v="Zara Clothes"/>
    <n v="2352"/>
    <n v="0"/>
    <s v="Clothes"/>
    <s v="Discretionary"/>
    <s v="Expense"/>
    <s v="January"/>
    <x v="2"/>
  </r>
  <r>
    <d v="2024-01-21T00:00:00"/>
    <s v="Swiggy"/>
    <n v="1248"/>
    <n v="0"/>
    <s v="Restaurant"/>
    <s v="Dining Out"/>
    <s v="Expense"/>
    <s v="January"/>
    <x v="2"/>
  </r>
  <r>
    <d v="2024-01-22T00:00:00"/>
    <s v="Ola"/>
    <n v="672"/>
    <n v="0"/>
    <s v="Taxi"/>
    <s v="Transport"/>
    <s v="Expense"/>
    <s v="January"/>
    <x v="2"/>
  </r>
  <r>
    <d v="2024-01-23T00:00:00"/>
    <s v="Onlne earning"/>
    <n v="0"/>
    <n v="108000"/>
    <s v="YouTube"/>
    <s v="Passive"/>
    <s v="Income"/>
    <s v="January"/>
    <x v="2"/>
  </r>
  <r>
    <d v="2024-01-23T00:00:00"/>
    <s v="Drink"/>
    <n v="120"/>
    <n v="0"/>
    <s v="Coffee"/>
    <s v="Dining Out"/>
    <s v="Expense"/>
    <s v="January"/>
    <x v="2"/>
  </r>
  <r>
    <d v="2024-01-24T00:00:00"/>
    <s v="Drink"/>
    <n v="120"/>
    <n v="0"/>
    <s v="Coffee"/>
    <s v="Dining Out"/>
    <s v="Expense"/>
    <s v="January"/>
    <x v="2"/>
  </r>
  <r>
    <d v="2024-01-24T00:00:00"/>
    <s v="Onlne earning"/>
    <n v="0"/>
    <n v="108000"/>
    <s v="Teachable"/>
    <s v="Passive"/>
    <s v="Income"/>
    <s v="January"/>
    <x v="2"/>
  </r>
  <r>
    <d v="2024-01-24T00:00:00"/>
    <s v="Phone"/>
    <n v="960"/>
    <n v="0"/>
    <s v="Phone"/>
    <s v="Living Expenses"/>
    <s v="Expense"/>
    <s v="January"/>
    <x v="2"/>
  </r>
  <r>
    <d v="2024-01-25T00:00:00"/>
    <s v="Family and Friends surprises"/>
    <n v="1080"/>
    <n v="0"/>
    <s v="Gifts"/>
    <s v="Discretionary"/>
    <s v="Expense"/>
    <s v="January"/>
    <x v="2"/>
  </r>
  <r>
    <d v="2024-01-25T00:00:00"/>
    <s v="Online streaming"/>
    <n v="768"/>
    <n v="0"/>
    <s v="Entertainment"/>
    <s v="Discretionary"/>
    <s v="Expense"/>
    <s v="January"/>
    <x v="2"/>
  </r>
  <r>
    <d v="2024-01-25T00:00:00"/>
    <s v="Drink"/>
    <n v="120"/>
    <n v="0"/>
    <s v="Coffee"/>
    <s v="Dining Out"/>
    <s v="Expense"/>
    <s v="January"/>
    <x v="2"/>
  </r>
  <r>
    <d v="2024-01-26T00:00:00"/>
    <s v="Drink"/>
    <n v="120"/>
    <n v="0"/>
    <s v="Coffee"/>
    <s v="Dining Out"/>
    <s v="Expense"/>
    <s v="January"/>
    <x v="2"/>
  </r>
  <r>
    <d v="2024-01-27T00:00:00"/>
    <s v="Drink"/>
    <n v="120"/>
    <n v="0"/>
    <s v="Coffee"/>
    <s v="Dining Out"/>
    <s v="Expense"/>
    <s v="January"/>
    <x v="2"/>
  </r>
  <r>
    <d v="2024-01-27T00:00:00"/>
    <s v="Green's"/>
    <n v="4080"/>
    <n v="0"/>
    <s v="Groceries"/>
    <s v="Living Expenses"/>
    <s v="Expense"/>
    <s v="January"/>
    <x v="2"/>
  </r>
  <r>
    <d v="2024-01-28T00:00:00"/>
    <s v="Office Lunch"/>
    <n v="888"/>
    <n v="0"/>
    <s v="Restaurant"/>
    <s v="Dining Out"/>
    <s v="Expense"/>
    <s v="January"/>
    <x v="3"/>
  </r>
  <r>
    <d v="2024-01-29T00:00:00"/>
    <s v="Evening snacks"/>
    <n v="288"/>
    <n v="0"/>
    <s v="Restaurant"/>
    <s v="Dining Out"/>
    <s v="Expense"/>
    <s v="January"/>
    <x v="3"/>
  </r>
  <r>
    <d v="2024-01-30T00:00:00"/>
    <s v="Orphanage"/>
    <n v="1320"/>
    <n v="0"/>
    <s v="Donation"/>
    <s v="Charity"/>
    <s v="Expense"/>
    <s v="January"/>
    <x v="3"/>
  </r>
  <r>
    <d v="2024-01-30T00:00:00"/>
    <s v="Fuel"/>
    <n v="1512"/>
    <n v="0"/>
    <s v="Fueling"/>
    <s v="Transport"/>
    <s v="Expense"/>
    <s v="January"/>
    <x v="3"/>
  </r>
  <r>
    <d v="2024-01-30T00:00:00"/>
    <s v="Drink"/>
    <n v="120"/>
    <n v="0"/>
    <s v="Coffee"/>
    <s v="Dining Out"/>
    <s v="Expense"/>
    <s v="January"/>
    <x v="3"/>
  </r>
  <r>
    <d v="2024-01-31T00:00:00"/>
    <s v="Drink"/>
    <n v="120"/>
    <n v="0"/>
    <s v="Coffee"/>
    <s v="Dining Out"/>
    <s v="Expense"/>
    <s v="January"/>
    <x v="3"/>
  </r>
  <r>
    <d v="2024-02-01T00:00:00"/>
    <s v="Drink"/>
    <n v="120"/>
    <n v="0"/>
    <s v="Coffee"/>
    <s v="Dining Out"/>
    <s v="Expense"/>
    <s v="February"/>
    <x v="3"/>
  </r>
  <r>
    <d v="2024-02-02T00:00:00"/>
    <s v="Drink"/>
    <n v="120"/>
    <n v="0"/>
    <s v="Coffee"/>
    <s v="Dining Out"/>
    <s v="Expense"/>
    <s v="February"/>
    <x v="3"/>
  </r>
  <r>
    <d v="2024-02-03T00:00:00"/>
    <s v="Drink"/>
    <n v="120"/>
    <n v="0"/>
    <s v="Coffee"/>
    <s v="Dining Out"/>
    <s v="Expense"/>
    <s v="February"/>
    <x v="3"/>
  </r>
  <r>
    <d v="2024-02-03T00:00:00"/>
    <s v="Green's"/>
    <n v="3888"/>
    <n v="0"/>
    <s v="Groceries"/>
    <s v="Living Expenses"/>
    <s v="Expense"/>
    <s v="February"/>
    <x v="3"/>
  </r>
  <r>
    <d v="2024-02-04T00:00:00"/>
    <s v="Trainers"/>
    <n v="3000"/>
    <n v="0"/>
    <s v="Clothes"/>
    <s v="Discretionary"/>
    <s v="Expense"/>
    <s v="February"/>
    <x v="4"/>
  </r>
  <r>
    <d v="2024-02-04T00:00:00"/>
    <s v="Hangingout/Ticket"/>
    <n v="4200"/>
    <n v="0"/>
    <s v="Entertainment"/>
    <s v="Discretionary"/>
    <s v="Expense"/>
    <s v="February"/>
    <x v="4"/>
  </r>
  <r>
    <d v="2024-02-05T00:00:00"/>
    <s v="Zara Clothes"/>
    <n v="3480"/>
    <n v="0"/>
    <s v="Clothes"/>
    <s v="Discretionary"/>
    <s v="Expense"/>
    <s v="February"/>
    <x v="4"/>
  </r>
  <r>
    <d v="2024-02-05T00:00:00"/>
    <s v="Ola"/>
    <n v="552"/>
    <n v="0"/>
    <s v="Taxi"/>
    <s v="Transport"/>
    <s v="Expense"/>
    <s v="February"/>
    <x v="4"/>
  </r>
  <r>
    <d v="2024-02-06T00:00:00"/>
    <s v="Nextleap DAF"/>
    <n v="0"/>
    <n v="120000"/>
    <s v="Data with Decision"/>
    <s v="Salary"/>
    <s v="Income"/>
    <s v="February"/>
    <x v="4"/>
  </r>
  <r>
    <d v="2024-02-06T00:00:00"/>
    <s v="Drink"/>
    <n v="120"/>
    <n v="0"/>
    <s v="Coffee"/>
    <s v="Dining Out"/>
    <s v="Expense"/>
    <s v="February"/>
    <x v="4"/>
  </r>
  <r>
    <d v="2024-02-07T00:00:00"/>
    <s v="Flat Expenses"/>
    <n v="21600"/>
    <n v="0"/>
    <s v="Rent"/>
    <s v="Living Expenses"/>
    <s v="Expense"/>
    <s v="February"/>
    <x v="4"/>
  </r>
  <r>
    <d v="2024-02-07T00:00:00"/>
    <s v="EMI"/>
    <n v="3600"/>
    <n v="0"/>
    <s v="Cash loan"/>
    <s v="Transport"/>
    <s v="Expense"/>
    <s v="February"/>
    <x v="4"/>
  </r>
  <r>
    <d v="2024-02-07T00:00:00"/>
    <s v="Drink"/>
    <n v="120"/>
    <n v="0"/>
    <s v="Coffee"/>
    <s v="Dining Out"/>
    <s v="Expense"/>
    <s v="February"/>
    <x v="4"/>
  </r>
  <r>
    <d v="2024-02-08T00:00:00"/>
    <s v="Drink"/>
    <n v="120"/>
    <n v="0"/>
    <s v="Coffee"/>
    <s v="Dining Out"/>
    <s v="Expense"/>
    <s v="February"/>
    <x v="4"/>
  </r>
  <r>
    <d v="2024-02-09T00:00:00"/>
    <s v="Drink"/>
    <n v="120"/>
    <n v="0"/>
    <s v="Coffee"/>
    <s v="Dining Out"/>
    <s v="Expense"/>
    <s v="February"/>
    <x v="4"/>
  </r>
  <r>
    <d v="2024-02-10T00:00:00"/>
    <s v="Drink"/>
    <n v="120"/>
    <n v="0"/>
    <s v="Coffee"/>
    <s v="Dining Out"/>
    <s v="Expense"/>
    <s v="February"/>
    <x v="4"/>
  </r>
  <r>
    <d v="2024-02-10T00:00:00"/>
    <s v="Green's"/>
    <n v="4920"/>
    <n v="0"/>
    <s v="Groceries"/>
    <s v="Living Expenses"/>
    <s v="Expense"/>
    <s v="February"/>
    <x v="4"/>
  </r>
  <r>
    <d v="2024-02-13T00:00:00"/>
    <s v="Power source"/>
    <n v="1226"/>
    <n v="0"/>
    <s v="Gas/Electrics"/>
    <s v="Living Expenses"/>
    <s v="Expense"/>
    <s v="February"/>
    <x v="5"/>
  </r>
  <r>
    <d v="2024-02-13T00:00:00"/>
    <s v="Drink"/>
    <n v="120"/>
    <n v="0"/>
    <s v="Coffee"/>
    <s v="Dining Out"/>
    <s v="Expense"/>
    <s v="February"/>
    <x v="5"/>
  </r>
  <r>
    <d v="2024-02-14T00:00:00"/>
    <s v="Drink"/>
    <n v="120"/>
    <n v="0"/>
    <s v="Coffee"/>
    <s v="Dining Out"/>
    <s v="Expense"/>
    <s v="February"/>
    <x v="5"/>
  </r>
  <r>
    <d v="2024-02-15T00:00:00"/>
    <s v="Fuel"/>
    <n v="1872"/>
    <n v="0"/>
    <s v="Fueling"/>
    <s v="Transport"/>
    <s v="Expense"/>
    <s v="February"/>
    <x v="5"/>
  </r>
  <r>
    <d v="2024-02-15T00:00:00"/>
    <s v="Drink"/>
    <n v="120"/>
    <n v="0"/>
    <s v="Coffee"/>
    <s v="Dining Out"/>
    <s v="Expense"/>
    <s v="February"/>
    <x v="5"/>
  </r>
  <r>
    <d v="2024-02-16T00:00:00"/>
    <s v="Drink"/>
    <n v="120"/>
    <n v="0"/>
    <s v="Coffee"/>
    <s v="Dining Out"/>
    <s v="Expense"/>
    <s v="February"/>
    <x v="5"/>
  </r>
  <r>
    <d v="2024-02-17T00:00:00"/>
    <s v="Green's"/>
    <n v="3262"/>
    <n v="0"/>
    <s v="Groceries"/>
    <s v="Living Expenses"/>
    <s v="Expense"/>
    <s v="February"/>
    <x v="5"/>
  </r>
  <r>
    <d v="2024-02-17T00:00:00"/>
    <s v="Drink"/>
    <n v="120"/>
    <n v="0"/>
    <s v="Coffee"/>
    <s v="Dining Out"/>
    <s v="Expense"/>
    <s v="February"/>
    <x v="5"/>
  </r>
  <r>
    <d v="2024-02-18T00:00:00"/>
    <s v="Drink"/>
    <n v="120"/>
    <n v="0"/>
    <s v="Coffee"/>
    <s v="Dining Out"/>
    <s v="Expense"/>
    <s v="February"/>
    <x v="6"/>
  </r>
  <r>
    <d v="2024-02-18T00:00:00"/>
    <s v="Cinemas"/>
    <n v="982"/>
    <n v="0"/>
    <s v="Entertainment"/>
    <s v="Discretionary"/>
    <s v="Expense"/>
    <s v="February"/>
    <x v="6"/>
  </r>
  <r>
    <d v="2024-02-18T00:00:00"/>
    <s v="Myntra Accesories"/>
    <n v="2376"/>
    <n v="0"/>
    <s v="Clothes"/>
    <s v="Discretionary"/>
    <s v="Expense"/>
    <s v="February"/>
    <x v="6"/>
  </r>
  <r>
    <d v="2024-02-18T00:00:00"/>
    <s v="Swiggy"/>
    <n v="1272"/>
    <n v="0"/>
    <s v="Restaurant"/>
    <s v="Dining Out"/>
    <s v="Expense"/>
    <s v="February"/>
    <x v="6"/>
  </r>
  <r>
    <d v="2024-02-19T00:00:00"/>
    <s v="Ola"/>
    <n v="694"/>
    <n v="0"/>
    <s v="Taxi"/>
    <s v="Transport"/>
    <s v="Expense"/>
    <s v="February"/>
    <x v="6"/>
  </r>
  <r>
    <d v="2024-02-20T00:00:00"/>
    <s v="Onlne earning"/>
    <n v="0"/>
    <n v="19200"/>
    <s v="YouTube"/>
    <s v="Passive"/>
    <s v="Income"/>
    <s v="February"/>
    <x v="6"/>
  </r>
  <r>
    <d v="2024-02-20T00:00:00"/>
    <s v="Drink"/>
    <n v="120"/>
    <n v="0"/>
    <s v="Coffee"/>
    <s v="Dining Out"/>
    <s v="Expense"/>
    <s v="February"/>
    <x v="6"/>
  </r>
  <r>
    <d v="2024-02-21T00:00:00"/>
    <s v="Drink"/>
    <n v="120"/>
    <n v="0"/>
    <s v="Coffee"/>
    <s v="Dining Out"/>
    <s v="Expense"/>
    <s v="February"/>
    <x v="6"/>
  </r>
  <r>
    <d v="2024-02-21T00:00:00"/>
    <s v="Phone"/>
    <n v="960"/>
    <n v="0"/>
    <s v="Phone"/>
    <s v="Living Expenses"/>
    <s v="Expense"/>
    <s v="February"/>
    <x v="6"/>
  </r>
  <r>
    <d v="2024-02-22T00:00:00"/>
    <s v="Family and Friends surprises"/>
    <n v="1102"/>
    <n v="0"/>
    <s v="Gifts"/>
    <s v="Discretionary"/>
    <s v="Expense"/>
    <s v="February"/>
    <x v="6"/>
  </r>
  <r>
    <d v="2024-02-22T00:00:00"/>
    <s v="Online streaming"/>
    <n v="840"/>
    <n v="0"/>
    <s v="Entertainment"/>
    <s v="Discretionary"/>
    <s v="Expense"/>
    <s v="February"/>
    <x v="6"/>
  </r>
  <r>
    <d v="2024-02-22T00:00:00"/>
    <s v="Drink"/>
    <n v="120"/>
    <n v="0"/>
    <s v="Coffee"/>
    <s v="Dining Out"/>
    <s v="Expense"/>
    <s v="February"/>
    <x v="6"/>
  </r>
  <r>
    <d v="2024-02-23T00:00:00"/>
    <s v="Drink"/>
    <n v="120"/>
    <n v="0"/>
    <s v="Coffee"/>
    <s v="Dining Out"/>
    <s v="Expense"/>
    <s v="February"/>
    <x v="6"/>
  </r>
  <r>
    <d v="2024-02-24T00:00:00"/>
    <s v="Drink"/>
    <n v="120"/>
    <n v="0"/>
    <s v="Coffee"/>
    <s v="Dining Out"/>
    <s v="Expense"/>
    <s v="February"/>
    <x v="6"/>
  </r>
  <r>
    <d v="2024-02-24T00:00:00"/>
    <s v="Green's"/>
    <n v="4104"/>
    <n v="0"/>
    <s v="Groceries"/>
    <s v="Living Expenses"/>
    <s v="Expense"/>
    <s v="February"/>
    <x v="6"/>
  </r>
  <r>
    <d v="2024-02-25T00:00:00"/>
    <s v="Office Lunch"/>
    <n v="910"/>
    <n v="0"/>
    <s v="Restaurant"/>
    <s v="Dining Out"/>
    <s v="Expense"/>
    <s v="February"/>
    <x v="7"/>
  </r>
  <r>
    <d v="2024-02-26T00:00:00"/>
    <s v="Evening snacks"/>
    <n v="310"/>
    <n v="0"/>
    <s v="Restaurant"/>
    <s v="Dining Out"/>
    <s v="Expense"/>
    <s v="February"/>
    <x v="7"/>
  </r>
  <r>
    <d v="2024-02-27T00:00:00"/>
    <s v="Orphanage"/>
    <n v="1320"/>
    <n v="0"/>
    <s v="Donation"/>
    <s v="Charity"/>
    <s v="Expense"/>
    <s v="February"/>
    <x v="7"/>
  </r>
  <r>
    <d v="2024-02-27T00:00:00"/>
    <s v="Fuel"/>
    <n v="1538"/>
    <n v="0"/>
    <s v="Fueling"/>
    <s v="Transport"/>
    <s v="Expense"/>
    <s v="February"/>
    <x v="7"/>
  </r>
  <r>
    <d v="2024-02-27T00:00:00"/>
    <s v="Drink"/>
    <n v="120"/>
    <n v="0"/>
    <s v="Coffee"/>
    <s v="Dining Out"/>
    <s v="Expense"/>
    <s v="February"/>
    <x v="7"/>
  </r>
  <r>
    <d v="2024-02-28T00:00:00"/>
    <s v="Drink"/>
    <n v="120"/>
    <n v="0"/>
    <s v="Coffee"/>
    <s v="Dining Out"/>
    <s v="Expense"/>
    <s v="February"/>
    <x v="7"/>
  </r>
  <r>
    <d v="2024-02-29T00:00:00"/>
    <s v="Drink"/>
    <n v="120"/>
    <n v="0"/>
    <s v="Coffee"/>
    <s v="Dining Out"/>
    <s v="Expense"/>
    <s v="February"/>
    <x v="7"/>
  </r>
  <r>
    <d v="2024-03-01T00:00:00"/>
    <s v="Drink"/>
    <n v="120"/>
    <n v="0"/>
    <s v="Coffee"/>
    <s v="Dining Out"/>
    <s v="Expense"/>
    <s v="March"/>
    <x v="7"/>
  </r>
  <r>
    <d v="2024-03-02T00:00:00"/>
    <s v="Drink"/>
    <n v="120"/>
    <n v="0"/>
    <s v="Coffee"/>
    <s v="Dining Out"/>
    <s v="Expense"/>
    <s v="March"/>
    <x v="7"/>
  </r>
  <r>
    <d v="2024-03-02T00:00:00"/>
    <s v="Green's"/>
    <n v="3910"/>
    <n v="0"/>
    <s v="Groceries"/>
    <s v="Living Expenses"/>
    <s v="Expense"/>
    <s v="March"/>
    <x v="7"/>
  </r>
  <r>
    <d v="2024-03-03T00:00:00"/>
    <s v="Trainers"/>
    <n v="3022"/>
    <n v="0"/>
    <s v="Clothes"/>
    <s v="Discretionary"/>
    <s v="Expense"/>
    <s v="March"/>
    <x v="8"/>
  </r>
  <r>
    <d v="2024-03-03T00:00:00"/>
    <s v="Global Fashion"/>
    <n v="3288"/>
    <n v="0"/>
    <s v="Clothes"/>
    <s v="Discretionary"/>
    <s v="Expense"/>
    <s v="March"/>
    <x v="8"/>
  </r>
  <r>
    <d v="2024-03-04T00:00:00"/>
    <s v="Zara Clothes"/>
    <n v="3506"/>
    <n v="0"/>
    <s v="Clothes"/>
    <s v="Discretionary"/>
    <s v="Expense"/>
    <s v="March"/>
    <x v="8"/>
  </r>
  <r>
    <d v="2024-03-04T00:00:00"/>
    <s v="Ola"/>
    <n v="578"/>
    <n v="0"/>
    <s v="Taxi"/>
    <s v="Transport"/>
    <s v="Expense"/>
    <s v="March"/>
    <x v="8"/>
  </r>
  <r>
    <d v="2024-03-05T00:00:00"/>
    <s v="Nextleap DAF"/>
    <n v="0"/>
    <n v="120000"/>
    <s v="Data with Decision"/>
    <s v="Salary"/>
    <s v="Income"/>
    <s v="March"/>
    <x v="8"/>
  </r>
  <r>
    <d v="2024-03-05T00:00:00"/>
    <s v="Drink"/>
    <n v="120"/>
    <n v="0"/>
    <s v="Coffee"/>
    <s v="Dining Out"/>
    <s v="Expense"/>
    <s v="March"/>
    <x v="8"/>
  </r>
  <r>
    <d v="2024-03-06T00:00:00"/>
    <s v="Flat Expenses"/>
    <n v="21600"/>
    <n v="0"/>
    <s v="Rent"/>
    <s v="Living Expenses"/>
    <s v="Expense"/>
    <s v="March"/>
    <x v="8"/>
  </r>
  <r>
    <d v="2024-03-06T00:00:00"/>
    <s v="EMI"/>
    <n v="3600"/>
    <n v="0"/>
    <s v="Cash loan"/>
    <s v="Transport"/>
    <s v="Expense"/>
    <s v="March"/>
    <x v="8"/>
  </r>
  <r>
    <d v="2024-03-06T00:00:00"/>
    <s v="Drink"/>
    <n v="120"/>
    <n v="0"/>
    <s v="Coffee"/>
    <s v="Dining Out"/>
    <s v="Expense"/>
    <s v="March"/>
    <x v="8"/>
  </r>
  <r>
    <d v="2024-03-07T00:00:00"/>
    <s v="Drink"/>
    <n v="120"/>
    <n v="0"/>
    <s v="Coffee"/>
    <s v="Dining Out"/>
    <s v="Expense"/>
    <s v="March"/>
    <x v="8"/>
  </r>
  <r>
    <d v="2024-03-08T00:00:00"/>
    <s v="Drink"/>
    <n v="120"/>
    <n v="0"/>
    <s v="Coffee"/>
    <s v="Dining Out"/>
    <s v="Expense"/>
    <s v="March"/>
    <x v="8"/>
  </r>
  <r>
    <d v="2024-03-09T00:00:00"/>
    <s v="Drink"/>
    <n v="120"/>
    <n v="0"/>
    <s v="Coffee"/>
    <s v="Dining Out"/>
    <s v="Expense"/>
    <s v="March"/>
    <x v="8"/>
  </r>
  <r>
    <d v="2024-03-09T00:00:00"/>
    <s v="Green's"/>
    <n v="3576"/>
    <n v="0"/>
    <s v="Groceries"/>
    <s v="Living Expenses"/>
    <s v="Expense"/>
    <s v="March"/>
    <x v="8"/>
  </r>
  <r>
    <d v="2024-03-12T00:00:00"/>
    <s v="Power source"/>
    <n v="1250"/>
    <n v="0"/>
    <s v="Gas/Electrics"/>
    <s v="Living Expenses"/>
    <s v="Expense"/>
    <s v="March"/>
    <x v="9"/>
  </r>
  <r>
    <d v="2024-03-12T00:00:00"/>
    <s v="Drink"/>
    <n v="120"/>
    <n v="0"/>
    <s v="Coffee"/>
    <s v="Dining Out"/>
    <s v="Expense"/>
    <s v="March"/>
    <x v="9"/>
  </r>
  <r>
    <d v="2024-03-13T00:00:00"/>
    <s v="Drink"/>
    <n v="120"/>
    <n v="0"/>
    <s v="Coffee"/>
    <s v="Dining Out"/>
    <s v="Expense"/>
    <s v="March"/>
    <x v="9"/>
  </r>
  <r>
    <d v="2024-03-14T00:00:00"/>
    <s v="Fuel"/>
    <n v="1894"/>
    <n v="0"/>
    <s v="Fueling"/>
    <s v="Transport"/>
    <s v="Expense"/>
    <s v="March"/>
    <x v="9"/>
  </r>
  <r>
    <d v="2024-03-14T00:00:00"/>
    <s v="Drink"/>
    <n v="120"/>
    <n v="0"/>
    <s v="Coffee"/>
    <s v="Dining Out"/>
    <s v="Expense"/>
    <s v="March"/>
    <x v="9"/>
  </r>
  <r>
    <d v="2024-03-15T00:00:00"/>
    <s v="Drink"/>
    <n v="120"/>
    <n v="0"/>
    <s v="Coffee"/>
    <s v="Dining Out"/>
    <s v="Expense"/>
    <s v="March"/>
    <x v="9"/>
  </r>
  <r>
    <d v="2024-03-16T00:00:00"/>
    <s v="Green's"/>
    <n v="3288"/>
    <n v="0"/>
    <s v="Groceries"/>
    <s v="Living Expenses"/>
    <s v="Expense"/>
    <s v="March"/>
    <x v="9"/>
  </r>
  <r>
    <d v="2024-03-16T00:00:00"/>
    <s v="Drink"/>
    <n v="120"/>
    <n v="0"/>
    <s v="Coffee"/>
    <s v="Dining Out"/>
    <s v="Expense"/>
    <s v="March"/>
    <x v="9"/>
  </r>
  <r>
    <d v="2024-03-17T00:00:00"/>
    <s v="Drink"/>
    <n v="120"/>
    <n v="0"/>
    <s v="Coffee"/>
    <s v="Dining Out"/>
    <s v="Expense"/>
    <s v="March"/>
    <x v="10"/>
  </r>
  <r>
    <d v="2024-03-17T00:00:00"/>
    <s v="Cinemas"/>
    <n v="1003"/>
    <n v="0"/>
    <s v="Entertainment"/>
    <s v="Discretionary"/>
    <s v="Expense"/>
    <s v="March"/>
    <x v="10"/>
  </r>
  <r>
    <d v="2024-03-17T00:00:00"/>
    <s v="Myntra Accesories"/>
    <n v="2398"/>
    <n v="0"/>
    <s v="Clothes"/>
    <s v="Discretionary"/>
    <s v="Expense"/>
    <s v="March"/>
    <x v="10"/>
  </r>
  <r>
    <d v="2024-03-17T00:00:00"/>
    <s v="Swiggy"/>
    <n v="1296"/>
    <n v="0"/>
    <s v="Restaurant"/>
    <s v="Dining Out"/>
    <s v="Expense"/>
    <s v="March"/>
    <x v="10"/>
  </r>
  <r>
    <d v="2024-03-18T00:00:00"/>
    <s v="Ola"/>
    <n v="720"/>
    <n v="0"/>
    <s v="Taxi"/>
    <s v="Transport"/>
    <s v="Expense"/>
    <s v="March"/>
    <x v="10"/>
  </r>
  <r>
    <d v="2024-03-19T00:00:00"/>
    <s v="Onlne earning"/>
    <n v="0"/>
    <n v="24000"/>
    <s v="YouTube"/>
    <s v="Passive"/>
    <s v="Income"/>
    <s v="March"/>
    <x v="10"/>
  </r>
  <r>
    <d v="2024-03-19T00:00:00"/>
    <s v="Drink"/>
    <n v="120"/>
    <n v="0"/>
    <s v="Coffee"/>
    <s v="Dining Out"/>
    <s v="Expense"/>
    <s v="March"/>
    <x v="10"/>
  </r>
  <r>
    <d v="2024-03-20T00:00:00"/>
    <s v="Drink"/>
    <n v="120"/>
    <n v="0"/>
    <s v="Coffee"/>
    <s v="Dining Out"/>
    <s v="Expense"/>
    <s v="March"/>
    <x v="10"/>
  </r>
  <r>
    <d v="2024-03-20T00:00:00"/>
    <s v="Taken medication"/>
    <n v="1800"/>
    <n v="0"/>
    <s v="Doctor"/>
    <s v="Medical"/>
    <s v="Expense"/>
    <s v="March"/>
    <x v="10"/>
  </r>
  <r>
    <d v="2024-03-20T00:00:00"/>
    <s v="Phone"/>
    <n v="960"/>
    <n v="0"/>
    <s v="Phone"/>
    <s v="Living Expenses"/>
    <s v="Expense"/>
    <s v="March"/>
    <x v="10"/>
  </r>
  <r>
    <d v="2024-03-21T00:00:00"/>
    <s v="Family and Friends surprises"/>
    <n v="1123"/>
    <n v="0"/>
    <s v="Gifts"/>
    <s v="Discretionary"/>
    <s v="Expense"/>
    <s v="March"/>
    <x v="10"/>
  </r>
  <r>
    <d v="2024-03-21T00:00:00"/>
    <s v="Online streaming"/>
    <n v="840"/>
    <n v="0"/>
    <s v="Entertainment"/>
    <s v="Discretionary"/>
    <s v="Expense"/>
    <s v="March"/>
    <x v="10"/>
  </r>
  <r>
    <d v="2024-03-21T00:00:00"/>
    <s v="Drink"/>
    <n v="120"/>
    <n v="0"/>
    <s v="Coffee"/>
    <s v="Dining Out"/>
    <s v="Expense"/>
    <s v="March"/>
    <x v="10"/>
  </r>
  <r>
    <d v="2024-03-22T00:00:00"/>
    <s v="Drink"/>
    <n v="120"/>
    <n v="0"/>
    <s v="Coffee"/>
    <s v="Dining Out"/>
    <s v="Expense"/>
    <s v="March"/>
    <x v="10"/>
  </r>
  <r>
    <d v="2024-03-23T00:00:00"/>
    <s v="Drink"/>
    <n v="120"/>
    <n v="0"/>
    <s v="Coffee"/>
    <s v="Dining Out"/>
    <s v="Expense"/>
    <s v="March"/>
    <x v="10"/>
  </r>
  <r>
    <d v="2024-03-23T00:00:00"/>
    <s v="Green's"/>
    <n v="4126"/>
    <n v="0"/>
    <s v="Groceries"/>
    <s v="Living Expenses"/>
    <s v="Expense"/>
    <s v="March"/>
    <x v="10"/>
  </r>
  <r>
    <d v="2024-03-24T00:00:00"/>
    <s v="Office Lunch"/>
    <n v="936"/>
    <n v="0"/>
    <s v="Restaurant"/>
    <s v="Dining Out"/>
    <s v="Expense"/>
    <s v="March"/>
    <x v="11"/>
  </r>
  <r>
    <d v="2024-03-25T00:00:00"/>
    <s v="Evening snacks"/>
    <n v="336"/>
    <n v="0"/>
    <s v="Restaurant"/>
    <s v="Dining Out"/>
    <s v="Expense"/>
    <s v="March"/>
    <x v="11"/>
  </r>
  <r>
    <d v="2024-03-26T00:00:00"/>
    <s v="Orphanage"/>
    <n v="1320"/>
    <n v="0"/>
    <s v="Donation"/>
    <s v="Charity"/>
    <s v="Expense"/>
    <s v="March"/>
    <x v="11"/>
  </r>
  <r>
    <d v="2024-03-26T00:00:00"/>
    <s v="Fuel"/>
    <n v="1560"/>
    <n v="0"/>
    <s v="Fueling"/>
    <s v="Transport"/>
    <s v="Expense"/>
    <s v="March"/>
    <x v="11"/>
  </r>
  <r>
    <d v="2024-03-26T00:00:00"/>
    <s v="Drink"/>
    <n v="120"/>
    <n v="0"/>
    <s v="Coffee"/>
    <s v="Dining Out"/>
    <s v="Expense"/>
    <s v="March"/>
    <x v="11"/>
  </r>
  <r>
    <d v="2024-03-27T00:00:00"/>
    <s v="Drink"/>
    <n v="120"/>
    <n v="0"/>
    <s v="Coffee"/>
    <s v="Dining Out"/>
    <s v="Expense"/>
    <s v="March"/>
    <x v="11"/>
  </r>
  <r>
    <d v="2024-03-28T00:00:00"/>
    <s v="Drink"/>
    <n v="120"/>
    <n v="0"/>
    <s v="Coffee"/>
    <s v="Dining Out"/>
    <s v="Expense"/>
    <s v="March"/>
    <x v="11"/>
  </r>
  <r>
    <d v="2024-03-29T00:00:00"/>
    <s v="Drink"/>
    <n v="120"/>
    <n v="0"/>
    <s v="Coffee"/>
    <s v="Dining Out"/>
    <s v="Expense"/>
    <s v="March"/>
    <x v="11"/>
  </r>
  <r>
    <d v="2024-03-30T00:00:00"/>
    <s v="Drink"/>
    <n v="120"/>
    <n v="0"/>
    <s v="Coffee"/>
    <s v="Dining Out"/>
    <s v="Expense"/>
    <s v="March"/>
    <x v="11"/>
  </r>
  <r>
    <d v="2024-03-30T00:00:00"/>
    <s v="Green's"/>
    <n v="5016"/>
    <n v="0"/>
    <s v="Groceries"/>
    <s v="Living Expenses"/>
    <s v="Expense"/>
    <s v="March"/>
    <x v="11"/>
  </r>
  <r>
    <d v="2024-03-31T00:00:00"/>
    <s v="Trainers"/>
    <n v="3048"/>
    <n v="0"/>
    <s v="Clothes"/>
    <s v="Discretionary"/>
    <s v="Expense"/>
    <s v="March"/>
    <x v="12"/>
  </r>
  <r>
    <d v="2024-03-31T00:00:00"/>
    <s v="Decathlon"/>
    <n v="4253"/>
    <n v="0"/>
    <s v="Clothes"/>
    <s v="Discretionary"/>
    <s v="Expense"/>
    <s v="March"/>
    <x v="12"/>
  </r>
  <r>
    <d v="2024-04-01T00:00:00"/>
    <s v="Zara Clothes"/>
    <n v="3530"/>
    <n v="0"/>
    <s v="Clothes"/>
    <s v="Discretionary"/>
    <s v="Expense"/>
    <s v="April"/>
    <x v="12"/>
  </r>
  <r>
    <d v="2024-04-01T00:00:00"/>
    <s v="Ola"/>
    <n v="600"/>
    <n v="0"/>
    <s v="Taxi"/>
    <s v="Transport"/>
    <s v="Expense"/>
    <s v="April"/>
    <x v="12"/>
  </r>
  <r>
    <d v="2024-04-02T00:00:00"/>
    <s v="Foodary"/>
    <n v="360"/>
    <n v="0"/>
    <s v="Restaurant"/>
    <s v="Dining Out"/>
    <s v="Expense"/>
    <s v="April"/>
    <x v="12"/>
  </r>
  <r>
    <d v="2024-04-03T00:00:00"/>
    <s v="Drink"/>
    <n v="120"/>
    <n v="0"/>
    <s v="Coffee"/>
    <s v="Dining Out"/>
    <s v="Expense"/>
    <s v="April"/>
    <x v="12"/>
  </r>
  <r>
    <d v="2024-04-04T00:00:00"/>
    <s v="Drink"/>
    <n v="120"/>
    <n v="0"/>
    <s v="Coffee"/>
    <s v="Dining Out"/>
    <s v="Expense"/>
    <s v="April"/>
    <x v="12"/>
  </r>
  <r>
    <d v="2024-04-05T00:00:00"/>
    <s v="Nextleap DAF"/>
    <n v="0"/>
    <n v="120000"/>
    <s v="Data with Decision"/>
    <s v="Salary"/>
    <s v="Income"/>
    <s v="April"/>
    <x v="12"/>
  </r>
  <r>
    <d v="2024-04-05T00:00:00"/>
    <s v="Drink"/>
    <n v="120"/>
    <n v="0"/>
    <s v="Coffee"/>
    <s v="Dining Out"/>
    <s v="Expense"/>
    <s v="April"/>
    <x v="12"/>
  </r>
  <r>
    <d v="2024-04-06T00:00:00"/>
    <s v="Flat Expenses"/>
    <n v="21600"/>
    <n v="0"/>
    <s v="Rent"/>
    <s v="Living Expenses"/>
    <s v="Expense"/>
    <s v="April"/>
    <x v="12"/>
  </r>
  <r>
    <d v="2024-04-06T00:00:00"/>
    <s v="EMI"/>
    <n v="3600"/>
    <n v="0"/>
    <s v="Cash loan"/>
    <s v="Transport"/>
    <s v="Expense"/>
    <s v="April"/>
    <x v="12"/>
  </r>
  <r>
    <d v="2024-04-06T00:00:00"/>
    <s v="Drink"/>
    <n v="120"/>
    <n v="0"/>
    <s v="Coffee"/>
    <s v="Dining Out"/>
    <s v="Expense"/>
    <s v="April"/>
    <x v="12"/>
  </r>
  <r>
    <d v="2024-04-07T00:00:00"/>
    <s v="Drink"/>
    <n v="120"/>
    <n v="0"/>
    <s v="Coffee"/>
    <s v="Dining Out"/>
    <s v="Expense"/>
    <s v="April"/>
    <x v="13"/>
  </r>
  <r>
    <d v="2024-04-08T00:00:00"/>
    <s v="Drink"/>
    <n v="120"/>
    <n v="0"/>
    <s v="Coffee"/>
    <s v="Dining Out"/>
    <s v="Expense"/>
    <s v="April"/>
    <x v="13"/>
  </r>
  <r>
    <d v="2024-04-09T00:00:00"/>
    <s v="Drink"/>
    <n v="120"/>
    <n v="0"/>
    <s v="Coffee"/>
    <s v="Dining Out"/>
    <s v="Expense"/>
    <s v="April"/>
    <x v="13"/>
  </r>
  <r>
    <d v="2024-04-09T00:00:00"/>
    <s v="Green's"/>
    <n v="3797"/>
    <n v="0"/>
    <s v="Groceries"/>
    <s v="Living Expenses"/>
    <s v="Expense"/>
    <s v="April"/>
    <x v="13"/>
  </r>
  <r>
    <d v="2024-04-12T00:00:00"/>
    <s v="Power source"/>
    <n v="1277"/>
    <n v="0"/>
    <s v="Gas/Electrics"/>
    <s v="Living Expenses"/>
    <s v="Expense"/>
    <s v="April"/>
    <x v="13"/>
  </r>
  <r>
    <d v="2024-04-12T00:00:00"/>
    <s v="Drink"/>
    <n v="120"/>
    <n v="0"/>
    <s v="Coffee"/>
    <s v="Dining Out"/>
    <s v="Expense"/>
    <s v="April"/>
    <x v="13"/>
  </r>
  <r>
    <d v="2024-04-13T00:00:00"/>
    <s v="Drink"/>
    <n v="120"/>
    <n v="0"/>
    <s v="Coffee"/>
    <s v="Dining Out"/>
    <s v="Expense"/>
    <s v="April"/>
    <x v="13"/>
  </r>
  <r>
    <d v="2024-04-14T00:00:00"/>
    <s v="Fuel"/>
    <n v="1918"/>
    <n v="0"/>
    <s v="Fueling"/>
    <s v="Transport"/>
    <s v="Expense"/>
    <s v="April"/>
    <x v="14"/>
  </r>
  <r>
    <d v="2024-04-14T00:00:00"/>
    <s v="Drink"/>
    <n v="120"/>
    <n v="0"/>
    <s v="Coffee"/>
    <s v="Dining Out"/>
    <s v="Expense"/>
    <s v="April"/>
    <x v="14"/>
  </r>
  <r>
    <d v="2024-04-15T00:00:00"/>
    <s v="Drink"/>
    <n v="120"/>
    <n v="0"/>
    <s v="Coffee"/>
    <s v="Dining Out"/>
    <s v="Expense"/>
    <s v="April"/>
    <x v="14"/>
  </r>
  <r>
    <d v="2024-04-16T00:00:00"/>
    <s v="Green's"/>
    <n v="2352"/>
    <n v="0"/>
    <s v="Groceries"/>
    <s v="Living Expenses"/>
    <s v="Expense"/>
    <s v="April"/>
    <x v="14"/>
  </r>
  <r>
    <d v="2024-04-16T00:00:00"/>
    <s v="Drink"/>
    <n v="120"/>
    <n v="0"/>
    <s v="Coffee"/>
    <s v="Dining Out"/>
    <s v="Expense"/>
    <s v="April"/>
    <x v="14"/>
  </r>
  <r>
    <d v="2024-04-17T00:00:00"/>
    <s v="Drink"/>
    <n v="120"/>
    <n v="0"/>
    <s v="Coffee"/>
    <s v="Dining Out"/>
    <s v="Expense"/>
    <s v="April"/>
    <x v="14"/>
  </r>
  <r>
    <d v="2024-04-17T00:00:00"/>
    <s v="Cinemas"/>
    <n v="1027"/>
    <n v="0"/>
    <s v="Entertainment"/>
    <s v="Discretionary"/>
    <s v="Expense"/>
    <s v="April"/>
    <x v="14"/>
  </r>
  <r>
    <d v="2024-04-17T00:00:00"/>
    <s v="Myntra Accesories"/>
    <n v="2422"/>
    <n v="0"/>
    <s v="Clothes"/>
    <s v="Discretionary"/>
    <s v="Expense"/>
    <s v="April"/>
    <x v="14"/>
  </r>
  <r>
    <d v="2024-04-17T00:00:00"/>
    <s v="Swiggy"/>
    <n v="1318"/>
    <n v="0"/>
    <s v="Restaurant"/>
    <s v="Dining Out"/>
    <s v="Expense"/>
    <s v="April"/>
    <x v="14"/>
  </r>
  <r>
    <d v="2024-04-18T00:00:00"/>
    <s v="Ola"/>
    <n v="744"/>
    <n v="0"/>
    <s v="Taxi"/>
    <s v="Transport"/>
    <s v="Expense"/>
    <s v="April"/>
    <x v="14"/>
  </r>
  <r>
    <d v="2024-04-19T00:00:00"/>
    <s v="Onlne earning"/>
    <n v="0"/>
    <n v="56160"/>
    <s v="YouTube"/>
    <s v="Passive"/>
    <s v="Income"/>
    <s v="April"/>
    <x v="14"/>
  </r>
  <r>
    <d v="2024-04-19T00:00:00"/>
    <s v="Drink"/>
    <n v="120"/>
    <n v="0"/>
    <s v="Coffee"/>
    <s v="Dining Out"/>
    <s v="Expense"/>
    <s v="April"/>
    <x v="14"/>
  </r>
  <r>
    <d v="2024-04-20T00:00:00"/>
    <s v="Drink"/>
    <n v="120"/>
    <n v="0"/>
    <s v="Coffee"/>
    <s v="Dining Out"/>
    <s v="Expense"/>
    <s v="April"/>
    <x v="14"/>
  </r>
  <r>
    <d v="2024-04-20T00:00:00"/>
    <s v="Phone"/>
    <n v="960"/>
    <n v="0"/>
    <s v="Phone"/>
    <s v="Living Expenses"/>
    <s v="Expense"/>
    <s v="April"/>
    <x v="14"/>
  </r>
  <r>
    <d v="2024-04-21T00:00:00"/>
    <s v="Family and Friends surprises"/>
    <n v="1150"/>
    <n v="0"/>
    <s v="Gifts"/>
    <s v="Discretionary"/>
    <s v="Expense"/>
    <s v="April"/>
    <x v="15"/>
  </r>
  <r>
    <d v="2024-04-21T00:00:00"/>
    <s v="Online streaming"/>
    <n v="840"/>
    <n v="0"/>
    <s v="Entertainment"/>
    <s v="Discretionary"/>
    <s v="Expense"/>
    <s v="April"/>
    <x v="15"/>
  </r>
  <r>
    <d v="2024-04-21T00:00:00"/>
    <s v="Drink"/>
    <n v="120"/>
    <n v="0"/>
    <s v="Coffee"/>
    <s v="Dining Out"/>
    <s v="Expense"/>
    <s v="April"/>
    <x v="15"/>
  </r>
  <r>
    <d v="2024-04-22T00:00:00"/>
    <s v="Drink"/>
    <n v="120"/>
    <n v="0"/>
    <s v="Coffee"/>
    <s v="Dining Out"/>
    <s v="Expense"/>
    <s v="April"/>
    <x v="15"/>
  </r>
  <r>
    <d v="2024-04-23T00:00:00"/>
    <s v="Drink"/>
    <n v="120"/>
    <n v="0"/>
    <s v="Coffee"/>
    <s v="Dining Out"/>
    <s v="Expense"/>
    <s v="April"/>
    <x v="15"/>
  </r>
  <r>
    <d v="2024-04-23T00:00:00"/>
    <s v="Green's"/>
    <n v="4152"/>
    <n v="0"/>
    <s v="Groceries"/>
    <s v="Living Expenses"/>
    <s v="Expense"/>
    <s v="April"/>
    <x v="15"/>
  </r>
  <r>
    <d v="2024-04-24T00:00:00"/>
    <s v="Office Lunch"/>
    <n v="962"/>
    <n v="0"/>
    <s v="Restaurant"/>
    <s v="Dining Out"/>
    <s v="Expense"/>
    <s v="April"/>
    <x v="15"/>
  </r>
  <r>
    <d v="2024-04-25T00:00:00"/>
    <s v="Evening snacks"/>
    <n v="362"/>
    <n v="0"/>
    <s v="Restaurant"/>
    <s v="Dining Out"/>
    <s v="Expense"/>
    <s v="April"/>
    <x v="15"/>
  </r>
  <r>
    <d v="2024-04-26T00:00:00"/>
    <s v="Orphanage"/>
    <n v="1320"/>
    <n v="0"/>
    <s v="Donation"/>
    <s v="Charity"/>
    <s v="Expense"/>
    <s v="April"/>
    <x v="15"/>
  </r>
  <r>
    <d v="2024-04-26T00:00:00"/>
    <s v="Fuel"/>
    <n v="1584"/>
    <n v="0"/>
    <s v="Fueling"/>
    <s v="Transport"/>
    <s v="Expense"/>
    <s v="April"/>
    <x v="15"/>
  </r>
  <r>
    <d v="2024-04-26T00:00:00"/>
    <s v="Drink"/>
    <n v="120"/>
    <n v="0"/>
    <s v="Coffee"/>
    <s v="Dining Out"/>
    <s v="Expense"/>
    <s v="April"/>
    <x v="15"/>
  </r>
  <r>
    <d v="2024-04-27T00:00:00"/>
    <s v="Drink"/>
    <n v="120"/>
    <n v="0"/>
    <s v="Coffee"/>
    <s v="Dining Out"/>
    <s v="Expense"/>
    <s v="April"/>
    <x v="15"/>
  </r>
  <r>
    <d v="2024-04-28T00:00:00"/>
    <s v="Drink"/>
    <n v="120"/>
    <n v="0"/>
    <s v="Coffee"/>
    <s v="Dining Out"/>
    <s v="Expense"/>
    <s v="April"/>
    <x v="16"/>
  </r>
  <r>
    <d v="2024-04-29T00:00:00"/>
    <s v="Drink"/>
    <n v="120"/>
    <n v="0"/>
    <s v="Coffee"/>
    <s v="Dining Out"/>
    <s v="Expense"/>
    <s v="April"/>
    <x v="16"/>
  </r>
  <r>
    <d v="2024-04-30T00:00:00"/>
    <s v="Drink"/>
    <n v="120"/>
    <n v="0"/>
    <s v="Coffee"/>
    <s v="Dining Out"/>
    <s v="Expense"/>
    <s v="April"/>
    <x v="16"/>
  </r>
  <r>
    <d v="2024-04-30T00:00:00"/>
    <s v="Green's"/>
    <n v="3958"/>
    <n v="0"/>
    <s v="Groceries"/>
    <s v="Living Expenses"/>
    <s v="Expense"/>
    <s v="April"/>
    <x v="16"/>
  </r>
  <r>
    <d v="2024-05-01T00:00:00"/>
    <s v="Trainers"/>
    <n v="3070"/>
    <n v="0"/>
    <s v="Clothes"/>
    <s v="Discretionary"/>
    <s v="Expense"/>
    <s v="May"/>
    <x v="16"/>
  </r>
  <r>
    <d v="2024-05-01T00:00:00"/>
    <s v="Clubing"/>
    <n v="7200"/>
    <n v="0"/>
    <s v="Entertainment"/>
    <s v="Discretionary"/>
    <s v="Expense"/>
    <s v="May"/>
    <x v="16"/>
  </r>
  <r>
    <d v="2024-05-02T00:00:00"/>
    <s v="Zara Clothes"/>
    <n v="3554"/>
    <n v="0"/>
    <s v="Clothes"/>
    <s v="Discretionary"/>
    <s v="Expense"/>
    <s v="May"/>
    <x v="16"/>
  </r>
  <r>
    <d v="2024-05-02T00:00:00"/>
    <s v="Ola"/>
    <n v="626"/>
    <n v="0"/>
    <s v="Taxi"/>
    <s v="Transport"/>
    <s v="Expense"/>
    <s v="May"/>
    <x v="16"/>
  </r>
  <r>
    <d v="2024-05-03T00:00:00"/>
    <s v="Foodary"/>
    <n v="360"/>
    <n v="0"/>
    <s v="Restaurant"/>
    <s v="Dining Out"/>
    <s v="Expense"/>
    <s v="May"/>
    <x v="16"/>
  </r>
  <r>
    <d v="2024-05-03T00:00:00"/>
    <s v="Drink"/>
    <n v="120"/>
    <n v="0"/>
    <s v="Coffee"/>
    <s v="Dining Out"/>
    <s v="Expense"/>
    <s v="May"/>
    <x v="16"/>
  </r>
  <r>
    <d v="2024-05-04T00:00:00"/>
    <s v="Drink"/>
    <n v="120"/>
    <n v="0"/>
    <s v="Coffee"/>
    <s v="Dining Out"/>
    <s v="Expense"/>
    <s v="May"/>
    <x v="16"/>
  </r>
  <r>
    <d v="2024-05-06T00:00:00"/>
    <s v="Drink"/>
    <n v="120"/>
    <n v="0"/>
    <s v="Coffee"/>
    <s v="Dining Out"/>
    <s v="Expense"/>
    <s v="May"/>
    <x v="17"/>
  </r>
  <r>
    <d v="2024-05-07T00:00:00"/>
    <s v="Nextleap DAF"/>
    <n v="0"/>
    <n v="120000"/>
    <s v="Data with Decision"/>
    <s v="Salary"/>
    <s v="Income"/>
    <s v="May"/>
    <x v="17"/>
  </r>
  <r>
    <d v="2024-05-07T00:00:00"/>
    <s v="Flat Expenses"/>
    <n v="21600"/>
    <n v="0"/>
    <s v="Rent"/>
    <s v="Living Expenses"/>
    <s v="Expense"/>
    <s v="May"/>
    <x v="17"/>
  </r>
  <r>
    <d v="2024-05-07T00:00:00"/>
    <s v="EMI"/>
    <n v="3600"/>
    <n v="0"/>
    <s v="Cash loan"/>
    <s v="Transport"/>
    <s v="Expense"/>
    <s v="May"/>
    <x v="17"/>
  </r>
  <r>
    <d v="2024-05-07T00:00:00"/>
    <s v="Drink"/>
    <n v="120"/>
    <n v="0"/>
    <s v="Coffee"/>
    <s v="Dining Out"/>
    <s v="Expense"/>
    <s v="May"/>
    <x v="17"/>
  </r>
  <r>
    <d v="2024-05-08T00:00:00"/>
    <s v="Drink"/>
    <n v="120"/>
    <n v="0"/>
    <s v="Coffee"/>
    <s v="Dining Out"/>
    <s v="Expense"/>
    <s v="May"/>
    <x v="17"/>
  </r>
  <r>
    <d v="2024-05-09T00:00:00"/>
    <s v="Drink"/>
    <n v="120"/>
    <n v="0"/>
    <s v="Coffee"/>
    <s v="Dining Out"/>
    <s v="Expense"/>
    <s v="May"/>
    <x v="17"/>
  </r>
  <r>
    <d v="2024-05-10T00:00:00"/>
    <s v="Drink"/>
    <n v="120"/>
    <n v="0"/>
    <s v="Coffee"/>
    <s v="Dining Out"/>
    <s v="Expense"/>
    <s v="May"/>
    <x v="17"/>
  </r>
  <r>
    <d v="2024-05-10T00:00:00"/>
    <s v="Green's"/>
    <n v="4080"/>
    <n v="0"/>
    <s v="Groceries"/>
    <s v="Living Expenses"/>
    <s v="Expense"/>
    <s v="May"/>
    <x v="17"/>
  </r>
  <r>
    <d v="2024-05-13T00:00:00"/>
    <s v="Power source"/>
    <n v="1298"/>
    <n v="0"/>
    <s v="Gas/Electrics"/>
    <s v="Living Expenses"/>
    <s v="Expense"/>
    <s v="May"/>
    <x v="18"/>
  </r>
  <r>
    <d v="2024-05-13T00:00:00"/>
    <s v="Drink"/>
    <n v="120"/>
    <n v="0"/>
    <s v="Coffee"/>
    <s v="Dining Out"/>
    <s v="Expense"/>
    <s v="May"/>
    <x v="18"/>
  </r>
  <r>
    <d v="2024-05-14T00:00:00"/>
    <s v="Drink"/>
    <n v="120"/>
    <n v="0"/>
    <s v="Coffee"/>
    <s v="Dining Out"/>
    <s v="Expense"/>
    <s v="May"/>
    <x v="18"/>
  </r>
  <r>
    <d v="2024-05-15T00:00:00"/>
    <s v="Fuel"/>
    <n v="1944"/>
    <n v="0"/>
    <s v="Fueling"/>
    <s v="Transport"/>
    <s v="Expense"/>
    <s v="May"/>
    <x v="18"/>
  </r>
  <r>
    <d v="2024-05-15T00:00:00"/>
    <s v="Drink"/>
    <n v="120"/>
    <n v="0"/>
    <s v="Coffee"/>
    <s v="Dining Out"/>
    <s v="Expense"/>
    <s v="May"/>
    <x v="18"/>
  </r>
  <r>
    <d v="2024-05-16T00:00:00"/>
    <s v="Drink"/>
    <n v="120"/>
    <n v="0"/>
    <s v="Coffee"/>
    <s v="Dining Out"/>
    <s v="Expense"/>
    <s v="May"/>
    <x v="18"/>
  </r>
  <r>
    <d v="2024-05-17T00:00:00"/>
    <s v="Green's"/>
    <n v="3338"/>
    <n v="0"/>
    <s v="Groceries"/>
    <s v="Living Expenses"/>
    <s v="Expense"/>
    <s v="May"/>
    <x v="18"/>
  </r>
  <r>
    <d v="2024-05-17T00:00:00"/>
    <s v="Drink"/>
    <n v="120"/>
    <n v="0"/>
    <s v="Coffee"/>
    <s v="Dining Out"/>
    <s v="Expense"/>
    <s v="May"/>
    <x v="18"/>
  </r>
  <r>
    <d v="2024-05-18T00:00:00"/>
    <s v="Drink"/>
    <n v="120"/>
    <n v="0"/>
    <s v="Coffee"/>
    <s v="Dining Out"/>
    <s v="Expense"/>
    <s v="May"/>
    <x v="18"/>
  </r>
  <r>
    <d v="2024-05-18T00:00:00"/>
    <s v="Cinemas"/>
    <n v="1054"/>
    <n v="0"/>
    <s v="Entertainment"/>
    <s v="Discretionary"/>
    <s v="Expense"/>
    <s v="May"/>
    <x v="18"/>
  </r>
  <r>
    <d v="2024-05-18T00:00:00"/>
    <s v="Myntra Accesories"/>
    <n v="2443"/>
    <n v="0"/>
    <s v="Clothes"/>
    <s v="Discretionary"/>
    <s v="Expense"/>
    <s v="May"/>
    <x v="18"/>
  </r>
  <r>
    <d v="2024-05-18T00:00:00"/>
    <s v="Swiggy"/>
    <n v="1342"/>
    <n v="0"/>
    <s v="Restaurant"/>
    <s v="Dining Out"/>
    <s v="Expense"/>
    <s v="May"/>
    <x v="18"/>
  </r>
  <r>
    <d v="2024-05-19T00:00:00"/>
    <s v="Ola"/>
    <n v="768"/>
    <n v="0"/>
    <s v="Taxi"/>
    <s v="Transport"/>
    <s v="Expense"/>
    <s v="May"/>
    <x v="19"/>
  </r>
  <r>
    <d v="2024-05-20T00:00:00"/>
    <s v="Onlne earning"/>
    <n v="0"/>
    <n v="24000"/>
    <s v="YouTube"/>
    <s v="Passive"/>
    <s v="Income"/>
    <s v="May"/>
    <x v="19"/>
  </r>
  <r>
    <d v="2024-05-20T00:00:00"/>
    <s v="Drink"/>
    <n v="120"/>
    <n v="0"/>
    <s v="Coffee"/>
    <s v="Dining Out"/>
    <s v="Expense"/>
    <s v="May"/>
    <x v="19"/>
  </r>
  <r>
    <d v="2024-05-21T00:00:00"/>
    <s v="Drink"/>
    <n v="120"/>
    <n v="0"/>
    <s v="Coffee"/>
    <s v="Dining Out"/>
    <s v="Expense"/>
    <s v="May"/>
    <x v="19"/>
  </r>
  <r>
    <d v="2024-05-21T00:00:00"/>
    <s v="Taken medication"/>
    <n v="1800"/>
    <n v="0"/>
    <s v="Doctor"/>
    <s v="Medical"/>
    <s v="Expense"/>
    <s v="May"/>
    <x v="19"/>
  </r>
  <r>
    <d v="2024-05-21T00:00:00"/>
    <s v="Phone"/>
    <n v="960"/>
    <n v="0"/>
    <s v="Phone"/>
    <s v="Living Expenses"/>
    <s v="Expense"/>
    <s v="May"/>
    <x v="19"/>
  </r>
  <r>
    <d v="2024-05-22T00:00:00"/>
    <s v="Family and Friends surprises"/>
    <n v="1176"/>
    <n v="0"/>
    <s v="Gifts"/>
    <s v="Discretionary"/>
    <s v="Expense"/>
    <s v="May"/>
    <x v="19"/>
  </r>
  <r>
    <d v="2024-05-22T00:00:00"/>
    <s v="Online streaming"/>
    <n v="840"/>
    <n v="0"/>
    <s v="Entertainment"/>
    <s v="Discretionary"/>
    <s v="Expense"/>
    <s v="May"/>
    <x v="19"/>
  </r>
  <r>
    <d v="2024-05-22T00:00:00"/>
    <s v="Drink"/>
    <n v="120"/>
    <n v="0"/>
    <s v="Coffee"/>
    <s v="Dining Out"/>
    <s v="Expense"/>
    <s v="May"/>
    <x v="19"/>
  </r>
  <r>
    <d v="2024-05-23T00:00:00"/>
    <s v="Drink"/>
    <n v="120"/>
    <n v="0"/>
    <s v="Coffee"/>
    <s v="Dining Out"/>
    <s v="Expense"/>
    <s v="May"/>
    <x v="19"/>
  </r>
  <r>
    <d v="2024-05-24T00:00:00"/>
    <s v="Drink"/>
    <n v="120"/>
    <n v="0"/>
    <s v="Coffee"/>
    <s v="Dining Out"/>
    <s v="Expense"/>
    <s v="May"/>
    <x v="19"/>
  </r>
  <r>
    <d v="2024-05-24T00:00:00"/>
    <s v="Green's"/>
    <n v="4176"/>
    <n v="0"/>
    <s v="Groceries"/>
    <s v="Living Expenses"/>
    <s v="Expense"/>
    <s v="May"/>
    <x v="19"/>
  </r>
  <r>
    <d v="2024-05-25T00:00:00"/>
    <s v="Office Lunch"/>
    <n v="986"/>
    <n v="0"/>
    <s v="Restaurant"/>
    <s v="Dining Out"/>
    <s v="Expense"/>
    <s v="May"/>
    <x v="19"/>
  </r>
  <r>
    <d v="2024-05-26T00:00:00"/>
    <s v="Evening snacks"/>
    <n v="389"/>
    <n v="0"/>
    <s v="Restaurant"/>
    <s v="Dining Out"/>
    <s v="Expense"/>
    <s v="May"/>
    <x v="20"/>
  </r>
  <r>
    <d v="2024-05-27T00:00:00"/>
    <s v="Orphanage"/>
    <n v="1320"/>
    <n v="0"/>
    <s v="Donation"/>
    <s v="Charity"/>
    <s v="Expense"/>
    <s v="May"/>
    <x v="20"/>
  </r>
  <r>
    <d v="2024-05-27T00:00:00"/>
    <s v="Fuel"/>
    <n v="1608"/>
    <n v="0"/>
    <s v="Fueling"/>
    <s v="Transport"/>
    <s v="Expense"/>
    <s v="May"/>
    <x v="20"/>
  </r>
  <r>
    <d v="2024-05-27T00:00:00"/>
    <s v="Drink"/>
    <n v="120"/>
    <n v="0"/>
    <s v="Coffee"/>
    <s v="Dining Out"/>
    <s v="Expense"/>
    <s v="May"/>
    <x v="20"/>
  </r>
  <r>
    <d v="2024-05-28T00:00:00"/>
    <s v="Drink"/>
    <n v="120"/>
    <n v="0"/>
    <s v="Coffee"/>
    <s v="Dining Out"/>
    <s v="Expense"/>
    <s v="May"/>
    <x v="20"/>
  </r>
  <r>
    <d v="2024-05-29T00:00:00"/>
    <s v="Drink"/>
    <n v="120"/>
    <n v="0"/>
    <s v="Coffee"/>
    <s v="Dining Out"/>
    <s v="Expense"/>
    <s v="May"/>
    <x v="20"/>
  </r>
  <r>
    <d v="2024-05-30T00:00:00"/>
    <s v="Drink"/>
    <n v="120"/>
    <n v="0"/>
    <s v="Coffee"/>
    <s v="Dining Out"/>
    <s v="Expense"/>
    <s v="May"/>
    <x v="20"/>
  </r>
  <r>
    <d v="2024-05-31T00:00:00"/>
    <s v="Drink"/>
    <n v="120"/>
    <n v="0"/>
    <s v="Coffee"/>
    <s v="Dining Out"/>
    <s v="Expense"/>
    <s v="May"/>
    <x v="20"/>
  </r>
  <r>
    <d v="2024-05-31T00:00:00"/>
    <s v="Green's"/>
    <n v="3979"/>
    <n v="0"/>
    <s v="Groceries"/>
    <s v="Living Expenses"/>
    <s v="Expense"/>
    <s v="May"/>
    <x v="20"/>
  </r>
  <r>
    <d v="2024-06-01T00:00:00"/>
    <s v="Trainers"/>
    <n v="3091"/>
    <n v="0"/>
    <s v="Clothes"/>
    <s v="Discretionary"/>
    <s v="Expense"/>
    <s v="June"/>
    <x v="20"/>
  </r>
  <r>
    <d v="2024-06-01T00:00:00"/>
    <s v="Home décor"/>
    <n v="5640"/>
    <n v="0"/>
    <s v="Furnishings"/>
    <s v="Discretionary"/>
    <s v="Expense"/>
    <s v="June"/>
    <x v="20"/>
  </r>
  <r>
    <d v="2024-06-02T00:00:00"/>
    <s v="Zara Clothes"/>
    <n v="3581"/>
    <n v="0"/>
    <s v="Clothes"/>
    <s v="Discretionary"/>
    <s v="Expense"/>
    <s v="June"/>
    <x v="21"/>
  </r>
  <r>
    <d v="2024-06-02T00:00:00"/>
    <s v="Ola"/>
    <n v="653"/>
    <n v="0"/>
    <s v="Taxi"/>
    <s v="Transport"/>
    <s v="Expense"/>
    <s v="June"/>
    <x v="21"/>
  </r>
  <r>
    <d v="2024-06-04T00:00:00"/>
    <s v="Foodary"/>
    <n v="360"/>
    <n v="0"/>
    <s v="Restaurant"/>
    <s v="Dining Out"/>
    <s v="Expense"/>
    <s v="June"/>
    <x v="21"/>
  </r>
  <r>
    <d v="2024-06-03T00:00:00"/>
    <s v="Drink"/>
    <n v="120"/>
    <n v="0"/>
    <s v="Coffee"/>
    <s v="Dining Out"/>
    <s v="Expense"/>
    <s v="June"/>
    <x v="21"/>
  </r>
  <r>
    <d v="2024-06-04T00:00:00"/>
    <s v="Drink"/>
    <n v="120"/>
    <n v="0"/>
    <s v="Coffee"/>
    <s v="Dining Out"/>
    <s v="Expense"/>
    <s v="June"/>
    <x v="21"/>
  </r>
  <r>
    <d v="2024-06-05T00:00:00"/>
    <s v="Nextleap DAF"/>
    <n v="0"/>
    <n v="120000"/>
    <s v="Data with Decision"/>
    <s v="Salary"/>
    <s v="Income"/>
    <s v="June"/>
    <x v="21"/>
  </r>
  <r>
    <d v="2024-06-07T00:00:00"/>
    <s v="Drink"/>
    <n v="120"/>
    <n v="0"/>
    <s v="Coffee"/>
    <s v="Dining Out"/>
    <s v="Expense"/>
    <s v="June"/>
    <x v="21"/>
  </r>
  <r>
    <d v="2024-06-07T00:00:00"/>
    <s v="Flat Expenses"/>
    <n v="21600"/>
    <n v="0"/>
    <s v="Rent"/>
    <s v="Living Expenses"/>
    <s v="Expense"/>
    <s v="June"/>
    <x v="21"/>
  </r>
  <r>
    <d v="2024-06-07T00:00:00"/>
    <s v="EMI"/>
    <n v="3600"/>
    <n v="0"/>
    <s v="Cash loan"/>
    <s v="Transport"/>
    <s v="Expense"/>
    <s v="June"/>
    <x v="21"/>
  </r>
  <r>
    <d v="2024-06-07T00:00:00"/>
    <s v="Drink"/>
    <n v="120"/>
    <n v="0"/>
    <s v="Coffee"/>
    <s v="Dining Out"/>
    <s v="Expense"/>
    <s v="June"/>
    <x v="21"/>
  </r>
  <r>
    <d v="2024-06-08T00:00:00"/>
    <s v="Drink"/>
    <n v="120"/>
    <n v="0"/>
    <s v="Coffee"/>
    <s v="Dining Out"/>
    <s v="Expense"/>
    <s v="June"/>
    <x v="21"/>
  </r>
  <r>
    <d v="2024-06-09T00:00:00"/>
    <s v="Drink"/>
    <n v="120"/>
    <n v="0"/>
    <s v="Coffee"/>
    <s v="Dining Out"/>
    <s v="Expense"/>
    <s v="June"/>
    <x v="22"/>
  </r>
  <r>
    <d v="2024-06-10T00:00:00"/>
    <s v="Drink"/>
    <n v="120"/>
    <n v="0"/>
    <s v="Coffee"/>
    <s v="Dining Out"/>
    <s v="Expense"/>
    <s v="June"/>
    <x v="22"/>
  </r>
  <r>
    <d v="2024-06-10T00:00:00"/>
    <s v="Green's"/>
    <n v="2856"/>
    <n v="0"/>
    <s v="Groceries"/>
    <s v="Living Expenses"/>
    <s v="Expense"/>
    <s v="June"/>
    <x v="22"/>
  </r>
  <r>
    <d v="2024-06-13T00:00:00"/>
    <s v="Power source"/>
    <n v="1320"/>
    <n v="0"/>
    <s v="Gas/Electrics"/>
    <s v="Living Expenses"/>
    <s v="Expense"/>
    <s v="June"/>
    <x v="22"/>
  </r>
  <r>
    <d v="2024-06-13T00:00:00"/>
    <s v="Drink"/>
    <n v="120"/>
    <n v="0"/>
    <s v="Coffee"/>
    <s v="Dining Out"/>
    <s v="Expense"/>
    <s v="June"/>
    <x v="22"/>
  </r>
  <r>
    <d v="2024-06-14T00:00:00"/>
    <s v="Drink"/>
    <n v="120"/>
    <n v="0"/>
    <s v="Coffee"/>
    <s v="Dining Out"/>
    <s v="Expense"/>
    <s v="June"/>
    <x v="22"/>
  </r>
  <r>
    <d v="2024-06-15T00:00:00"/>
    <s v="Fuel"/>
    <n v="1970"/>
    <n v="0"/>
    <s v="Fueling"/>
    <s v="Transport"/>
    <s v="Expense"/>
    <s v="June"/>
    <x v="22"/>
  </r>
  <r>
    <d v="2024-06-15T00:00:00"/>
    <s v="Drink"/>
    <n v="120"/>
    <n v="0"/>
    <s v="Coffee"/>
    <s v="Dining Out"/>
    <s v="Expense"/>
    <s v="June"/>
    <x v="22"/>
  </r>
  <r>
    <d v="2024-06-16T00:00:00"/>
    <s v="Drink"/>
    <n v="120"/>
    <n v="0"/>
    <s v="Coffee"/>
    <s v="Dining Out"/>
    <s v="Expense"/>
    <s v="June"/>
    <x v="23"/>
  </r>
  <r>
    <d v="2024-06-17T00:00:00"/>
    <s v="Green's"/>
    <n v="3365"/>
    <n v="0"/>
    <s v="Groceries"/>
    <s v="Living Expenses"/>
    <s v="Expense"/>
    <s v="June"/>
    <x v="23"/>
  </r>
  <r>
    <d v="2024-06-17T00:00:00"/>
    <s v="Drink"/>
    <n v="120"/>
    <n v="0"/>
    <s v="Coffee"/>
    <s v="Dining Out"/>
    <s v="Expense"/>
    <s v="June"/>
    <x v="23"/>
  </r>
  <r>
    <d v="2024-06-18T00:00:00"/>
    <s v="Drink"/>
    <n v="120"/>
    <n v="0"/>
    <s v="Coffee"/>
    <s v="Dining Out"/>
    <s v="Expense"/>
    <s v="June"/>
    <x v="23"/>
  </r>
  <r>
    <d v="2024-06-18T00:00:00"/>
    <s v="Cinemas"/>
    <n v="1078"/>
    <n v="0"/>
    <s v="Entertainment"/>
    <s v="Discretionary"/>
    <s v="Expense"/>
    <s v="June"/>
    <x v="23"/>
  </r>
  <r>
    <d v="2024-06-18T00:00:00"/>
    <s v="Myntra Accesories"/>
    <n v="2470"/>
    <n v="0"/>
    <s v="Clothes"/>
    <s v="Discretionary"/>
    <s v="Expense"/>
    <s v="June"/>
    <x v="23"/>
  </r>
  <r>
    <d v="2024-06-18T00:00:00"/>
    <s v="Swiggy"/>
    <n v="1366"/>
    <n v="0"/>
    <s v="Restaurant"/>
    <s v="Dining Out"/>
    <s v="Expense"/>
    <s v="June"/>
    <x v="23"/>
  </r>
  <r>
    <d v="2024-06-19T00:00:00"/>
    <s v="Ola"/>
    <n v="794"/>
    <n v="0"/>
    <s v="Taxi"/>
    <s v="Transport"/>
    <s v="Expense"/>
    <s v="June"/>
    <x v="23"/>
  </r>
  <r>
    <d v="2024-06-20T00:00:00"/>
    <s v="Onlne earning"/>
    <n v="0"/>
    <n v="2400"/>
    <s v="YouTube"/>
    <s v="Passive"/>
    <s v="Income"/>
    <s v="June"/>
    <x v="23"/>
  </r>
  <r>
    <d v="2024-06-20T00:00:00"/>
    <s v="Drink"/>
    <n v="120"/>
    <n v="0"/>
    <s v="Coffee"/>
    <s v="Dining Out"/>
    <s v="Expense"/>
    <s v="June"/>
    <x v="23"/>
  </r>
  <r>
    <d v="2024-06-21T00:00:00"/>
    <s v="Drink"/>
    <n v="120"/>
    <n v="0"/>
    <s v="Coffee"/>
    <s v="Dining Out"/>
    <s v="Expense"/>
    <s v="June"/>
    <x v="23"/>
  </r>
  <r>
    <d v="2024-06-21T00:00:00"/>
    <s v="Phone"/>
    <n v="960"/>
    <n v="0"/>
    <s v="Phone"/>
    <s v="Living Expenses"/>
    <s v="Expense"/>
    <s v="June"/>
    <x v="23"/>
  </r>
  <r>
    <d v="2024-06-22T00:00:00"/>
    <s v="Family and Friends surprises"/>
    <n v="1202"/>
    <n v="0"/>
    <s v="Gifts"/>
    <s v="Discretionary"/>
    <s v="Expense"/>
    <s v="June"/>
    <x v="23"/>
  </r>
  <r>
    <d v="2024-06-22T00:00:00"/>
    <s v="Online streaming"/>
    <n v="840"/>
    <n v="0"/>
    <s v="Entertainment"/>
    <s v="Discretionary"/>
    <s v="Expense"/>
    <s v="June"/>
    <x v="23"/>
  </r>
  <r>
    <d v="2024-06-22T00:00:00"/>
    <s v="Drink"/>
    <n v="120"/>
    <n v="0"/>
    <s v="Coffee"/>
    <s v="Dining Out"/>
    <s v="Expense"/>
    <s v="June"/>
    <x v="23"/>
  </r>
  <r>
    <d v="2024-06-23T00:00:00"/>
    <s v="Drink"/>
    <n v="120"/>
    <n v="0"/>
    <s v="Coffee"/>
    <s v="Dining Out"/>
    <s v="Expense"/>
    <s v="June"/>
    <x v="24"/>
  </r>
  <r>
    <d v="2024-06-24T00:00:00"/>
    <s v="Drink"/>
    <n v="120"/>
    <n v="0"/>
    <s v="Coffee"/>
    <s v="Dining Out"/>
    <s v="Expense"/>
    <s v="June"/>
    <x v="24"/>
  </r>
  <r>
    <d v="2024-06-24T00:00:00"/>
    <s v="Green's"/>
    <n v="5616"/>
    <n v="0"/>
    <s v="Groceries"/>
    <s v="Living Expenses"/>
    <s v="Expense"/>
    <s v="June"/>
    <x v="24"/>
  </r>
  <r>
    <d v="2024-06-25T00:00:00"/>
    <s v="Office Lunch"/>
    <n v="1010"/>
    <n v="0"/>
    <s v="Restaurant"/>
    <s v="Dining Out"/>
    <s v="Expense"/>
    <s v="June"/>
    <x v="24"/>
  </r>
  <r>
    <d v="2024-06-26T00:00:00"/>
    <s v="Evening snacks"/>
    <n v="410"/>
    <n v="0"/>
    <s v="Restaurant"/>
    <s v="Dining Out"/>
    <s v="Expense"/>
    <s v="June"/>
    <x v="24"/>
  </r>
  <r>
    <d v="2024-06-27T00:00:00"/>
    <s v="Orphanage"/>
    <n v="1320"/>
    <n v="0"/>
    <s v="Donation"/>
    <s v="Charity"/>
    <s v="Expense"/>
    <s v="June"/>
    <x v="24"/>
  </r>
  <r>
    <d v="2024-06-27T00:00:00"/>
    <s v="Fuel"/>
    <n v="1630"/>
    <n v="0"/>
    <s v="Fueling"/>
    <s v="Transport"/>
    <s v="Expense"/>
    <s v="June"/>
    <x v="24"/>
  </r>
  <r>
    <d v="2024-06-27T00:00:00"/>
    <s v="Drink"/>
    <n v="120"/>
    <n v="0"/>
    <s v="Coffee"/>
    <s v="Dining Out"/>
    <s v="Expense"/>
    <s v="June"/>
    <x v="24"/>
  </r>
  <r>
    <d v="2024-06-28T00:00:00"/>
    <s v="Drink"/>
    <n v="120"/>
    <n v="0"/>
    <s v="Coffee"/>
    <s v="Dining Out"/>
    <s v="Expense"/>
    <s v="June"/>
    <x v="24"/>
  </r>
  <r>
    <d v="2024-06-29T00:00:00"/>
    <s v="Drink"/>
    <n v="120"/>
    <n v="0"/>
    <s v="Coffee"/>
    <s v="Dining Out"/>
    <s v="Expense"/>
    <s v="June"/>
    <x v="24"/>
  </r>
  <r>
    <d v="2024-06-30T00:00:00"/>
    <s v="Drink"/>
    <n v="120"/>
    <n v="0"/>
    <s v="Coffee"/>
    <s v="Dining Out"/>
    <s v="Expense"/>
    <s v="June"/>
    <x v="25"/>
  </r>
  <r>
    <d v="2024-07-01T00:00:00"/>
    <s v="Drink"/>
    <n v="120"/>
    <n v="0"/>
    <s v="Coffee"/>
    <s v="Dining Out"/>
    <s v="Expense"/>
    <s v="July"/>
    <x v="25"/>
  </r>
  <r>
    <d v="2024-07-01T00:00:00"/>
    <s v="Green's"/>
    <n v="4006"/>
    <n v="0"/>
    <s v="Groceries"/>
    <s v="Living Expenses"/>
    <s v="Expense"/>
    <s v="July"/>
    <x v="25"/>
  </r>
  <r>
    <d v="2024-07-02T00:00:00"/>
    <s v="Trainers"/>
    <n v="3118"/>
    <n v="0"/>
    <s v="Clothes"/>
    <s v="Discretionary"/>
    <s v="Expense"/>
    <s v="July"/>
    <x v="25"/>
  </r>
  <r>
    <d v="2024-07-02T00:00:00"/>
    <s v="Hangingout/Ticket"/>
    <n v="4327"/>
    <n v="0"/>
    <s v="Entertainment"/>
    <s v="Discretionary"/>
    <s v="Expense"/>
    <s v="July"/>
    <x v="25"/>
  </r>
  <r>
    <d v="2024-07-03T00:00:00"/>
    <s v="Zara Clothes"/>
    <n v="3602"/>
    <n v="0"/>
    <s v="Clothes"/>
    <s v="Discretionary"/>
    <s v="Expense"/>
    <s v="July"/>
    <x v="25"/>
  </r>
  <r>
    <d v="2024-07-03T00:00:00"/>
    <s v="Ola"/>
    <n v="677"/>
    <n v="0"/>
    <s v="Taxi"/>
    <s v="Transport"/>
    <s v="Expense"/>
    <s v="July"/>
    <x v="25"/>
  </r>
  <r>
    <d v="2024-07-03T00:00:00"/>
    <s v="Foodary"/>
    <n v="360"/>
    <n v="0"/>
    <s v="Restaurant"/>
    <s v="Dining Out"/>
    <s v="Expense"/>
    <s v="July"/>
    <x v="25"/>
  </r>
  <r>
    <d v="2024-07-04T00:00:00"/>
    <s v="Drink"/>
    <n v="120"/>
    <n v="0"/>
    <s v="Coffee"/>
    <s v="Dining Out"/>
    <s v="Expense"/>
    <s v="July"/>
    <x v="25"/>
  </r>
  <r>
    <d v="2024-07-05T00:00:00"/>
    <s v="Drink"/>
    <n v="120"/>
    <n v="0"/>
    <s v="Coffee"/>
    <s v="Dining Out"/>
    <s v="Expense"/>
    <s v="July"/>
    <x v="25"/>
  </r>
  <r>
    <d v="2024-07-06T00:00:00"/>
    <s v="Nextleap DAF"/>
    <n v="0"/>
    <n v="120000"/>
    <s v="Data with Decision"/>
    <s v="Salary"/>
    <s v="Income"/>
    <s v="July"/>
    <x v="25"/>
  </r>
  <r>
    <d v="2024-07-07T00:00:00"/>
    <s v="Drink"/>
    <n v="120"/>
    <n v="0"/>
    <s v="Coffee"/>
    <s v="Dining Out"/>
    <s v="Expense"/>
    <s v="July"/>
    <x v="26"/>
  </r>
  <r>
    <d v="2024-07-09T00:00:00"/>
    <s v="Flat Expenses"/>
    <n v="21600"/>
    <n v="0"/>
    <s v="Rent"/>
    <s v="Living Expenses"/>
    <s v="Expense"/>
    <s v="July"/>
    <x v="26"/>
  </r>
  <r>
    <d v="2024-07-09T00:00:00"/>
    <s v="EMI"/>
    <n v="3600"/>
    <n v="0"/>
    <s v="Cash loan"/>
    <s v="Transport"/>
    <s v="Expense"/>
    <s v="July"/>
    <x v="26"/>
  </r>
  <r>
    <d v="2024-07-09T00:00:00"/>
    <s v="Feedings"/>
    <n v="360"/>
    <n v="0"/>
    <s v="Restaurant"/>
    <s v="Dining Out"/>
    <s v="Expense"/>
    <s v="July"/>
    <x v="26"/>
  </r>
  <r>
    <d v="2024-07-09T00:00:00"/>
    <s v="Drink"/>
    <n v="120"/>
    <n v="0"/>
    <s v="Coffee"/>
    <s v="Dining Out"/>
    <s v="Expense"/>
    <s v="July"/>
    <x v="26"/>
  </r>
  <r>
    <d v="2024-07-10T00:00:00"/>
    <s v="Drink"/>
    <n v="120"/>
    <n v="0"/>
    <s v="Coffee"/>
    <s v="Dining Out"/>
    <s v="Expense"/>
    <s v="July"/>
    <x v="26"/>
  </r>
  <r>
    <d v="2024-07-11T00:00:00"/>
    <s v="Drink"/>
    <n v="120"/>
    <n v="0"/>
    <s v="Coffee"/>
    <s v="Dining Out"/>
    <s v="Expense"/>
    <s v="July"/>
    <x v="26"/>
  </r>
  <r>
    <d v="2024-07-11T00:00:00"/>
    <s v="Green's"/>
    <n v="4320"/>
    <n v="0"/>
    <s v="Groceries"/>
    <s v="Living Expenses"/>
    <s v="Expense"/>
    <s v="July"/>
    <x v="26"/>
  </r>
  <r>
    <d v="2024-07-14T00:00:00"/>
    <s v="Power source"/>
    <n v="1346"/>
    <n v="0"/>
    <s v="Gas/Electrics"/>
    <s v="Living Expenses"/>
    <s v="Expense"/>
    <s v="July"/>
    <x v="27"/>
  </r>
  <r>
    <d v="2024-07-14T00:00:00"/>
    <s v="Drink"/>
    <n v="120"/>
    <n v="0"/>
    <s v="Coffee"/>
    <s v="Dining Out"/>
    <s v="Expense"/>
    <s v="July"/>
    <x v="27"/>
  </r>
  <r>
    <d v="2024-07-15T00:00:00"/>
    <s v="Drink"/>
    <n v="120"/>
    <n v="0"/>
    <s v="Coffee"/>
    <s v="Dining Out"/>
    <s v="Expense"/>
    <s v="July"/>
    <x v="27"/>
  </r>
  <r>
    <d v="2024-07-16T00:00:00"/>
    <s v="Fuel"/>
    <n v="1994"/>
    <n v="0"/>
    <s v="Fueling"/>
    <s v="Transport"/>
    <s v="Expense"/>
    <s v="July"/>
    <x v="27"/>
  </r>
  <r>
    <d v="2024-07-16T00:00:00"/>
    <s v="Drink"/>
    <n v="120"/>
    <n v="0"/>
    <s v="Coffee"/>
    <s v="Dining Out"/>
    <s v="Expense"/>
    <s v="July"/>
    <x v="27"/>
  </r>
  <r>
    <d v="2024-07-17T00:00:00"/>
    <s v="Drink"/>
    <n v="120"/>
    <n v="0"/>
    <s v="Coffee"/>
    <s v="Dining Out"/>
    <s v="Expense"/>
    <s v="July"/>
    <x v="27"/>
  </r>
  <r>
    <d v="2024-07-18T00:00:00"/>
    <s v="Green's"/>
    <n v="3386"/>
    <n v="0"/>
    <s v="Groceries"/>
    <s v="Living Expenses"/>
    <s v="Expense"/>
    <s v="July"/>
    <x v="27"/>
  </r>
  <r>
    <d v="2024-07-18T00:00:00"/>
    <s v="Drink"/>
    <n v="120"/>
    <n v="0"/>
    <s v="Coffee"/>
    <s v="Dining Out"/>
    <s v="Expense"/>
    <s v="July"/>
    <x v="27"/>
  </r>
  <r>
    <d v="2024-07-19T00:00:00"/>
    <s v="Drink"/>
    <n v="120"/>
    <n v="0"/>
    <s v="Coffee"/>
    <s v="Dining Out"/>
    <s v="Expense"/>
    <s v="July"/>
    <x v="27"/>
  </r>
  <r>
    <d v="2024-07-19T00:00:00"/>
    <s v="Cinemas"/>
    <n v="1099"/>
    <n v="0"/>
    <s v="Entertainment"/>
    <s v="Discretionary"/>
    <s v="Expense"/>
    <s v="July"/>
    <x v="27"/>
  </r>
  <r>
    <d v="2024-07-19T00:00:00"/>
    <s v="Myntra Accesories"/>
    <n v="2491"/>
    <n v="0"/>
    <s v="Clothes"/>
    <s v="Discretionary"/>
    <s v="Expense"/>
    <s v="July"/>
    <x v="27"/>
  </r>
  <r>
    <d v="2024-07-19T00:00:00"/>
    <s v="Swiggy"/>
    <n v="1392"/>
    <n v="0"/>
    <s v="Restaurant"/>
    <s v="Dining Out"/>
    <s v="Expense"/>
    <s v="July"/>
    <x v="27"/>
  </r>
  <r>
    <d v="2024-07-20T00:00:00"/>
    <s v="Ola"/>
    <n v="821"/>
    <n v="0"/>
    <s v="Taxi"/>
    <s v="Transport"/>
    <s v="Expense"/>
    <s v="July"/>
    <x v="27"/>
  </r>
  <r>
    <d v="2024-07-21T00:00:00"/>
    <s v="Onlne earning"/>
    <n v="0"/>
    <n v="4800"/>
    <s v="YouTube"/>
    <s v="Passive"/>
    <s v="Income"/>
    <s v="July"/>
    <x v="28"/>
  </r>
  <r>
    <d v="2024-07-21T00:00:00"/>
    <s v="Drink"/>
    <n v="120"/>
    <n v="0"/>
    <s v="Coffee"/>
    <s v="Dining Out"/>
    <s v="Expense"/>
    <s v="July"/>
    <x v="28"/>
  </r>
  <r>
    <d v="2024-07-22T00:00:00"/>
    <s v="Drink"/>
    <n v="120"/>
    <n v="0"/>
    <s v="Coffee"/>
    <s v="Dining Out"/>
    <s v="Expense"/>
    <s v="July"/>
    <x v="28"/>
  </r>
  <r>
    <d v="2024-07-22T00:00:00"/>
    <s v="Phone"/>
    <n v="960"/>
    <n v="0"/>
    <s v="Phone"/>
    <s v="Living Expenses"/>
    <s v="Expense"/>
    <s v="July"/>
    <x v="28"/>
  </r>
  <r>
    <d v="2024-07-23T00:00:00"/>
    <s v="Family and Friends surprises"/>
    <n v="1226"/>
    <n v="0"/>
    <s v="Gifts"/>
    <s v="Discretionary"/>
    <s v="Expense"/>
    <s v="July"/>
    <x v="28"/>
  </r>
  <r>
    <d v="2024-07-23T00:00:00"/>
    <s v="Online streaming"/>
    <n v="840"/>
    <n v="0"/>
    <s v="Entertainment"/>
    <s v="Discretionary"/>
    <s v="Expense"/>
    <s v="July"/>
    <x v="28"/>
  </r>
  <r>
    <d v="2024-07-23T00:00:00"/>
    <s v="Drink"/>
    <n v="120"/>
    <n v="0"/>
    <s v="Coffee"/>
    <s v="Dining Out"/>
    <s v="Expense"/>
    <s v="July"/>
    <x v="28"/>
  </r>
  <r>
    <d v="2024-07-24T00:00:00"/>
    <s v="Drink"/>
    <n v="120"/>
    <n v="0"/>
    <s v="Coffee"/>
    <s v="Dining Out"/>
    <s v="Expense"/>
    <s v="July"/>
    <x v="28"/>
  </r>
  <r>
    <d v="2024-07-25T00:00:00"/>
    <s v="Drink"/>
    <n v="120"/>
    <n v="0"/>
    <s v="Coffee"/>
    <s v="Dining Out"/>
    <s v="Expense"/>
    <s v="July"/>
    <x v="28"/>
  </r>
  <r>
    <d v="2024-07-25T00:00:00"/>
    <s v="Green's"/>
    <n v="4224"/>
    <n v="0"/>
    <s v="Groceries"/>
    <s v="Living Expenses"/>
    <s v="Expense"/>
    <s v="July"/>
    <x v="28"/>
  </r>
  <r>
    <d v="2024-07-26T00:00:00"/>
    <s v="Office Lunch"/>
    <n v="1034"/>
    <n v="0"/>
    <s v="Restaurant"/>
    <s v="Dining Out"/>
    <s v="Expense"/>
    <s v="July"/>
    <x v="28"/>
  </r>
  <r>
    <d v="2024-07-27T00:00:00"/>
    <s v="Evening snacks"/>
    <n v="437"/>
    <n v="0"/>
    <s v="Restaurant"/>
    <s v="Dining Out"/>
    <s v="Expense"/>
    <s v="July"/>
    <x v="28"/>
  </r>
  <r>
    <d v="2024-07-28T00:00:00"/>
    <s v="Orphanage"/>
    <n v="1320"/>
    <n v="0"/>
    <s v="Donation"/>
    <s v="Charity"/>
    <s v="Expense"/>
    <s v="July"/>
    <x v="29"/>
  </r>
  <r>
    <d v="2024-07-28T00:00:00"/>
    <s v="Fuel"/>
    <n v="1651"/>
    <n v="0"/>
    <s v="Fueling"/>
    <s v="Transport"/>
    <s v="Expense"/>
    <s v="July"/>
    <x v="29"/>
  </r>
  <r>
    <d v="2024-07-28T00:00:00"/>
    <s v="Drink"/>
    <n v="120"/>
    <n v="0"/>
    <s v="Coffee"/>
    <s v="Dining Out"/>
    <s v="Expense"/>
    <s v="July"/>
    <x v="29"/>
  </r>
  <r>
    <d v="2024-07-29T00:00:00"/>
    <s v="Drink"/>
    <n v="120"/>
    <n v="0"/>
    <s v="Coffee"/>
    <s v="Dining Out"/>
    <s v="Expense"/>
    <s v="July"/>
    <x v="29"/>
  </r>
  <r>
    <d v="2024-07-30T00:00:00"/>
    <s v="Drink"/>
    <n v="120"/>
    <n v="0"/>
    <s v="Coffee"/>
    <s v="Dining Out"/>
    <s v="Expense"/>
    <s v="July"/>
    <x v="29"/>
  </r>
  <r>
    <d v="2024-07-31T00:00:00"/>
    <s v="Drink"/>
    <n v="120"/>
    <n v="0"/>
    <s v="Coffee"/>
    <s v="Dining Out"/>
    <s v="Expense"/>
    <s v="July"/>
    <x v="29"/>
  </r>
  <r>
    <d v="2024-08-01T00:00:00"/>
    <s v="Drink"/>
    <n v="120"/>
    <n v="0"/>
    <s v="Coffee"/>
    <s v="Dining Out"/>
    <s v="Expense"/>
    <s v="August"/>
    <x v="29"/>
  </r>
  <r>
    <d v="2024-08-01T00:00:00"/>
    <s v="Green's"/>
    <n v="4632"/>
    <n v="0"/>
    <s v="Groceries"/>
    <s v="Living Expenses"/>
    <s v="Expense"/>
    <s v="August"/>
    <x v="29"/>
  </r>
  <r>
    <d v="2024-08-02T00:00:00"/>
    <s v="Trainers"/>
    <n v="3139"/>
    <n v="0"/>
    <s v="Clothes"/>
    <s v="Discretionary"/>
    <s v="Expense"/>
    <s v="August"/>
    <x v="29"/>
  </r>
  <r>
    <d v="2024-08-02T00:00:00"/>
    <s v="Home décor"/>
    <n v="4354"/>
    <n v="0"/>
    <s v="Furnishings"/>
    <s v="Discretionary"/>
    <s v="Expense"/>
    <s v="August"/>
    <x v="29"/>
  </r>
  <r>
    <d v="2024-08-03T00:00:00"/>
    <s v="Zara Clothes"/>
    <n v="3629"/>
    <n v="0"/>
    <s v="Clothes"/>
    <s v="Discretionary"/>
    <s v="Expense"/>
    <s v="August"/>
    <x v="29"/>
  </r>
  <r>
    <d v="2024-08-03T00:00:00"/>
    <s v="Ola"/>
    <n v="703"/>
    <n v="0"/>
    <s v="Taxi"/>
    <s v="Transport"/>
    <s v="Expense"/>
    <s v="August"/>
    <x v="29"/>
  </r>
  <r>
    <d v="2024-08-03T00:00:00"/>
    <s v="Foodary"/>
    <n v="360"/>
    <n v="0"/>
    <s v="Restaurant"/>
    <s v="Dining Out"/>
    <s v="Expense"/>
    <s v="August"/>
    <x v="29"/>
  </r>
  <r>
    <d v="2024-08-04T00:00:00"/>
    <s v="Drink"/>
    <n v="120"/>
    <n v="0"/>
    <s v="Coffee"/>
    <s v="Dining Out"/>
    <s v="Expense"/>
    <s v="August"/>
    <x v="30"/>
  </r>
  <r>
    <d v="2024-08-06T00:00:00"/>
    <s v="Drink"/>
    <n v="120"/>
    <n v="0"/>
    <s v="Coffee"/>
    <s v="Dining Out"/>
    <s v="Expense"/>
    <s v="August"/>
    <x v="30"/>
  </r>
  <r>
    <d v="2024-08-06T00:00:00"/>
    <s v="Nextleap DAF"/>
    <n v="0"/>
    <n v="120000"/>
    <s v="Data with Decision"/>
    <s v="Salary"/>
    <s v="Income"/>
    <s v="August"/>
    <x v="30"/>
  </r>
  <r>
    <d v="2024-08-07T00:00:00"/>
    <s v="Drink"/>
    <n v="120"/>
    <n v="0"/>
    <s v="Coffee"/>
    <s v="Dining Out"/>
    <s v="Expense"/>
    <s v="August"/>
    <x v="30"/>
  </r>
  <r>
    <d v="2024-08-09T00:00:00"/>
    <s v="Flat Expenses"/>
    <n v="21600"/>
    <n v="0"/>
    <s v="Rent"/>
    <s v="Living Expenses"/>
    <s v="Expense"/>
    <s v="August"/>
    <x v="30"/>
  </r>
  <r>
    <d v="2024-08-09T00:00:00"/>
    <s v="EMI"/>
    <n v="3600"/>
    <n v="0"/>
    <s v="Cash loan"/>
    <s v="Transport"/>
    <s v="Expense"/>
    <s v="August"/>
    <x v="30"/>
  </r>
  <r>
    <d v="2024-08-09T00:00:00"/>
    <s v="Drink"/>
    <n v="120"/>
    <n v="0"/>
    <s v="Coffee"/>
    <s v="Dining Out"/>
    <s v="Expense"/>
    <s v="August"/>
    <x v="30"/>
  </r>
  <r>
    <d v="2024-08-09T00:00:00"/>
    <s v="Drink"/>
    <n v="120"/>
    <n v="0"/>
    <s v="Coffee"/>
    <s v="Dining Out"/>
    <s v="Expense"/>
    <s v="August"/>
    <x v="30"/>
  </r>
  <r>
    <d v="2024-08-10T00:00:00"/>
    <s v="Drink"/>
    <n v="120"/>
    <n v="0"/>
    <s v="Coffee"/>
    <s v="Dining Out"/>
    <s v="Expense"/>
    <s v="August"/>
    <x v="30"/>
  </r>
  <r>
    <d v="2024-08-11T00:00:00"/>
    <s v="Drink"/>
    <n v="120"/>
    <n v="0"/>
    <s v="Coffee"/>
    <s v="Dining Out"/>
    <s v="Expense"/>
    <s v="August"/>
    <x v="31"/>
  </r>
  <r>
    <d v="2024-08-11T00:00:00"/>
    <s v="Green's"/>
    <n v="3288"/>
    <n v="0"/>
    <s v="Groceries"/>
    <s v="Living Expenses"/>
    <s v="Expense"/>
    <s v="August"/>
    <x v="31"/>
  </r>
  <r>
    <d v="2024-08-14T00:00:00"/>
    <s v="Power source"/>
    <n v="1368"/>
    <n v="0"/>
    <s v="Gas/Electrics"/>
    <s v="Living Expenses"/>
    <s v="Expense"/>
    <s v="August"/>
    <x v="31"/>
  </r>
  <r>
    <d v="2024-08-14T00:00:00"/>
    <s v="Drink"/>
    <n v="120"/>
    <n v="0"/>
    <s v="Coffee"/>
    <s v="Dining Out"/>
    <s v="Expense"/>
    <s v="August"/>
    <x v="31"/>
  </r>
  <r>
    <d v="2024-08-15T00:00:00"/>
    <s v="Drink"/>
    <n v="120"/>
    <n v="0"/>
    <s v="Coffee"/>
    <s v="Dining Out"/>
    <s v="Expense"/>
    <s v="August"/>
    <x v="31"/>
  </r>
  <r>
    <d v="2024-08-16T00:00:00"/>
    <s v="Fuel"/>
    <n v="2021"/>
    <n v="0"/>
    <s v="Fueling"/>
    <s v="Transport"/>
    <s v="Expense"/>
    <s v="August"/>
    <x v="31"/>
  </r>
  <r>
    <d v="2024-08-16T00:00:00"/>
    <s v="Drink"/>
    <n v="120"/>
    <n v="0"/>
    <s v="Coffee"/>
    <s v="Dining Out"/>
    <s v="Expense"/>
    <s v="August"/>
    <x v="31"/>
  </r>
  <r>
    <d v="2024-08-17T00:00:00"/>
    <s v="Drink"/>
    <n v="120"/>
    <n v="0"/>
    <s v="Coffee"/>
    <s v="Dining Out"/>
    <s v="Expense"/>
    <s v="August"/>
    <x v="31"/>
  </r>
  <r>
    <d v="2024-08-18T00:00:00"/>
    <s v="Green's"/>
    <n v="3410"/>
    <n v="0"/>
    <s v="Groceries"/>
    <s v="Living Expenses"/>
    <s v="Expense"/>
    <s v="August"/>
    <x v="32"/>
  </r>
  <r>
    <d v="2024-08-18T00:00:00"/>
    <s v="Drink"/>
    <n v="120"/>
    <n v="0"/>
    <s v="Coffee"/>
    <s v="Dining Out"/>
    <s v="Expense"/>
    <s v="August"/>
    <x v="32"/>
  </r>
  <r>
    <d v="2024-08-19T00:00:00"/>
    <s v="Drink"/>
    <n v="120"/>
    <n v="0"/>
    <s v="Coffee"/>
    <s v="Dining Out"/>
    <s v="Expense"/>
    <s v="August"/>
    <x v="32"/>
  </r>
  <r>
    <d v="2024-08-19T00:00:00"/>
    <s v="Cinemas"/>
    <n v="1123"/>
    <n v="0"/>
    <s v="Entertainment"/>
    <s v="Discretionary"/>
    <s v="Expense"/>
    <s v="August"/>
    <x v="32"/>
  </r>
  <r>
    <d v="2024-08-19T00:00:00"/>
    <s v="Sarojini Nagar"/>
    <n v="2513"/>
    <n v="0"/>
    <s v="Clothes"/>
    <s v="Discretionary"/>
    <s v="Expense"/>
    <s v="August"/>
    <x v="32"/>
  </r>
  <r>
    <d v="2024-08-19T00:00:00"/>
    <s v="Swiggy"/>
    <n v="1418"/>
    <n v="0"/>
    <s v="Restaurant"/>
    <s v="Dining Out"/>
    <s v="Expense"/>
    <s v="August"/>
    <x v="32"/>
  </r>
  <r>
    <d v="2024-08-20T00:00:00"/>
    <s v="Ola"/>
    <n v="842"/>
    <n v="0"/>
    <s v="Taxi"/>
    <s v="Transport"/>
    <s v="Expense"/>
    <s v="August"/>
    <x v="32"/>
  </r>
  <r>
    <d v="2024-08-21T00:00:00"/>
    <s v="Onlne earning"/>
    <n v="0"/>
    <n v="19200"/>
    <s v="YouTube"/>
    <s v="Passive"/>
    <s v="Income"/>
    <s v="August"/>
    <x v="32"/>
  </r>
  <r>
    <d v="2024-08-21T00:00:00"/>
    <s v="Drink"/>
    <n v="120"/>
    <n v="0"/>
    <s v="Coffee"/>
    <s v="Dining Out"/>
    <s v="Expense"/>
    <s v="August"/>
    <x v="32"/>
  </r>
  <r>
    <d v="2024-08-22T00:00:00"/>
    <s v="Drink"/>
    <n v="120"/>
    <n v="0"/>
    <s v="Coffee"/>
    <s v="Dining Out"/>
    <s v="Expense"/>
    <s v="August"/>
    <x v="32"/>
  </r>
  <r>
    <d v="2024-08-22T00:00:00"/>
    <s v="Phone"/>
    <n v="960"/>
    <n v="0"/>
    <s v="Phone"/>
    <s v="Living Expenses"/>
    <s v="Expense"/>
    <s v="August"/>
    <x v="32"/>
  </r>
  <r>
    <d v="2024-08-23T00:00:00"/>
    <s v="Family and Friends surprises"/>
    <n v="1250"/>
    <n v="0"/>
    <s v="Gifts"/>
    <s v="Discretionary"/>
    <s v="Expense"/>
    <s v="August"/>
    <x v="32"/>
  </r>
  <r>
    <d v="2024-08-23T00:00:00"/>
    <s v="Online streaming"/>
    <n v="840"/>
    <n v="0"/>
    <s v="Entertainment"/>
    <s v="Discretionary"/>
    <s v="Expense"/>
    <s v="August"/>
    <x v="32"/>
  </r>
  <r>
    <d v="2024-08-23T00:00:00"/>
    <s v="Drink"/>
    <n v="120"/>
    <n v="0"/>
    <s v="Coffee"/>
    <s v="Dining Out"/>
    <s v="Expense"/>
    <s v="August"/>
    <x v="32"/>
  </r>
  <r>
    <d v="2024-08-24T00:00:00"/>
    <s v="Drink"/>
    <n v="120"/>
    <n v="0"/>
    <s v="Coffee"/>
    <s v="Dining Out"/>
    <s v="Expense"/>
    <s v="August"/>
    <x v="32"/>
  </r>
  <r>
    <d v="2024-08-25T00:00:00"/>
    <s v="Drink"/>
    <n v="120"/>
    <n v="0"/>
    <s v="Coffee"/>
    <s v="Dining Out"/>
    <s v="Expense"/>
    <s v="August"/>
    <x v="33"/>
  </r>
  <r>
    <d v="2024-08-25T00:00:00"/>
    <s v="Green's"/>
    <n v="4248"/>
    <n v="0"/>
    <s v="Groceries"/>
    <s v="Living Expenses"/>
    <s v="Expense"/>
    <s v="August"/>
    <x v="33"/>
  </r>
  <r>
    <d v="2024-08-26T00:00:00"/>
    <s v="Office Lunch"/>
    <n v="1061"/>
    <n v="0"/>
    <s v="Restaurant"/>
    <s v="Dining Out"/>
    <s v="Expense"/>
    <s v="August"/>
    <x v="33"/>
  </r>
  <r>
    <d v="2024-08-27T00:00:00"/>
    <s v="Evening snacks"/>
    <n v="461"/>
    <n v="0"/>
    <s v="Restaurant"/>
    <s v="Dining Out"/>
    <s v="Expense"/>
    <s v="August"/>
    <x v="33"/>
  </r>
  <r>
    <d v="2024-08-28T00:00:00"/>
    <s v="Orphanage"/>
    <n v="1320"/>
    <n v="0"/>
    <s v="Donation"/>
    <s v="Charity"/>
    <s v="Expense"/>
    <s v="August"/>
    <x v="33"/>
  </r>
  <r>
    <d v="2024-08-28T00:00:00"/>
    <s v="Fuel"/>
    <n v="1673"/>
    <n v="0"/>
    <s v="Fueling"/>
    <s v="Transport"/>
    <s v="Expense"/>
    <s v="August"/>
    <x v="33"/>
  </r>
  <r>
    <d v="2024-08-28T00:00:00"/>
    <s v="Drink"/>
    <n v="120"/>
    <n v="0"/>
    <s v="Coffee"/>
    <s v="Dining Out"/>
    <s v="Expense"/>
    <s v="August"/>
    <x v="33"/>
  </r>
  <r>
    <d v="2024-08-29T00:00:00"/>
    <s v="Drink"/>
    <n v="120"/>
    <n v="0"/>
    <s v="Coffee"/>
    <s v="Dining Out"/>
    <s v="Expense"/>
    <s v="August"/>
    <x v="33"/>
  </r>
  <r>
    <d v="2024-08-30T00:00:00"/>
    <s v="Drink"/>
    <n v="120"/>
    <n v="0"/>
    <s v="Coffee"/>
    <s v="Dining Out"/>
    <s v="Expense"/>
    <s v="August"/>
    <x v="33"/>
  </r>
  <r>
    <d v="2024-08-31T00:00:00"/>
    <s v="Drink"/>
    <n v="120"/>
    <n v="0"/>
    <s v="Coffee"/>
    <s v="Dining Out"/>
    <s v="Expense"/>
    <s v="August"/>
    <x v="33"/>
  </r>
  <r>
    <d v="2024-09-01T00:00:00"/>
    <s v="Drink"/>
    <n v="120"/>
    <n v="0"/>
    <s v="Coffee"/>
    <s v="Dining Out"/>
    <s v="Expense"/>
    <s v="September"/>
    <x v="34"/>
  </r>
  <r>
    <d v="2024-09-01T00:00:00"/>
    <s v="Green's"/>
    <n v="2808"/>
    <n v="0"/>
    <s v="Groceries"/>
    <s v="Living Expenses"/>
    <s v="Expense"/>
    <s v="September"/>
    <x v="34"/>
  </r>
  <r>
    <d v="2024-09-02T00:00:00"/>
    <s v="Trainers"/>
    <n v="3166"/>
    <n v="0"/>
    <s v="Clothes"/>
    <s v="Discretionary"/>
    <s v="Expense"/>
    <s v="September"/>
    <x v="34"/>
  </r>
  <r>
    <d v="2024-09-02T00:00:00"/>
    <s v="Hangingout/Ticket"/>
    <n v="4378"/>
    <n v="0"/>
    <s v="Entertainment"/>
    <s v="Discretionary"/>
    <s v="Expense"/>
    <s v="September"/>
    <x v="34"/>
  </r>
  <r>
    <d v="2024-09-03T00:00:00"/>
    <s v="Zara Clothes"/>
    <n v="3655"/>
    <n v="0"/>
    <s v="Clothes"/>
    <s v="Discretionary"/>
    <s v="Expense"/>
    <s v="September"/>
    <x v="34"/>
  </r>
  <r>
    <d v="2024-09-03T00:00:00"/>
    <s v="Ola"/>
    <n v="727"/>
    <n v="0"/>
    <s v="Taxi"/>
    <s v="Transport"/>
    <s v="Expense"/>
    <s v="September"/>
    <x v="34"/>
  </r>
  <r>
    <d v="2024-09-03T00:00:00"/>
    <s v="Foodary"/>
    <n v="360"/>
    <n v="0"/>
    <s v="Restaurant"/>
    <s v="Dining Out"/>
    <s v="Expense"/>
    <s v="September"/>
    <x v="34"/>
  </r>
  <r>
    <d v="2024-09-04T00:00:00"/>
    <s v="Drink"/>
    <n v="120"/>
    <n v="0"/>
    <s v="Coffee"/>
    <s v="Dining Out"/>
    <s v="Expense"/>
    <s v="September"/>
    <x v="34"/>
  </r>
  <r>
    <d v="2024-09-06T00:00:00"/>
    <s v="Drink"/>
    <n v="120"/>
    <n v="0"/>
    <s v="Coffee"/>
    <s v="Dining Out"/>
    <s v="Expense"/>
    <s v="September"/>
    <x v="34"/>
  </r>
  <r>
    <d v="2024-09-06T00:00:00"/>
    <s v="Nextleap DAF"/>
    <n v="0"/>
    <n v="120000"/>
    <s v="Data with Decision"/>
    <s v="Salary"/>
    <s v="Income"/>
    <s v="September"/>
    <x v="34"/>
  </r>
  <r>
    <d v="2024-09-07T00:00:00"/>
    <s v="Drink"/>
    <n v="120"/>
    <n v="0"/>
    <s v="Coffee"/>
    <s v="Dining Out"/>
    <s v="Expense"/>
    <s v="September"/>
    <x v="34"/>
  </r>
  <r>
    <d v="2024-09-09T00:00:00"/>
    <s v="Flat Expenses"/>
    <n v="21600"/>
    <n v="0"/>
    <s v="Rent"/>
    <s v="Living Expenses"/>
    <s v="Expense"/>
    <s v="September"/>
    <x v="35"/>
  </r>
  <r>
    <d v="2024-09-09T00:00:00"/>
    <s v="EMI"/>
    <n v="3600"/>
    <n v="0"/>
    <s v="Cash loan"/>
    <s v="Transport"/>
    <s v="Expense"/>
    <s v="September"/>
    <x v="35"/>
  </r>
  <r>
    <d v="2024-09-09T00:00:00"/>
    <s v="Drink"/>
    <n v="120"/>
    <n v="0"/>
    <s v="Coffee"/>
    <s v="Dining Out"/>
    <s v="Expense"/>
    <s v="September"/>
    <x v="35"/>
  </r>
  <r>
    <d v="2024-09-09T00:00:00"/>
    <s v="Drink"/>
    <n v="120"/>
    <n v="0"/>
    <s v="Coffee"/>
    <s v="Dining Out"/>
    <s v="Expense"/>
    <s v="September"/>
    <x v="35"/>
  </r>
  <r>
    <d v="2024-09-10T00:00:00"/>
    <s v="Drink"/>
    <n v="120"/>
    <n v="0"/>
    <s v="Coffee"/>
    <s v="Dining Out"/>
    <s v="Expense"/>
    <s v="September"/>
    <x v="35"/>
  </r>
  <r>
    <d v="2024-09-11T00:00:00"/>
    <s v="Drink"/>
    <n v="120"/>
    <n v="0"/>
    <s v="Coffee"/>
    <s v="Dining Out"/>
    <s v="Expense"/>
    <s v="September"/>
    <x v="35"/>
  </r>
  <r>
    <d v="2024-09-11T00:00:00"/>
    <s v="Green's"/>
    <n v="3922"/>
    <n v="0"/>
    <s v="Groceries"/>
    <s v="Living Expenses"/>
    <s v="Expense"/>
    <s v="September"/>
    <x v="35"/>
  </r>
  <r>
    <d v="2024-09-14T00:00:00"/>
    <s v="Power source"/>
    <n v="1394"/>
    <n v="0"/>
    <s v="Gas/Electrics"/>
    <s v="Living Expenses"/>
    <s v="Expense"/>
    <s v="September"/>
    <x v="35"/>
  </r>
  <r>
    <d v="2024-09-14T00:00:00"/>
    <s v="Drink"/>
    <n v="120"/>
    <n v="0"/>
    <s v="Coffee"/>
    <s v="Dining Out"/>
    <s v="Expense"/>
    <s v="September"/>
    <x v="35"/>
  </r>
  <r>
    <d v="2024-09-15T00:00:00"/>
    <s v="Drink"/>
    <n v="120"/>
    <n v="0"/>
    <s v="Coffee"/>
    <s v="Dining Out"/>
    <s v="Expense"/>
    <s v="September"/>
    <x v="36"/>
  </r>
  <r>
    <d v="2024-09-16T00:00:00"/>
    <s v="Fuel"/>
    <n v="2047"/>
    <n v="0"/>
    <s v="Fueling"/>
    <s v="Transport"/>
    <s v="Expense"/>
    <s v="September"/>
    <x v="36"/>
  </r>
  <r>
    <d v="2024-09-16T00:00:00"/>
    <s v="Drink"/>
    <n v="120"/>
    <n v="0"/>
    <s v="Coffee"/>
    <s v="Dining Out"/>
    <s v="Expense"/>
    <s v="September"/>
    <x v="36"/>
  </r>
  <r>
    <d v="2024-09-17T00:00:00"/>
    <s v="Drink"/>
    <n v="120"/>
    <n v="0"/>
    <s v="Coffee"/>
    <s v="Dining Out"/>
    <s v="Expense"/>
    <s v="September"/>
    <x v="36"/>
  </r>
  <r>
    <d v="2024-09-18T00:00:00"/>
    <s v="Green's"/>
    <n v="3432"/>
    <n v="0"/>
    <s v="Groceries"/>
    <s v="Living Expenses"/>
    <s v="Expense"/>
    <s v="September"/>
    <x v="36"/>
  </r>
  <r>
    <d v="2024-09-18T00:00:00"/>
    <s v="Drink"/>
    <n v="120"/>
    <n v="0"/>
    <s v="Coffee"/>
    <s v="Dining Out"/>
    <s v="Expense"/>
    <s v="September"/>
    <x v="36"/>
  </r>
  <r>
    <d v="2024-09-19T00:00:00"/>
    <s v="Drink"/>
    <n v="120"/>
    <n v="0"/>
    <s v="Coffee"/>
    <s v="Dining Out"/>
    <s v="Expense"/>
    <s v="September"/>
    <x v="36"/>
  </r>
  <r>
    <d v="2024-09-19T00:00:00"/>
    <s v="Cinemas"/>
    <n v="1147"/>
    <n v="0"/>
    <s v="Entertainment"/>
    <s v="Discretionary"/>
    <s v="Expense"/>
    <s v="September"/>
    <x v="36"/>
  </r>
  <r>
    <d v="2024-09-19T00:00:00"/>
    <s v="Myntra Accesories"/>
    <n v="2539"/>
    <n v="0"/>
    <s v="Clothes"/>
    <s v="Discretionary"/>
    <s v="Expense"/>
    <s v="September"/>
    <x v="36"/>
  </r>
  <r>
    <d v="2024-09-19T00:00:00"/>
    <s v="Swiggy"/>
    <n v="1442"/>
    <n v="0"/>
    <s v="Restaurant"/>
    <s v="Dining Out"/>
    <s v="Expense"/>
    <s v="September"/>
    <x v="36"/>
  </r>
  <r>
    <d v="2024-09-20T00:00:00"/>
    <s v="Ola"/>
    <n v="869"/>
    <n v="0"/>
    <s v="Taxi"/>
    <s v="Transport"/>
    <s v="Expense"/>
    <s v="September"/>
    <x v="36"/>
  </r>
  <r>
    <d v="2024-09-21T00:00:00"/>
    <s v="Onlne earning"/>
    <n v="0"/>
    <n v="2400"/>
    <s v="YouTube"/>
    <s v="Passive"/>
    <s v="Income"/>
    <s v="September"/>
    <x v="36"/>
  </r>
  <r>
    <d v="2024-09-21T00:00:00"/>
    <s v="Drink"/>
    <n v="120"/>
    <n v="0"/>
    <s v="Coffee"/>
    <s v="Dining Out"/>
    <s v="Expense"/>
    <s v="September"/>
    <x v="36"/>
  </r>
  <r>
    <d v="2024-09-22T00:00:00"/>
    <s v="Drink"/>
    <n v="120"/>
    <n v="0"/>
    <s v="Coffee"/>
    <s v="Dining Out"/>
    <s v="Expense"/>
    <s v="September"/>
    <x v="37"/>
  </r>
  <r>
    <d v="2024-09-22T00:00:00"/>
    <s v="Phone"/>
    <n v="960"/>
    <n v="0"/>
    <s v="Phone"/>
    <s v="Living Expenses"/>
    <s v="Expense"/>
    <s v="September"/>
    <x v="37"/>
  </r>
  <r>
    <d v="2024-09-23T00:00:00"/>
    <s v="Family and Friends surprises"/>
    <n v="1272"/>
    <n v="0"/>
    <s v="Gifts"/>
    <s v="Discretionary"/>
    <s v="Expense"/>
    <s v="September"/>
    <x v="37"/>
  </r>
  <r>
    <d v="2024-09-23T00:00:00"/>
    <s v="Online streaming"/>
    <n v="840"/>
    <n v="0"/>
    <s v="Entertainment"/>
    <s v="Discretionary"/>
    <s v="Expense"/>
    <s v="September"/>
    <x v="37"/>
  </r>
  <r>
    <d v="2024-09-23T00:00:00"/>
    <s v="Drink"/>
    <n v="120"/>
    <n v="0"/>
    <s v="Coffee"/>
    <s v="Dining Out"/>
    <s v="Expense"/>
    <s v="September"/>
    <x v="37"/>
  </r>
  <r>
    <d v="2024-09-24T00:00:00"/>
    <s v="Drink"/>
    <n v="120"/>
    <n v="0"/>
    <s v="Coffee"/>
    <s v="Dining Out"/>
    <s v="Expense"/>
    <s v="September"/>
    <x v="37"/>
  </r>
  <r>
    <d v="2024-09-25T00:00:00"/>
    <s v="Drink"/>
    <n v="120"/>
    <n v="0"/>
    <s v="Coffee"/>
    <s v="Dining Out"/>
    <s v="Expense"/>
    <s v="September"/>
    <x v="37"/>
  </r>
  <r>
    <d v="2024-09-25T00:00:00"/>
    <s v="Green's"/>
    <n v="4270"/>
    <n v="0"/>
    <s v="Groceries"/>
    <s v="Living Expenses"/>
    <s v="Expense"/>
    <s v="September"/>
    <x v="37"/>
  </r>
  <r>
    <d v="2024-09-26T00:00:00"/>
    <s v="Office Lunch"/>
    <n v="1087"/>
    <n v="0"/>
    <s v="Restaurant"/>
    <s v="Dining Out"/>
    <s v="Expense"/>
    <s v="September"/>
    <x v="37"/>
  </r>
  <r>
    <d v="2024-09-27T00:00:00"/>
    <s v="Evening snacks"/>
    <n v="482"/>
    <n v="0"/>
    <s v="Restaurant"/>
    <s v="Dining Out"/>
    <s v="Expense"/>
    <s v="September"/>
    <x v="37"/>
  </r>
  <r>
    <d v="2024-09-28T00:00:00"/>
    <s v="Orphanage"/>
    <n v="1320"/>
    <n v="0"/>
    <s v="Donation"/>
    <s v="Charity"/>
    <s v="Expense"/>
    <s v="September"/>
    <x v="37"/>
  </r>
  <r>
    <d v="2024-09-28T00:00:00"/>
    <s v="Fuel"/>
    <n v="1694"/>
    <n v="0"/>
    <s v="Fueling"/>
    <s v="Transport"/>
    <s v="Expense"/>
    <s v="September"/>
    <x v="37"/>
  </r>
  <r>
    <d v="2024-09-28T00:00:00"/>
    <s v="Drink"/>
    <n v="120"/>
    <n v="0"/>
    <s v="Coffee"/>
    <s v="Dining Out"/>
    <s v="Expense"/>
    <s v="September"/>
    <x v="37"/>
  </r>
  <r>
    <d v="2024-09-29T00:00:00"/>
    <s v="Drink"/>
    <n v="120"/>
    <n v="0"/>
    <s v="Coffee"/>
    <s v="Dining Out"/>
    <s v="Expense"/>
    <s v="September"/>
    <x v="38"/>
  </r>
  <r>
    <d v="2024-09-30T00:00:00"/>
    <s v="Drink"/>
    <n v="120"/>
    <n v="0"/>
    <s v="Coffee"/>
    <s v="Dining Out"/>
    <s v="Expense"/>
    <s v="September"/>
    <x v="38"/>
  </r>
  <r>
    <d v="2024-10-01T00:00:00"/>
    <s v="Drink"/>
    <n v="120"/>
    <n v="0"/>
    <s v="Coffee"/>
    <s v="Dining Out"/>
    <s v="Expense"/>
    <s v="October"/>
    <x v="38"/>
  </r>
  <r>
    <d v="2024-10-02T00:00:00"/>
    <s v="Drink"/>
    <n v="120"/>
    <n v="0"/>
    <s v="Coffee"/>
    <s v="Dining Out"/>
    <s v="Expense"/>
    <s v="October"/>
    <x v="38"/>
  </r>
  <r>
    <d v="2024-10-02T00:00:00"/>
    <s v="Green's"/>
    <n v="5352"/>
    <n v="0"/>
    <s v="Groceries"/>
    <s v="Living Expenses"/>
    <s v="Expense"/>
    <s v="October"/>
    <x v="38"/>
  </r>
  <r>
    <d v="2024-10-03T00:00:00"/>
    <s v="Trainers"/>
    <n v="3190"/>
    <n v="0"/>
    <s v="Clothes"/>
    <s v="Discretionary"/>
    <s v="Expense"/>
    <s v="October"/>
    <x v="38"/>
  </r>
  <r>
    <d v="2024-10-03T00:00:00"/>
    <s v="Global Fashion"/>
    <n v="4200"/>
    <n v="0"/>
    <s v="Clothes"/>
    <s v="Discretionary"/>
    <s v="Expense"/>
    <s v="October"/>
    <x v="38"/>
  </r>
  <r>
    <d v="2024-10-04T00:00:00"/>
    <s v="Zara Clothes"/>
    <n v="3682"/>
    <n v="0"/>
    <s v="Clothes"/>
    <s v="Discretionary"/>
    <s v="Expense"/>
    <s v="October"/>
    <x v="38"/>
  </r>
  <r>
    <d v="2024-10-04T00:00:00"/>
    <s v="Ola"/>
    <n v="749"/>
    <n v="0"/>
    <s v="Taxi"/>
    <s v="Transport"/>
    <s v="Expense"/>
    <s v="October"/>
    <x v="38"/>
  </r>
  <r>
    <d v="2024-10-04T00:00:00"/>
    <s v="Foodary"/>
    <n v="360"/>
    <n v="0"/>
    <s v="Restaurant"/>
    <s v="Dining Out"/>
    <s v="Expense"/>
    <s v="October"/>
    <x v="38"/>
  </r>
  <r>
    <d v="2024-10-05T00:00:00"/>
    <s v="Drink"/>
    <n v="120"/>
    <n v="0"/>
    <s v="Coffee"/>
    <s v="Dining Out"/>
    <s v="Expense"/>
    <s v="October"/>
    <x v="38"/>
  </r>
  <r>
    <d v="2024-10-07T00:00:00"/>
    <s v="Drink"/>
    <n v="120"/>
    <n v="0"/>
    <s v="Coffee"/>
    <s v="Dining Out"/>
    <s v="Expense"/>
    <s v="October"/>
    <x v="39"/>
  </r>
  <r>
    <d v="2024-10-07T00:00:00"/>
    <s v="Nextleap DAF"/>
    <n v="0"/>
    <n v="120000"/>
    <s v="Data with Decision"/>
    <s v="Salary"/>
    <s v="Income"/>
    <s v="October"/>
    <x v="39"/>
  </r>
  <r>
    <d v="2024-10-08T00:00:00"/>
    <s v="Drink"/>
    <n v="120"/>
    <n v="0"/>
    <s v="Coffee"/>
    <s v="Dining Out"/>
    <s v="Expense"/>
    <s v="October"/>
    <x v="39"/>
  </r>
  <r>
    <d v="2024-10-10T00:00:00"/>
    <s v="Flat Expenses"/>
    <n v="21600"/>
    <n v="0"/>
    <s v="Rent"/>
    <s v="Living Expenses"/>
    <s v="Expense"/>
    <s v="October"/>
    <x v="39"/>
  </r>
  <r>
    <d v="2024-10-10T00:00:00"/>
    <s v="EMI"/>
    <n v="3600"/>
    <n v="0"/>
    <s v="Cash loan"/>
    <s v="Transport"/>
    <s v="Expense"/>
    <s v="October"/>
    <x v="39"/>
  </r>
  <r>
    <d v="2024-10-10T00:00:00"/>
    <s v="Drink"/>
    <n v="120"/>
    <n v="0"/>
    <s v="Coffee"/>
    <s v="Dining Out"/>
    <s v="Expense"/>
    <s v="October"/>
    <x v="39"/>
  </r>
  <r>
    <d v="2024-10-10T00:00:00"/>
    <s v="Drink"/>
    <n v="120"/>
    <n v="0"/>
    <s v="Coffee"/>
    <s v="Dining Out"/>
    <s v="Expense"/>
    <s v="October"/>
    <x v="39"/>
  </r>
  <r>
    <d v="2024-10-11T00:00:00"/>
    <s v="Drink"/>
    <n v="120"/>
    <n v="0"/>
    <s v="Coffee"/>
    <s v="Dining Out"/>
    <s v="Expense"/>
    <s v="October"/>
    <x v="39"/>
  </r>
  <r>
    <d v="2024-10-12T00:00:00"/>
    <s v="Drink"/>
    <n v="120"/>
    <n v="0"/>
    <s v="Coffee"/>
    <s v="Dining Out"/>
    <s v="Expense"/>
    <s v="October"/>
    <x v="39"/>
  </r>
  <r>
    <d v="2024-10-12T00:00:00"/>
    <s v="Green's"/>
    <n v="2520"/>
    <n v="0"/>
    <s v="Groceries"/>
    <s v="Living Expenses"/>
    <s v="Expense"/>
    <s v="October"/>
    <x v="39"/>
  </r>
  <r>
    <d v="2024-10-15T00:00:00"/>
    <s v="Power source"/>
    <n v="1416"/>
    <n v="0"/>
    <s v="Gas/Electrics"/>
    <s v="Living Expenses"/>
    <s v="Expense"/>
    <s v="October"/>
    <x v="40"/>
  </r>
  <r>
    <d v="2024-10-15T00:00:00"/>
    <s v="Drink"/>
    <n v="120"/>
    <n v="0"/>
    <s v="Coffee"/>
    <s v="Dining Out"/>
    <s v="Expense"/>
    <s v="October"/>
    <x v="40"/>
  </r>
  <r>
    <d v="2024-10-16T00:00:00"/>
    <s v="Drink"/>
    <n v="120"/>
    <n v="0"/>
    <s v="Coffee"/>
    <s v="Dining Out"/>
    <s v="Expense"/>
    <s v="October"/>
    <x v="40"/>
  </r>
  <r>
    <d v="2024-10-17T00:00:00"/>
    <s v="Fuel"/>
    <n v="2074"/>
    <n v="0"/>
    <s v="Fueling"/>
    <s v="Transport"/>
    <s v="Expense"/>
    <s v="October"/>
    <x v="40"/>
  </r>
  <r>
    <d v="2024-10-17T00:00:00"/>
    <s v="Drink"/>
    <n v="120"/>
    <n v="0"/>
    <s v="Coffee"/>
    <s v="Dining Out"/>
    <s v="Expense"/>
    <s v="October"/>
    <x v="40"/>
  </r>
  <r>
    <d v="2024-10-18T00:00:00"/>
    <s v="Drink"/>
    <n v="120"/>
    <n v="0"/>
    <s v="Coffee"/>
    <s v="Dining Out"/>
    <s v="Expense"/>
    <s v="October"/>
    <x v="40"/>
  </r>
  <r>
    <d v="2024-10-19T00:00:00"/>
    <s v="Green's"/>
    <n v="3454"/>
    <n v="0"/>
    <s v="Groceries"/>
    <s v="Living Expenses"/>
    <s v="Expense"/>
    <s v="October"/>
    <x v="40"/>
  </r>
  <r>
    <d v="2024-10-19T00:00:00"/>
    <s v="Drink"/>
    <n v="120"/>
    <n v="0"/>
    <s v="Coffee"/>
    <s v="Dining Out"/>
    <s v="Expense"/>
    <s v="October"/>
    <x v="40"/>
  </r>
  <r>
    <d v="2024-10-20T00:00:00"/>
    <s v="Drink"/>
    <n v="120"/>
    <n v="0"/>
    <s v="Coffee"/>
    <s v="Dining Out"/>
    <s v="Expense"/>
    <s v="October"/>
    <x v="41"/>
  </r>
  <r>
    <d v="2024-10-20T00:00:00"/>
    <s v="Cinemas"/>
    <n v="1171"/>
    <n v="0"/>
    <s v="Entertainment"/>
    <s v="Discretionary"/>
    <s v="Expense"/>
    <s v="October"/>
    <x v="41"/>
  </r>
  <r>
    <d v="2024-10-20T00:00:00"/>
    <s v="Myntra Accesories"/>
    <n v="2561"/>
    <n v="0"/>
    <s v="Clothes"/>
    <s v="Discretionary"/>
    <s v="Expense"/>
    <s v="October"/>
    <x v="41"/>
  </r>
  <r>
    <d v="2024-10-20T00:00:00"/>
    <s v="Swiggy"/>
    <n v="1466"/>
    <n v="0"/>
    <s v="Restaurant"/>
    <s v="Dining Out"/>
    <s v="Expense"/>
    <s v="October"/>
    <x v="41"/>
  </r>
  <r>
    <d v="2024-10-21T00:00:00"/>
    <s v="Ola"/>
    <n v="893"/>
    <n v="0"/>
    <s v="Taxi"/>
    <s v="Transport"/>
    <s v="Expense"/>
    <s v="October"/>
    <x v="41"/>
  </r>
  <r>
    <d v="2024-10-22T00:00:00"/>
    <s v="Onlne earning"/>
    <n v="0"/>
    <n v="2400"/>
    <s v="YouTube"/>
    <s v="Passive"/>
    <s v="Income"/>
    <s v="October"/>
    <x v="41"/>
  </r>
  <r>
    <d v="2024-10-22T00:00:00"/>
    <s v="Drink"/>
    <n v="120"/>
    <n v="0"/>
    <s v="Coffee"/>
    <s v="Dining Out"/>
    <s v="Expense"/>
    <s v="October"/>
    <x v="41"/>
  </r>
  <r>
    <d v="2024-10-23T00:00:00"/>
    <s v="Drink"/>
    <n v="120"/>
    <n v="0"/>
    <s v="Coffee"/>
    <s v="Dining Out"/>
    <s v="Expense"/>
    <s v="October"/>
    <x v="41"/>
  </r>
  <r>
    <d v="2024-10-23T00:00:00"/>
    <s v="Taken medication"/>
    <n v="1800"/>
    <n v="0"/>
    <s v="Doctor"/>
    <s v="Medical"/>
    <s v="Expense"/>
    <s v="October"/>
    <x v="41"/>
  </r>
  <r>
    <d v="2024-10-23T00:00:00"/>
    <s v="Phone"/>
    <n v="960"/>
    <n v="0"/>
    <s v="Phone"/>
    <s v="Living Expenses"/>
    <s v="Expense"/>
    <s v="October"/>
    <x v="41"/>
  </r>
  <r>
    <d v="2024-10-24T00:00:00"/>
    <s v="Family and Friends surprises"/>
    <n v="1298"/>
    <n v="0"/>
    <s v="Gifts"/>
    <s v="Discretionary"/>
    <s v="Expense"/>
    <s v="October"/>
    <x v="41"/>
  </r>
  <r>
    <d v="2024-10-24T00:00:00"/>
    <s v="Online streaming"/>
    <n v="840"/>
    <n v="0"/>
    <s v="Entertainment"/>
    <s v="Discretionary"/>
    <s v="Expense"/>
    <s v="October"/>
    <x v="41"/>
  </r>
  <r>
    <d v="2024-10-24T00:00:00"/>
    <s v="Drink"/>
    <n v="120"/>
    <n v="0"/>
    <s v="Coffee"/>
    <s v="Dining Out"/>
    <s v="Expense"/>
    <s v="October"/>
    <x v="41"/>
  </r>
  <r>
    <d v="2024-10-25T00:00:00"/>
    <s v="Drink"/>
    <n v="120"/>
    <n v="0"/>
    <s v="Coffee"/>
    <s v="Dining Out"/>
    <s v="Expense"/>
    <s v="October"/>
    <x v="41"/>
  </r>
  <r>
    <d v="2024-10-26T00:00:00"/>
    <s v="Drink"/>
    <n v="120"/>
    <n v="0"/>
    <s v="Coffee"/>
    <s v="Dining Out"/>
    <s v="Expense"/>
    <s v="October"/>
    <x v="41"/>
  </r>
  <r>
    <d v="2024-10-26T00:00:00"/>
    <s v="Green's"/>
    <n v="4294"/>
    <n v="0"/>
    <s v="Groceries"/>
    <s v="Living Expenses"/>
    <s v="Expense"/>
    <s v="October"/>
    <x v="41"/>
  </r>
  <r>
    <d v="2024-10-27T00:00:00"/>
    <s v="Office Lunch"/>
    <n v="1109"/>
    <n v="0"/>
    <s v="Restaurant"/>
    <s v="Dining Out"/>
    <s v="Expense"/>
    <s v="October"/>
    <x v="42"/>
  </r>
  <r>
    <d v="2024-10-28T00:00:00"/>
    <s v="Evening snacks"/>
    <n v="506"/>
    <n v="0"/>
    <s v="Restaurant"/>
    <s v="Dining Out"/>
    <s v="Expense"/>
    <s v="October"/>
    <x v="42"/>
  </r>
  <r>
    <d v="2024-10-29T00:00:00"/>
    <s v="Orphanage"/>
    <n v="1320"/>
    <n v="0"/>
    <s v="Donation"/>
    <s v="Charity"/>
    <s v="Expense"/>
    <s v="October"/>
    <x v="42"/>
  </r>
  <r>
    <d v="2024-10-29T00:00:00"/>
    <s v="Fuel"/>
    <n v="1716"/>
    <n v="0"/>
    <s v="Fueling"/>
    <s v="Transport"/>
    <s v="Expense"/>
    <s v="October"/>
    <x v="42"/>
  </r>
  <r>
    <d v="2024-10-29T00:00:00"/>
    <s v="Drink"/>
    <n v="120"/>
    <n v="0"/>
    <s v="Coffee"/>
    <s v="Dining Out"/>
    <s v="Expense"/>
    <s v="October"/>
    <x v="42"/>
  </r>
  <r>
    <d v="2024-10-30T00:00:00"/>
    <s v="Drink"/>
    <n v="120"/>
    <n v="0"/>
    <s v="Coffee"/>
    <s v="Dining Out"/>
    <s v="Expense"/>
    <s v="October"/>
    <x v="42"/>
  </r>
  <r>
    <d v="2024-10-31T00:00:00"/>
    <s v="Drink"/>
    <n v="120"/>
    <n v="0"/>
    <s v="Coffee"/>
    <s v="Dining Out"/>
    <s v="Expense"/>
    <s v="October"/>
    <x v="42"/>
  </r>
  <r>
    <d v="2024-11-01T00:00:00"/>
    <s v="Drink"/>
    <n v="120"/>
    <n v="0"/>
    <s v="Coffee"/>
    <s v="Dining Out"/>
    <s v="Expense"/>
    <s v="November"/>
    <x v="42"/>
  </r>
  <r>
    <d v="2024-11-02T00:00:00"/>
    <s v="Drink"/>
    <n v="120"/>
    <n v="0"/>
    <s v="Coffee"/>
    <s v="Dining Out"/>
    <s v="Expense"/>
    <s v="November"/>
    <x v="42"/>
  </r>
  <r>
    <d v="2024-11-02T00:00:00"/>
    <s v="Green's"/>
    <n v="4536"/>
    <n v="0"/>
    <s v="Groceries"/>
    <s v="Living Expenses"/>
    <s v="Expense"/>
    <s v="November"/>
    <x v="42"/>
  </r>
  <r>
    <d v="2024-11-03T00:00:00"/>
    <s v="Trainers"/>
    <n v="3211"/>
    <n v="0"/>
    <s v="Clothes"/>
    <s v="Discretionary"/>
    <s v="Expense"/>
    <s v="November"/>
    <x v="43"/>
  </r>
  <r>
    <d v="2024-11-03T00:00:00"/>
    <s v="Hangingout/Ticket"/>
    <n v="4426"/>
    <n v="0"/>
    <s v="Entertainment"/>
    <s v="Discretionary"/>
    <s v="Expense"/>
    <s v="November"/>
    <x v="43"/>
  </r>
  <r>
    <d v="2024-11-04T00:00:00"/>
    <s v="H&amp;m Visit"/>
    <n v="3708"/>
    <n v="0"/>
    <s v="Clothes"/>
    <s v="Discretionary"/>
    <s v="Expense"/>
    <s v="November"/>
    <x v="43"/>
  </r>
  <r>
    <d v="2024-11-04T00:00:00"/>
    <s v="Ola"/>
    <n v="770"/>
    <n v="0"/>
    <s v="Taxi"/>
    <s v="Transport"/>
    <s v="Expense"/>
    <s v="November"/>
    <x v="43"/>
  </r>
  <r>
    <d v="2024-11-04T00:00:00"/>
    <s v="Foodary"/>
    <n v="360"/>
    <n v="0"/>
    <s v="Restaurant"/>
    <s v="Dining Out"/>
    <s v="Expense"/>
    <s v="November"/>
    <x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4ECE60-3216-4A7A-BB11-85FD6642502E}" name="PivotTable12" cacheId="34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G18:H21" firstHeaderRow="1" firstDataRow="1" firstDataCol="1"/>
  <pivotFields count="12">
    <pivotField numFmtId="164" showAll="0"/>
    <pivotField showAll="0"/>
    <pivotField showAll="0"/>
    <pivotField dataField="1" showAll="0"/>
    <pivotField showAll="0"/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-2"/>
  </rowFields>
  <rowItems count="3">
    <i>
      <x/>
    </i>
    <i i="1">
      <x v="1"/>
    </i>
    <i i="2">
      <x v="2"/>
    </i>
  </rowItems>
  <colItems count="1">
    <i/>
  </colItems>
  <dataFields count="3">
    <dataField name="Sum of Credit" fld="3" showDataAs="percentOfCol" baseField="0" baseItem="0" numFmtId="10"/>
    <dataField name="Debit %" fld="10" baseField="0" baseItem="0"/>
    <dataField name="Saving%" fld="11" baseField="0" baseItem="0"/>
  </dataFields>
  <formats count="1">
    <format dxfId="1">
      <pivotArea collapsedLevelsAreSubtotals="1" fieldPosition="0">
        <references count="1">
          <reference field="4294967294" count="2"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6CAB7-413D-427D-8253-C92448D2474F}" name="PivotTable10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E18:E19" firstHeaderRow="1" firstDataRow="1" firstDataCol="0"/>
  <pivotFields count="12">
    <pivotField numFmtId="164" showAll="0"/>
    <pivotField showAll="0"/>
    <pivotField showAll="0"/>
    <pivotField showAll="0"/>
    <pivotField showAll="0"/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 of Saving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7561C1-3653-4851-813D-EDFBEF40AE04}" name="PivotTable9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C18:C19" firstHeaderRow="1" firstDataRow="1" firstDataCol="0"/>
  <pivotFields count="12">
    <pivotField numFmtId="164" showAll="0"/>
    <pivotField showAll="0"/>
    <pivotField showAll="0"/>
    <pivotField dataField="1" showAll="0"/>
    <pivotField showAll="0"/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 of Credi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E68F1C-D270-4926-A1AC-614336FC6EC2}" name="PivotTable8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A18:A19" firstHeaderRow="1" firstDataRow="1" firstDataCol="0"/>
  <pivotFields count="12">
    <pivotField numFmtId="164" showAll="0"/>
    <pivotField showAll="0"/>
    <pivotField dataField="1" showAll="0"/>
    <pivotField showAll="0"/>
    <pivotField showAll="0"/>
    <pivotField showAll="0"/>
    <pivotField showAll="0"/>
    <pivotField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Items count="1">
    <i/>
  </rowItems>
  <colItems count="1">
    <i/>
  </colItems>
  <dataFields count="1">
    <dataField name="Sum of Debi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63951E-8B39-4350-9DBC-BACCFCFB1E74}" name="PivotTable7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18:L63" firstHeaderRow="0" firstDataRow="1" firstDataCol="1"/>
  <pivotFields count="9">
    <pivotField numFmtId="164" showAll="0"/>
    <pivotField showAll="0"/>
    <pivotField dataField="1" showAll="0"/>
    <pivotField dataField="1" showAll="0"/>
    <pivotField showAll="0"/>
    <pivotField showAll="0"/>
    <pivotField showAll="0"/>
    <pivotField showAll="0"/>
    <pivotField axis="axisRow" showAll="0">
      <items count="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</pivotFields>
  <rowFields count="1">
    <field x="8"/>
  </rowFields>
  <rowItems count="4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ebit" fld="2" baseField="0" baseItem="0"/>
    <dataField name="Sum of Credi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A6C287-EDCE-4BB5-B266-2A712D8C9EE8}" name="PivotTable6" cacheId="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M4:P16" firstHeaderRow="0" firstDataRow="1" firstDataCol="1"/>
  <pivotFields count="12">
    <pivotField numFmtId="164" showAll="0"/>
    <pivotField showAll="0"/>
    <pivotField dataField="1" showAll="0"/>
    <pivotField dataField="1" showAll="0"/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7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Debit" fld="2" baseField="0" baseItem="0"/>
    <dataField name="Sum of Credit" fld="3" baseField="0" baseItem="0"/>
    <dataField name="Sum of Balance" fld="8" baseField="0" baseItem="0"/>
  </dataFields>
  <chartFormats count="9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88B6C0-0EAE-4974-BA52-9BC15F2957EA}" name="PivotTable5" cacheId="36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33">
  <location ref="J4:K10" firstHeaderRow="1" firstDataRow="2" firstDataCol="1"/>
  <pivotFields count="7">
    <pivotField numFmtId="164" showAll="0"/>
    <pivotField axis="axisRow" showAll="0" measureFilter="1">
      <items count="31">
        <item x="7"/>
        <item x="25"/>
        <item x="23"/>
        <item x="1"/>
        <item x="3"/>
        <item x="16"/>
        <item x="13"/>
        <item x="27"/>
        <item x="2"/>
        <item x="24"/>
        <item x="6"/>
        <item x="21"/>
        <item x="4"/>
        <item x="29"/>
        <item x="19"/>
        <item x="26"/>
        <item x="20"/>
        <item x="0"/>
        <item x="15"/>
        <item x="10"/>
        <item x="14"/>
        <item x="11"/>
        <item x="17"/>
        <item x="12"/>
        <item x="5"/>
        <item x="28"/>
        <item x="9"/>
        <item x="22"/>
        <item x="18"/>
        <item x="8"/>
        <item t="default"/>
      </items>
    </pivotField>
    <pivotField dataField="1" showAll="0"/>
    <pivotField showAll="0"/>
    <pivotField showAll="0"/>
    <pivotField axis="axisCol" showAll="0" measureFilter="1">
      <items count="9">
        <item x="6"/>
        <item x="1"/>
        <item x="4"/>
        <item x="2"/>
        <item x="7"/>
        <item x="5"/>
        <item x="0"/>
        <item x="3"/>
        <item t="default"/>
      </items>
    </pivotField>
    <pivotField showAll="0">
      <items count="3">
        <item x="1"/>
        <item x="0"/>
        <item t="default"/>
      </items>
    </pivotField>
  </pivotFields>
  <rowFields count="1">
    <field x="1"/>
  </rowFields>
  <rowItems count="5">
    <i>
      <x v="8"/>
    </i>
    <i>
      <x v="12"/>
    </i>
    <i>
      <x v="23"/>
    </i>
    <i>
      <x v="24"/>
    </i>
    <i t="grand">
      <x/>
    </i>
  </rowItems>
  <colFields count="1">
    <field x="5"/>
  </colFields>
  <colItems count="1">
    <i>
      <x v="3"/>
    </i>
  </colItems>
  <dataFields count="1">
    <dataField name="Sum of Debit" fld="2" showDataAs="percentOfTotal" baseField="5" baseItem="3" numFmtId="10"/>
  </dataFields>
  <chartFormats count="6">
    <chartFormat chart="2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2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2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2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5" type="count" evalOrder="-1" id="1" iMeasureFld="0">
      <autoFilter ref="A1">
        <filterColumn colId="0">
          <top10 val="1" filterVal="1"/>
        </filterColumn>
      </autoFilter>
    </filter>
    <filter fld="1" type="valueNotEqual" evalOrder="-1" id="3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386807-59AE-4D12-81CD-2A38CBFA136A}" name="PivotTable4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G4:H7" firstHeaderRow="1" firstDataRow="1" firstDataCol="1"/>
  <pivotFields count="7">
    <pivotField numFmtId="164" showAll="0"/>
    <pivotField showAll="0"/>
    <pivotField showAll="0"/>
    <pivotField dataField="1" showAll="0"/>
    <pivotField showAll="0"/>
    <pivotField axis="axisRow" showAll="0" measureFilter="1">
      <items count="9">
        <item x="6"/>
        <item x="1"/>
        <item x="4"/>
        <item x="2"/>
        <item x="7"/>
        <item x="5"/>
        <item x="0"/>
        <item x="3"/>
        <item t="default"/>
      </items>
    </pivotField>
    <pivotField showAll="0">
      <items count="3">
        <item x="1"/>
        <item x="0"/>
        <item t="default"/>
      </items>
    </pivotField>
  </pivotFields>
  <rowFields count="1">
    <field x="5"/>
  </rowFields>
  <rowItems count="3">
    <i>
      <x v="5"/>
    </i>
    <i>
      <x v="6"/>
    </i>
    <i t="grand">
      <x/>
    </i>
  </rowItems>
  <colItems count="1">
    <i/>
  </colItems>
  <dataFields count="1">
    <dataField name="Sum of Credit" fld="3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4E4306-FAD4-4206-A52D-784D82D565F6}" name="PivotTable2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D4:E10" firstHeaderRow="1" firstDataRow="1" firstDataCol="1"/>
  <pivotFields count="7">
    <pivotField numFmtId="164" showAll="0"/>
    <pivotField showAll="0"/>
    <pivotField dataField="1" multipleItemSelectionAllowed="1" showAll="0" sumSubtotal="1">
      <items count="178">
        <item x="0"/>
        <item x="1"/>
        <item x="16"/>
        <item x="36"/>
        <item x="54"/>
        <item x="61"/>
        <item x="72"/>
        <item x="88"/>
        <item x="105"/>
        <item x="122"/>
        <item x="137"/>
        <item x="154"/>
        <item x="170"/>
        <item x="23"/>
        <item x="42"/>
        <item x="60"/>
        <item x="78"/>
        <item x="94"/>
        <item x="11"/>
        <item x="111"/>
        <item x="31"/>
        <item x="128"/>
        <item x="49"/>
        <item x="143"/>
        <item x="68"/>
        <item x="159"/>
        <item x="13"/>
        <item x="176"/>
        <item x="101"/>
        <item x="119"/>
        <item x="33"/>
        <item x="134"/>
        <item x="151"/>
        <item x="15"/>
        <item x="167"/>
        <item x="35"/>
        <item x="53"/>
        <item x="8"/>
        <item x="71"/>
        <item x="28"/>
        <item x="87"/>
        <item x="46"/>
        <item x="104"/>
        <item x="65"/>
        <item x="121"/>
        <item x="82"/>
        <item x="136"/>
        <item x="98"/>
        <item x="12"/>
        <item x="153"/>
        <item x="116"/>
        <item x="32"/>
        <item x="169"/>
        <item x="51"/>
        <item x="148"/>
        <item x="69"/>
        <item x="164"/>
        <item x="85"/>
        <item x="5"/>
        <item x="102"/>
        <item x="25"/>
        <item x="10"/>
        <item x="44"/>
        <item x="30"/>
        <item x="63"/>
        <item x="48"/>
        <item x="79"/>
        <item x="67"/>
        <item x="17"/>
        <item x="84"/>
        <item x="113"/>
        <item x="100"/>
        <item x="129"/>
        <item x="118"/>
        <item x="145"/>
        <item x="161"/>
        <item x="133"/>
        <item x="150"/>
        <item x="166"/>
        <item x="18"/>
        <item x="37"/>
        <item x="55"/>
        <item x="73"/>
        <item x="89"/>
        <item x="106"/>
        <item x="123"/>
        <item x="138"/>
        <item x="155"/>
        <item x="171"/>
        <item x="50"/>
        <item x="6"/>
        <item x="26"/>
        <item x="45"/>
        <item x="64"/>
        <item x="80"/>
        <item x="96"/>
        <item x="114"/>
        <item x="130"/>
        <item x="146"/>
        <item x="162"/>
        <item x="9"/>
        <item x="29"/>
        <item x="47"/>
        <item x="66"/>
        <item x="83"/>
        <item x="99"/>
        <item x="117"/>
        <item x="132"/>
        <item x="160"/>
        <item x="149"/>
        <item x="165"/>
        <item x="139"/>
        <item x="95"/>
        <item x="20"/>
        <item x="39"/>
        <item x="57"/>
        <item x="75"/>
        <item x="91"/>
        <item x="108"/>
        <item x="125"/>
        <item x="140"/>
        <item x="157"/>
        <item x="173"/>
        <item x="7"/>
        <item x="27"/>
        <item x="40"/>
        <item x="81"/>
        <item x="97"/>
        <item x="115"/>
        <item x="131"/>
        <item x="147"/>
        <item x="163"/>
        <item x="22"/>
        <item x="41"/>
        <item x="59"/>
        <item x="77"/>
        <item x="43"/>
        <item x="93"/>
        <item x="3"/>
        <item x="110"/>
        <item x="127"/>
        <item x="142"/>
        <item x="158"/>
        <item x="175"/>
        <item x="4"/>
        <item x="62"/>
        <item x="19"/>
        <item x="38"/>
        <item x="144"/>
        <item x="74"/>
        <item x="90"/>
        <item x="107"/>
        <item x="14"/>
        <item x="34"/>
        <item x="52"/>
        <item x="70"/>
        <item x="86"/>
        <item x="21"/>
        <item x="120"/>
        <item x="135"/>
        <item x="58"/>
        <item x="152"/>
        <item x="168"/>
        <item x="112"/>
        <item x="109"/>
        <item x="126"/>
        <item x="141"/>
        <item x="174"/>
        <item x="172"/>
        <item x="124"/>
        <item x="24"/>
        <item x="56"/>
        <item x="156"/>
        <item x="103"/>
        <item x="92"/>
        <item x="76"/>
        <item x="2"/>
        <item t="sum"/>
      </items>
    </pivotField>
    <pivotField showAll="0"/>
    <pivotField showAll="0" measureFilter="1" sortType="ascending">
      <items count="20">
        <item x="3"/>
        <item x="7"/>
        <item x="1"/>
        <item x="16"/>
        <item x="17"/>
        <item x="14"/>
        <item x="6"/>
        <item x="15"/>
        <item x="18"/>
        <item x="5"/>
        <item x="13"/>
        <item x="4"/>
        <item x="0"/>
        <item x="12"/>
        <item x="2"/>
        <item x="8"/>
        <item x="9"/>
        <item x="11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measureFilter="1" sortType="ascending">
      <items count="9">
        <item x="6"/>
        <item x="1"/>
        <item x="4"/>
        <item x="2"/>
        <item x="7"/>
        <item x="5"/>
        <item x="0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">
        <item x="1"/>
        <item x="0"/>
        <item t="default"/>
      </items>
    </pivotField>
  </pivotFields>
  <rowFields count="1">
    <field x="5"/>
  </rowFields>
  <rowItems count="6">
    <i>
      <x/>
    </i>
    <i>
      <x v="1"/>
    </i>
    <i>
      <x v="7"/>
    </i>
    <i>
      <x v="2"/>
    </i>
    <i>
      <x v="3"/>
    </i>
    <i t="grand">
      <x/>
    </i>
  </rowItems>
  <colItems count="1">
    <i/>
  </colItems>
  <dataFields count="1">
    <dataField name="Sum of Debit" fld="2" baseField="0" baseItem="0"/>
  </dataFields>
  <chartFormats count="7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5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5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5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15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4" type="count" evalOrder="-1" id="4" iMeasureFld="0">
      <autoFilter ref="A1">
        <filterColumn colId="0">
          <top10 val="5" filterVal="5"/>
        </filterColumn>
      </autoFilter>
    </filter>
    <filter fld="5" type="count" evalOrder="-1" id="5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5062E9-1CF6-409A-BD19-D261E4083BFA}" name="PivotTable1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8">
  <location ref="A4:B11" firstHeaderRow="1" firstDataRow="1" firstDataCol="1"/>
  <pivotFields count="7">
    <pivotField numFmtId="164" showAll="0"/>
    <pivotField showAll="0"/>
    <pivotField dataField="1" showAll="0"/>
    <pivotField showAll="0"/>
    <pivotField showAll="0"/>
    <pivotField axis="axisRow" showAll="0" measureFilter="1">
      <items count="9">
        <item x="6"/>
        <item x="1"/>
        <item x="4"/>
        <item x="2"/>
        <item x="7"/>
        <item x="5"/>
        <item x="0"/>
        <item x="3"/>
        <item t="default"/>
      </items>
    </pivotField>
    <pivotField showAll="0">
      <items count="3">
        <item x="1"/>
        <item x="0"/>
        <item t="default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7"/>
    </i>
    <i t="grand">
      <x/>
    </i>
  </rowItems>
  <colItems count="1">
    <i/>
  </colItems>
  <dataFields count="1">
    <dataField name="Sum of Debit" fld="2" baseField="0" baseItem="0"/>
  </dataFields>
  <chartFormats count="2">
    <chartFormat chart="2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valueNotEqual" evalOrder="-1" id="1" iMeasureFld="0">
      <autoFilter ref="A1">
        <filterColumn colId="0">
          <customFilters>
            <customFilter operator="notEqual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87"/>
  <sheetViews>
    <sheetView topLeftCell="A50" workbookViewId="0">
      <selection activeCell="F64" sqref="F64"/>
    </sheetView>
  </sheetViews>
  <sheetFormatPr defaultColWidth="12.6640625" defaultRowHeight="15.75" customHeight="1" x14ac:dyDescent="0.25"/>
  <cols>
    <col min="2" max="2" width="24.88671875" bestFit="1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5">
      <c r="A2" s="2">
        <v>45300</v>
      </c>
      <c r="B2" s="3" t="s">
        <v>7</v>
      </c>
      <c r="C2" s="3"/>
      <c r="D2" s="3" t="s">
        <v>8</v>
      </c>
      <c r="E2" s="3" t="s">
        <v>7</v>
      </c>
      <c r="F2" s="3" t="s">
        <v>9</v>
      </c>
      <c r="G2" s="3" t="s">
        <v>10</v>
      </c>
    </row>
    <row r="3" spans="1:7" ht="15.75" customHeight="1" x14ac:dyDescent="0.25">
      <c r="A3" s="2">
        <v>45300</v>
      </c>
      <c r="B3" s="3" t="s">
        <v>11</v>
      </c>
      <c r="C3" s="3" t="s">
        <v>12</v>
      </c>
      <c r="D3" s="3"/>
      <c r="E3" s="3" t="s">
        <v>13</v>
      </c>
      <c r="F3" s="3" t="s">
        <v>14</v>
      </c>
      <c r="G3" s="3" t="s">
        <v>15</v>
      </c>
    </row>
    <row r="4" spans="1:7" ht="15.75" customHeight="1" x14ac:dyDescent="0.25">
      <c r="A4" s="2">
        <v>45301</v>
      </c>
      <c r="B4" s="3" t="s">
        <v>16</v>
      </c>
      <c r="C4" s="3" t="s">
        <v>17</v>
      </c>
      <c r="D4" s="3"/>
      <c r="E4" s="3" t="s">
        <v>18</v>
      </c>
      <c r="F4" s="3" t="s">
        <v>19</v>
      </c>
      <c r="G4" s="3" t="s">
        <v>15</v>
      </c>
    </row>
    <row r="5" spans="1:7" ht="15.75" customHeight="1" x14ac:dyDescent="0.25">
      <c r="A5" s="2">
        <v>45301</v>
      </c>
      <c r="B5" s="3" t="s">
        <v>20</v>
      </c>
      <c r="C5" s="3" t="s">
        <v>21</v>
      </c>
      <c r="D5" s="3"/>
      <c r="E5" s="3" t="s">
        <v>22</v>
      </c>
      <c r="F5" s="3" t="s">
        <v>23</v>
      </c>
      <c r="G5" s="3" t="s">
        <v>15</v>
      </c>
    </row>
    <row r="6" spans="1:7" ht="15.75" customHeight="1" x14ac:dyDescent="0.25">
      <c r="A6" s="2">
        <v>45301</v>
      </c>
      <c r="B6" s="3" t="s">
        <v>11</v>
      </c>
      <c r="C6" s="3" t="s">
        <v>12</v>
      </c>
      <c r="D6" s="3"/>
      <c r="E6" s="3" t="s">
        <v>13</v>
      </c>
      <c r="F6" s="3" t="s">
        <v>14</v>
      </c>
      <c r="G6" s="3" t="s">
        <v>15</v>
      </c>
    </row>
    <row r="7" spans="1:7" ht="15.75" customHeight="1" x14ac:dyDescent="0.25">
      <c r="A7" s="2">
        <v>45302</v>
      </c>
      <c r="B7" s="3" t="s">
        <v>11</v>
      </c>
      <c r="C7" s="3" t="s">
        <v>12</v>
      </c>
      <c r="D7" s="3"/>
      <c r="E7" s="3" t="s">
        <v>13</v>
      </c>
      <c r="F7" s="3" t="s">
        <v>14</v>
      </c>
      <c r="G7" s="3" t="s">
        <v>15</v>
      </c>
    </row>
    <row r="8" spans="1:7" ht="15.75" customHeight="1" x14ac:dyDescent="0.25">
      <c r="A8" s="2">
        <v>45303</v>
      </c>
      <c r="B8" s="3" t="s">
        <v>11</v>
      </c>
      <c r="C8" s="3" t="s">
        <v>12</v>
      </c>
      <c r="D8" s="3"/>
      <c r="E8" s="3" t="s">
        <v>13</v>
      </c>
      <c r="F8" s="3" t="s">
        <v>14</v>
      </c>
      <c r="G8" s="3" t="s">
        <v>15</v>
      </c>
    </row>
    <row r="9" spans="1:7" ht="15.75" customHeight="1" x14ac:dyDescent="0.25">
      <c r="A9" s="2">
        <v>45304</v>
      </c>
      <c r="B9" s="3" t="s">
        <v>11</v>
      </c>
      <c r="C9" s="3" t="s">
        <v>12</v>
      </c>
      <c r="D9" s="3"/>
      <c r="E9" s="3" t="s">
        <v>13</v>
      </c>
      <c r="F9" s="3" t="s">
        <v>14</v>
      </c>
      <c r="G9" s="3" t="s">
        <v>15</v>
      </c>
    </row>
    <row r="10" spans="1:7" ht="15.75" customHeight="1" x14ac:dyDescent="0.25">
      <c r="A10" s="2">
        <v>45304</v>
      </c>
      <c r="B10" s="3" t="s">
        <v>24</v>
      </c>
      <c r="C10" s="3" t="s">
        <v>25</v>
      </c>
      <c r="D10" s="3"/>
      <c r="E10" s="3" t="s">
        <v>26</v>
      </c>
      <c r="F10" s="3" t="s">
        <v>19</v>
      </c>
      <c r="G10" s="3" t="s">
        <v>15</v>
      </c>
    </row>
    <row r="11" spans="1:7" ht="15.75" customHeight="1" x14ac:dyDescent="0.25">
      <c r="A11" s="2">
        <v>45307</v>
      </c>
      <c r="B11" s="3" t="s">
        <v>27</v>
      </c>
      <c r="C11" s="3" t="s">
        <v>28</v>
      </c>
      <c r="D11" s="3"/>
      <c r="E11" s="3" t="s">
        <v>29</v>
      </c>
      <c r="F11" s="3" t="s">
        <v>19</v>
      </c>
      <c r="G11" s="3" t="s">
        <v>15</v>
      </c>
    </row>
    <row r="12" spans="1:7" ht="15.75" customHeight="1" x14ac:dyDescent="0.25">
      <c r="A12" s="2">
        <v>45307</v>
      </c>
      <c r="B12" s="3" t="s">
        <v>11</v>
      </c>
      <c r="C12" s="3" t="s">
        <v>12</v>
      </c>
      <c r="D12" s="3"/>
      <c r="E12" s="3" t="s">
        <v>13</v>
      </c>
      <c r="F12" s="3" t="s">
        <v>14</v>
      </c>
      <c r="G12" s="3" t="s">
        <v>15</v>
      </c>
    </row>
    <row r="13" spans="1:7" ht="15.75" customHeight="1" x14ac:dyDescent="0.25">
      <c r="A13" s="2">
        <v>45308</v>
      </c>
      <c r="B13" s="3" t="s">
        <v>11</v>
      </c>
      <c r="C13" s="3" t="s">
        <v>12</v>
      </c>
      <c r="D13" s="3"/>
      <c r="E13" s="3" t="s">
        <v>13</v>
      </c>
      <c r="F13" s="3" t="s">
        <v>14</v>
      </c>
      <c r="G13" s="3" t="s">
        <v>15</v>
      </c>
    </row>
    <row r="14" spans="1:7" ht="15.75" customHeight="1" x14ac:dyDescent="0.25">
      <c r="A14" s="2">
        <v>45309</v>
      </c>
      <c r="B14" s="3" t="s">
        <v>30</v>
      </c>
      <c r="C14" s="3" t="s">
        <v>31</v>
      </c>
      <c r="D14" s="3"/>
      <c r="E14" s="3" t="s">
        <v>13</v>
      </c>
      <c r="F14" s="3" t="s">
        <v>14</v>
      </c>
      <c r="G14" s="3" t="s">
        <v>15</v>
      </c>
    </row>
    <row r="15" spans="1:7" ht="15.75" customHeight="1" x14ac:dyDescent="0.25">
      <c r="A15" s="2">
        <v>45309</v>
      </c>
      <c r="B15" s="3" t="s">
        <v>11</v>
      </c>
      <c r="C15" s="3" t="s">
        <v>12</v>
      </c>
      <c r="D15" s="3"/>
      <c r="E15" s="3" t="s">
        <v>13</v>
      </c>
      <c r="F15" s="3" t="s">
        <v>14</v>
      </c>
      <c r="G15" s="3" t="s">
        <v>15</v>
      </c>
    </row>
    <row r="16" spans="1:7" ht="15.75" customHeight="1" x14ac:dyDescent="0.25">
      <c r="A16" s="2">
        <v>45310</v>
      </c>
      <c r="B16" s="3" t="s">
        <v>11</v>
      </c>
      <c r="C16" s="3" t="s">
        <v>12</v>
      </c>
      <c r="D16" s="3"/>
      <c r="E16" s="3" t="s">
        <v>13</v>
      </c>
      <c r="F16" s="3" t="s">
        <v>14</v>
      </c>
      <c r="G16" s="3" t="s">
        <v>15</v>
      </c>
    </row>
    <row r="17" spans="1:7" ht="15.75" customHeight="1" x14ac:dyDescent="0.25">
      <c r="A17" s="2">
        <v>45311</v>
      </c>
      <c r="B17" s="3" t="s">
        <v>24</v>
      </c>
      <c r="C17" s="3" t="s">
        <v>32</v>
      </c>
      <c r="D17" s="3"/>
      <c r="E17" s="3" t="s">
        <v>26</v>
      </c>
      <c r="F17" s="3" t="s">
        <v>19</v>
      </c>
      <c r="G17" s="3" t="s">
        <v>15</v>
      </c>
    </row>
    <row r="18" spans="1:7" ht="15.75" customHeight="1" x14ac:dyDescent="0.25">
      <c r="A18" s="2">
        <v>45311</v>
      </c>
      <c r="B18" s="3" t="s">
        <v>11</v>
      </c>
      <c r="C18" s="3" t="s">
        <v>12</v>
      </c>
      <c r="D18" s="3"/>
      <c r="E18" s="3" t="s">
        <v>13</v>
      </c>
      <c r="F18" s="3" t="s">
        <v>14</v>
      </c>
      <c r="G18" s="3" t="s">
        <v>15</v>
      </c>
    </row>
    <row r="19" spans="1:7" ht="15.75" customHeight="1" x14ac:dyDescent="0.25">
      <c r="A19" s="2">
        <v>45312</v>
      </c>
      <c r="B19" s="3" t="s">
        <v>11</v>
      </c>
      <c r="C19" s="3" t="s">
        <v>12</v>
      </c>
      <c r="D19" s="3"/>
      <c r="E19" s="3" t="s">
        <v>13</v>
      </c>
      <c r="F19" s="3" t="s">
        <v>14</v>
      </c>
      <c r="G19" s="3" t="s">
        <v>15</v>
      </c>
    </row>
    <row r="20" spans="1:7" ht="15.75" customHeight="1" x14ac:dyDescent="0.25">
      <c r="A20" s="2">
        <v>45312</v>
      </c>
      <c r="B20" s="3" t="s">
        <v>33</v>
      </c>
      <c r="C20" s="3" t="s">
        <v>34</v>
      </c>
      <c r="D20" s="3"/>
      <c r="E20" s="3" t="s">
        <v>35</v>
      </c>
      <c r="F20" s="3" t="s">
        <v>36</v>
      </c>
      <c r="G20" s="3" t="s">
        <v>15</v>
      </c>
    </row>
    <row r="21" spans="1:7" ht="15.75" customHeight="1" x14ac:dyDescent="0.25">
      <c r="A21" s="2">
        <v>45312</v>
      </c>
      <c r="B21" s="3" t="s">
        <v>37</v>
      </c>
      <c r="C21" s="3" t="s">
        <v>38</v>
      </c>
      <c r="D21" s="3"/>
      <c r="E21" s="3" t="s">
        <v>39</v>
      </c>
      <c r="F21" s="3" t="s">
        <v>36</v>
      </c>
      <c r="G21" s="3" t="s">
        <v>15</v>
      </c>
    </row>
    <row r="22" spans="1:7" ht="15.75" customHeight="1" x14ac:dyDescent="0.25">
      <c r="A22" s="2">
        <v>45312</v>
      </c>
      <c r="B22" s="3" t="s">
        <v>40</v>
      </c>
      <c r="C22" s="3" t="s">
        <v>41</v>
      </c>
      <c r="D22" s="3"/>
      <c r="E22" s="3" t="s">
        <v>42</v>
      </c>
      <c r="F22" s="3" t="s">
        <v>14</v>
      </c>
      <c r="G22" s="3" t="s">
        <v>15</v>
      </c>
    </row>
    <row r="23" spans="1:7" ht="15.75" customHeight="1" x14ac:dyDescent="0.25">
      <c r="A23" s="2">
        <v>45313</v>
      </c>
      <c r="B23" s="3" t="s">
        <v>43</v>
      </c>
      <c r="C23" s="3" t="s">
        <v>44</v>
      </c>
      <c r="D23" s="3"/>
      <c r="E23" s="3" t="s">
        <v>45</v>
      </c>
      <c r="F23" s="3" t="s">
        <v>23</v>
      </c>
      <c r="G23" s="3" t="s">
        <v>15</v>
      </c>
    </row>
    <row r="24" spans="1:7" ht="15.75" customHeight="1" x14ac:dyDescent="0.25">
      <c r="A24" s="2">
        <v>45314</v>
      </c>
      <c r="B24" s="3" t="s">
        <v>46</v>
      </c>
      <c r="C24" s="3"/>
      <c r="D24" s="3" t="s">
        <v>47</v>
      </c>
      <c r="E24" s="3" t="s">
        <v>48</v>
      </c>
      <c r="F24" s="3" t="s">
        <v>49</v>
      </c>
      <c r="G24" s="3" t="s">
        <v>10</v>
      </c>
    </row>
    <row r="25" spans="1:7" ht="15.75" customHeight="1" x14ac:dyDescent="0.25">
      <c r="A25" s="2">
        <v>45314</v>
      </c>
      <c r="B25" s="3" t="s">
        <v>11</v>
      </c>
      <c r="C25" s="3" t="s">
        <v>12</v>
      </c>
      <c r="D25" s="3"/>
      <c r="E25" s="3" t="s">
        <v>13</v>
      </c>
      <c r="F25" s="3" t="s">
        <v>14</v>
      </c>
      <c r="G25" s="3" t="s">
        <v>15</v>
      </c>
    </row>
    <row r="26" spans="1:7" ht="13.2" x14ac:dyDescent="0.25">
      <c r="A26" s="2">
        <v>45315</v>
      </c>
      <c r="B26" s="3" t="s">
        <v>11</v>
      </c>
      <c r="C26" s="3" t="s">
        <v>12</v>
      </c>
      <c r="D26" s="3"/>
      <c r="E26" s="3" t="s">
        <v>13</v>
      </c>
      <c r="F26" s="3" t="s">
        <v>14</v>
      </c>
      <c r="G26" s="3" t="s">
        <v>15</v>
      </c>
    </row>
    <row r="27" spans="1:7" ht="13.2" x14ac:dyDescent="0.25">
      <c r="A27" s="2">
        <v>45315</v>
      </c>
      <c r="B27" s="3" t="s">
        <v>46</v>
      </c>
      <c r="C27" s="3"/>
      <c r="D27" s="3" t="s">
        <v>47</v>
      </c>
      <c r="E27" s="3" t="s">
        <v>50</v>
      </c>
      <c r="F27" s="3" t="s">
        <v>49</v>
      </c>
      <c r="G27" s="3" t="s">
        <v>10</v>
      </c>
    </row>
    <row r="28" spans="1:7" ht="13.2" x14ac:dyDescent="0.25">
      <c r="A28" s="2">
        <v>45315</v>
      </c>
      <c r="B28" s="3" t="s">
        <v>51</v>
      </c>
      <c r="C28" s="3" t="s">
        <v>34</v>
      </c>
      <c r="D28" s="3"/>
      <c r="E28" s="3" t="s">
        <v>51</v>
      </c>
      <c r="F28" s="3" t="s">
        <v>19</v>
      </c>
      <c r="G28" s="3" t="s">
        <v>15</v>
      </c>
    </row>
    <row r="29" spans="1:7" ht="13.2" x14ac:dyDescent="0.25">
      <c r="A29" s="2">
        <v>45316</v>
      </c>
      <c r="B29" s="3" t="s">
        <v>52</v>
      </c>
      <c r="C29" s="3" t="s">
        <v>53</v>
      </c>
      <c r="D29" s="3"/>
      <c r="E29" s="3" t="s">
        <v>54</v>
      </c>
      <c r="F29" s="3" t="s">
        <v>36</v>
      </c>
      <c r="G29" s="3" t="s">
        <v>15</v>
      </c>
    </row>
    <row r="30" spans="1:7" ht="13.2" x14ac:dyDescent="0.25">
      <c r="A30" s="2">
        <v>45316</v>
      </c>
      <c r="B30" s="3" t="s">
        <v>55</v>
      </c>
      <c r="C30" s="3" t="s">
        <v>56</v>
      </c>
      <c r="D30" s="3"/>
      <c r="E30" s="3" t="s">
        <v>35</v>
      </c>
      <c r="F30" s="3" t="s">
        <v>36</v>
      </c>
      <c r="G30" s="3" t="s">
        <v>15</v>
      </c>
    </row>
    <row r="31" spans="1:7" ht="13.2" x14ac:dyDescent="0.25">
      <c r="A31" s="2">
        <v>45316</v>
      </c>
      <c r="B31" s="3" t="s">
        <v>11</v>
      </c>
      <c r="C31" s="3" t="s">
        <v>12</v>
      </c>
      <c r="D31" s="3"/>
      <c r="E31" s="3" t="s">
        <v>13</v>
      </c>
      <c r="F31" s="3" t="s">
        <v>14</v>
      </c>
      <c r="G31" s="3" t="s">
        <v>15</v>
      </c>
    </row>
    <row r="32" spans="1:7" ht="13.2" x14ac:dyDescent="0.25">
      <c r="A32" s="2">
        <v>45317</v>
      </c>
      <c r="B32" s="3" t="s">
        <v>11</v>
      </c>
      <c r="C32" s="3" t="s">
        <v>12</v>
      </c>
      <c r="D32" s="3"/>
      <c r="E32" s="3" t="s">
        <v>13</v>
      </c>
      <c r="F32" s="3" t="s">
        <v>14</v>
      </c>
      <c r="G32" s="3" t="s">
        <v>15</v>
      </c>
    </row>
    <row r="33" spans="1:7" ht="13.2" x14ac:dyDescent="0.25">
      <c r="A33" s="2">
        <v>45318</v>
      </c>
      <c r="B33" s="3" t="s">
        <v>11</v>
      </c>
      <c r="C33" s="3" t="s">
        <v>12</v>
      </c>
      <c r="D33" s="3"/>
      <c r="E33" s="3" t="s">
        <v>13</v>
      </c>
      <c r="F33" s="3" t="s">
        <v>14</v>
      </c>
      <c r="G33" s="3" t="s">
        <v>15</v>
      </c>
    </row>
    <row r="34" spans="1:7" ht="13.2" x14ac:dyDescent="0.25">
      <c r="A34" s="2">
        <v>45318</v>
      </c>
      <c r="B34" s="3" t="s">
        <v>24</v>
      </c>
      <c r="C34" s="3" t="s">
        <v>57</v>
      </c>
      <c r="D34" s="3"/>
      <c r="E34" s="3" t="s">
        <v>26</v>
      </c>
      <c r="F34" s="3" t="s">
        <v>19</v>
      </c>
      <c r="G34" s="3" t="s">
        <v>15</v>
      </c>
    </row>
    <row r="35" spans="1:7" ht="13.2" x14ac:dyDescent="0.25">
      <c r="A35" s="2">
        <v>45319</v>
      </c>
      <c r="B35" s="3" t="s">
        <v>58</v>
      </c>
      <c r="C35" s="3" t="s">
        <v>59</v>
      </c>
      <c r="D35" s="3"/>
      <c r="E35" s="3" t="s">
        <v>42</v>
      </c>
      <c r="F35" s="3" t="s">
        <v>14</v>
      </c>
      <c r="G35" s="3" t="s">
        <v>15</v>
      </c>
    </row>
    <row r="36" spans="1:7" ht="13.2" x14ac:dyDescent="0.25">
      <c r="A36" s="2">
        <v>45320</v>
      </c>
      <c r="B36" s="3" t="s">
        <v>60</v>
      </c>
      <c r="C36" s="3" t="s">
        <v>61</v>
      </c>
      <c r="D36" s="3"/>
      <c r="E36" s="3" t="s">
        <v>42</v>
      </c>
      <c r="F36" s="3" t="s">
        <v>14</v>
      </c>
      <c r="G36" s="3" t="s">
        <v>15</v>
      </c>
    </row>
    <row r="37" spans="1:7" ht="13.2" x14ac:dyDescent="0.25">
      <c r="A37" s="2">
        <v>45321</v>
      </c>
      <c r="B37" s="3" t="s">
        <v>62</v>
      </c>
      <c r="C37" s="3" t="s">
        <v>63</v>
      </c>
      <c r="D37" s="3"/>
      <c r="E37" s="3" t="s">
        <v>64</v>
      </c>
      <c r="F37" s="3" t="s">
        <v>65</v>
      </c>
      <c r="G37" s="3" t="s">
        <v>15</v>
      </c>
    </row>
    <row r="38" spans="1:7" ht="13.2" x14ac:dyDescent="0.25">
      <c r="A38" s="2">
        <v>45321</v>
      </c>
      <c r="B38" s="3" t="s">
        <v>30</v>
      </c>
      <c r="C38" s="3" t="s">
        <v>66</v>
      </c>
      <c r="D38" s="3"/>
      <c r="E38" s="3" t="s">
        <v>67</v>
      </c>
      <c r="F38" s="3" t="s">
        <v>23</v>
      </c>
      <c r="G38" s="3" t="s">
        <v>15</v>
      </c>
    </row>
    <row r="39" spans="1:7" ht="13.2" x14ac:dyDescent="0.25">
      <c r="A39" s="2">
        <v>45321</v>
      </c>
      <c r="B39" s="3" t="s">
        <v>11</v>
      </c>
      <c r="C39" s="3" t="s">
        <v>12</v>
      </c>
      <c r="D39" s="3"/>
      <c r="E39" s="3" t="s">
        <v>13</v>
      </c>
      <c r="F39" s="3" t="s">
        <v>14</v>
      </c>
      <c r="G39" s="3" t="s">
        <v>15</v>
      </c>
    </row>
    <row r="40" spans="1:7" ht="13.2" x14ac:dyDescent="0.25">
      <c r="A40" s="2">
        <v>45322</v>
      </c>
      <c r="B40" s="3" t="s">
        <v>11</v>
      </c>
      <c r="C40" s="3" t="s">
        <v>12</v>
      </c>
      <c r="D40" s="3"/>
      <c r="E40" s="3" t="s">
        <v>13</v>
      </c>
      <c r="F40" s="3" t="s">
        <v>14</v>
      </c>
      <c r="G40" s="3" t="s">
        <v>15</v>
      </c>
    </row>
    <row r="41" spans="1:7" ht="13.2" x14ac:dyDescent="0.25">
      <c r="A41" s="2">
        <v>45323</v>
      </c>
      <c r="B41" s="3" t="s">
        <v>11</v>
      </c>
      <c r="C41" s="3" t="s">
        <v>12</v>
      </c>
      <c r="D41" s="3"/>
      <c r="E41" s="3" t="s">
        <v>13</v>
      </c>
      <c r="F41" s="3" t="s">
        <v>14</v>
      </c>
      <c r="G41" s="3" t="s">
        <v>15</v>
      </c>
    </row>
    <row r="42" spans="1:7" ht="13.2" x14ac:dyDescent="0.25">
      <c r="A42" s="2">
        <v>45324</v>
      </c>
      <c r="B42" s="3" t="s">
        <v>11</v>
      </c>
      <c r="C42" s="3" t="s">
        <v>12</v>
      </c>
      <c r="D42" s="3"/>
      <c r="E42" s="3" t="s">
        <v>13</v>
      </c>
      <c r="F42" s="3" t="s">
        <v>14</v>
      </c>
      <c r="G42" s="3" t="s">
        <v>15</v>
      </c>
    </row>
    <row r="43" spans="1:7" ht="13.2" x14ac:dyDescent="0.25">
      <c r="A43" s="2">
        <v>45325</v>
      </c>
      <c r="B43" s="3" t="s">
        <v>11</v>
      </c>
      <c r="C43" s="3" t="s">
        <v>12</v>
      </c>
      <c r="D43" s="3"/>
      <c r="E43" s="3" t="s">
        <v>13</v>
      </c>
      <c r="F43" s="3" t="s">
        <v>14</v>
      </c>
      <c r="G43" s="3" t="s">
        <v>15</v>
      </c>
    </row>
    <row r="44" spans="1:7" ht="13.2" x14ac:dyDescent="0.25">
      <c r="A44" s="2">
        <v>45325</v>
      </c>
      <c r="B44" s="3" t="s">
        <v>24</v>
      </c>
      <c r="C44" s="3" t="s">
        <v>68</v>
      </c>
      <c r="D44" s="3"/>
      <c r="E44" s="3" t="s">
        <v>26</v>
      </c>
      <c r="F44" s="3" t="s">
        <v>19</v>
      </c>
      <c r="G44" s="3" t="s">
        <v>15</v>
      </c>
    </row>
    <row r="45" spans="1:7" ht="13.2" x14ac:dyDescent="0.25">
      <c r="A45" s="2">
        <v>45326</v>
      </c>
      <c r="B45" s="3" t="s">
        <v>69</v>
      </c>
      <c r="C45" s="3" t="s">
        <v>70</v>
      </c>
      <c r="D45" s="3"/>
      <c r="E45" s="3" t="s">
        <v>39</v>
      </c>
      <c r="F45" s="3" t="s">
        <v>36</v>
      </c>
      <c r="G45" s="3" t="s">
        <v>15</v>
      </c>
    </row>
    <row r="46" spans="1:7" ht="13.2" x14ac:dyDescent="0.25">
      <c r="A46" s="2">
        <v>45326</v>
      </c>
      <c r="B46" s="3" t="s">
        <v>71</v>
      </c>
      <c r="C46" s="3" t="s">
        <v>72</v>
      </c>
      <c r="D46" s="3"/>
      <c r="E46" s="3" t="s">
        <v>35</v>
      </c>
      <c r="F46" s="3" t="s">
        <v>36</v>
      </c>
      <c r="G46" s="3" t="s">
        <v>15</v>
      </c>
    </row>
    <row r="47" spans="1:7" ht="13.2" x14ac:dyDescent="0.25">
      <c r="A47" s="2">
        <v>45327</v>
      </c>
      <c r="B47" s="3" t="s">
        <v>37</v>
      </c>
      <c r="C47" s="3" t="s">
        <v>73</v>
      </c>
      <c r="D47" s="3"/>
      <c r="E47" s="3" t="s">
        <v>39</v>
      </c>
      <c r="F47" s="3" t="s">
        <v>36</v>
      </c>
      <c r="G47" s="3" t="s">
        <v>15</v>
      </c>
    </row>
    <row r="48" spans="1:7" ht="13.2" x14ac:dyDescent="0.25">
      <c r="A48" s="2">
        <v>45327</v>
      </c>
      <c r="B48" s="3" t="s">
        <v>43</v>
      </c>
      <c r="C48" s="3" t="s">
        <v>74</v>
      </c>
      <c r="D48" s="3"/>
      <c r="E48" s="3" t="s">
        <v>45</v>
      </c>
      <c r="F48" s="3" t="s">
        <v>23</v>
      </c>
      <c r="G48" s="3" t="s">
        <v>15</v>
      </c>
    </row>
    <row r="49" spans="1:7" ht="13.2" x14ac:dyDescent="0.25">
      <c r="A49" s="2">
        <v>45328</v>
      </c>
      <c r="B49" s="3" t="s">
        <v>7</v>
      </c>
      <c r="C49" s="3"/>
      <c r="D49" s="3" t="s">
        <v>8</v>
      </c>
      <c r="E49" s="3" t="s">
        <v>75</v>
      </c>
      <c r="F49" s="3" t="s">
        <v>9</v>
      </c>
      <c r="G49" s="3" t="s">
        <v>10</v>
      </c>
    </row>
    <row r="50" spans="1:7" ht="13.2" x14ac:dyDescent="0.25">
      <c r="A50" s="2">
        <v>45328</v>
      </c>
      <c r="B50" s="3" t="s">
        <v>11</v>
      </c>
      <c r="C50" s="3" t="s">
        <v>12</v>
      </c>
      <c r="D50" s="3"/>
      <c r="E50" s="3" t="s">
        <v>13</v>
      </c>
      <c r="F50" s="3" t="s">
        <v>14</v>
      </c>
      <c r="G50" s="3" t="s">
        <v>15</v>
      </c>
    </row>
    <row r="51" spans="1:7" ht="13.2" x14ac:dyDescent="0.25">
      <c r="A51" s="2">
        <v>45329</v>
      </c>
      <c r="B51" s="3" t="s">
        <v>16</v>
      </c>
      <c r="C51" s="3" t="s">
        <v>17</v>
      </c>
      <c r="D51" s="3"/>
      <c r="E51" s="3" t="s">
        <v>18</v>
      </c>
      <c r="F51" s="3" t="s">
        <v>19</v>
      </c>
      <c r="G51" s="3" t="s">
        <v>15</v>
      </c>
    </row>
    <row r="52" spans="1:7" ht="13.2" x14ac:dyDescent="0.25">
      <c r="A52" s="2">
        <v>45329</v>
      </c>
      <c r="B52" s="3" t="s">
        <v>20</v>
      </c>
      <c r="C52" s="3" t="s">
        <v>21</v>
      </c>
      <c r="D52" s="3"/>
      <c r="E52" s="3" t="s">
        <v>22</v>
      </c>
      <c r="F52" s="3" t="s">
        <v>23</v>
      </c>
      <c r="G52" s="3" t="s">
        <v>15</v>
      </c>
    </row>
    <row r="53" spans="1:7" ht="13.2" x14ac:dyDescent="0.25">
      <c r="A53" s="2">
        <v>45329</v>
      </c>
      <c r="B53" s="3" t="s">
        <v>11</v>
      </c>
      <c r="C53" s="3" t="s">
        <v>12</v>
      </c>
      <c r="D53" s="3"/>
      <c r="E53" s="3" t="s">
        <v>13</v>
      </c>
      <c r="F53" s="3" t="s">
        <v>14</v>
      </c>
      <c r="G53" s="3" t="s">
        <v>15</v>
      </c>
    </row>
    <row r="54" spans="1:7" ht="13.2" x14ac:dyDescent="0.25">
      <c r="A54" s="2">
        <v>45330</v>
      </c>
      <c r="B54" s="3" t="s">
        <v>11</v>
      </c>
      <c r="C54" s="3" t="s">
        <v>12</v>
      </c>
      <c r="D54" s="3"/>
      <c r="E54" s="3" t="s">
        <v>13</v>
      </c>
      <c r="F54" s="3" t="s">
        <v>14</v>
      </c>
      <c r="G54" s="3" t="s">
        <v>15</v>
      </c>
    </row>
    <row r="55" spans="1:7" ht="13.2" x14ac:dyDescent="0.25">
      <c r="A55" s="2">
        <v>45331</v>
      </c>
      <c r="B55" s="3" t="s">
        <v>11</v>
      </c>
      <c r="C55" s="3" t="s">
        <v>12</v>
      </c>
      <c r="D55" s="3"/>
      <c r="E55" s="3" t="s">
        <v>13</v>
      </c>
      <c r="F55" s="3" t="s">
        <v>14</v>
      </c>
      <c r="G55" s="3" t="s">
        <v>15</v>
      </c>
    </row>
    <row r="56" spans="1:7" ht="13.2" x14ac:dyDescent="0.25">
      <c r="A56" s="2">
        <v>45332</v>
      </c>
      <c r="B56" s="3" t="s">
        <v>11</v>
      </c>
      <c r="C56" s="3" t="s">
        <v>12</v>
      </c>
      <c r="D56" s="3"/>
      <c r="E56" s="3" t="s">
        <v>13</v>
      </c>
      <c r="F56" s="3" t="s">
        <v>14</v>
      </c>
      <c r="G56" s="3" t="s">
        <v>15</v>
      </c>
    </row>
    <row r="57" spans="1:7" ht="13.2" x14ac:dyDescent="0.25">
      <c r="A57" s="2">
        <v>45332</v>
      </c>
      <c r="B57" s="3" t="s">
        <v>24</v>
      </c>
      <c r="C57" s="3" t="s">
        <v>76</v>
      </c>
      <c r="D57" s="3"/>
      <c r="E57" s="3" t="s">
        <v>26</v>
      </c>
      <c r="F57" s="3" t="s">
        <v>19</v>
      </c>
      <c r="G57" s="3" t="s">
        <v>15</v>
      </c>
    </row>
    <row r="58" spans="1:7" ht="13.2" x14ac:dyDescent="0.25">
      <c r="A58" s="2">
        <v>45335</v>
      </c>
      <c r="B58" s="3" t="s">
        <v>27</v>
      </c>
      <c r="C58" s="3" t="s">
        <v>77</v>
      </c>
      <c r="D58" s="3"/>
      <c r="E58" s="3" t="s">
        <v>29</v>
      </c>
      <c r="F58" s="3" t="s">
        <v>19</v>
      </c>
      <c r="G58" s="3" t="s">
        <v>15</v>
      </c>
    </row>
    <row r="59" spans="1:7" ht="13.2" x14ac:dyDescent="0.25">
      <c r="A59" s="2">
        <v>45335</v>
      </c>
      <c r="B59" s="3" t="s">
        <v>11</v>
      </c>
      <c r="C59" s="3" t="s">
        <v>12</v>
      </c>
      <c r="D59" s="3"/>
      <c r="E59" s="3" t="s">
        <v>13</v>
      </c>
      <c r="F59" s="3" t="s">
        <v>14</v>
      </c>
      <c r="G59" s="3" t="s">
        <v>15</v>
      </c>
    </row>
    <row r="60" spans="1:7" ht="13.2" x14ac:dyDescent="0.25">
      <c r="A60" s="2">
        <v>45336</v>
      </c>
      <c r="B60" s="3" t="s">
        <v>11</v>
      </c>
      <c r="C60" s="3" t="s">
        <v>12</v>
      </c>
      <c r="D60" s="3"/>
      <c r="E60" s="3" t="s">
        <v>13</v>
      </c>
      <c r="F60" s="3" t="s">
        <v>14</v>
      </c>
      <c r="G60" s="3" t="s">
        <v>15</v>
      </c>
    </row>
    <row r="61" spans="1:7" ht="13.2" x14ac:dyDescent="0.25">
      <c r="A61" s="2">
        <v>45337</v>
      </c>
      <c r="B61" s="3" t="s">
        <v>30</v>
      </c>
      <c r="C61" s="3" t="s">
        <v>78</v>
      </c>
      <c r="D61" s="3"/>
      <c r="E61" s="3" t="s">
        <v>67</v>
      </c>
      <c r="F61" s="3" t="s">
        <v>23</v>
      </c>
      <c r="G61" s="3" t="s">
        <v>15</v>
      </c>
    </row>
    <row r="62" spans="1:7" ht="13.2" x14ac:dyDescent="0.25">
      <c r="A62" s="2">
        <v>45337</v>
      </c>
      <c r="B62" s="3" t="s">
        <v>11</v>
      </c>
      <c r="C62" s="3" t="s">
        <v>12</v>
      </c>
      <c r="D62" s="3"/>
      <c r="E62" s="3" t="s">
        <v>13</v>
      </c>
      <c r="F62" s="3" t="s">
        <v>14</v>
      </c>
      <c r="G62" s="3" t="s">
        <v>15</v>
      </c>
    </row>
    <row r="63" spans="1:7" ht="13.2" x14ac:dyDescent="0.25">
      <c r="A63" s="2">
        <v>45338</v>
      </c>
      <c r="B63" s="3" t="s">
        <v>11</v>
      </c>
      <c r="C63" s="3" t="s">
        <v>12</v>
      </c>
      <c r="D63" s="3"/>
      <c r="E63" s="3" t="s">
        <v>13</v>
      </c>
      <c r="F63" s="3" t="s">
        <v>14</v>
      </c>
      <c r="G63" s="3" t="s">
        <v>15</v>
      </c>
    </row>
    <row r="64" spans="1:7" ht="13.2" x14ac:dyDescent="0.25">
      <c r="A64" s="2">
        <v>45339</v>
      </c>
      <c r="B64" s="3" t="s">
        <v>24</v>
      </c>
      <c r="C64" s="3" t="s">
        <v>79</v>
      </c>
      <c r="D64" s="3"/>
      <c r="E64" s="3" t="s">
        <v>26</v>
      </c>
      <c r="F64" s="3" t="s">
        <v>19</v>
      </c>
      <c r="G64" s="3" t="s">
        <v>15</v>
      </c>
    </row>
    <row r="65" spans="1:7" ht="13.2" x14ac:dyDescent="0.25">
      <c r="A65" s="2">
        <v>45339</v>
      </c>
      <c r="B65" s="3" t="s">
        <v>11</v>
      </c>
      <c r="C65" s="3" t="s">
        <v>12</v>
      </c>
      <c r="D65" s="3"/>
      <c r="E65" s="3" t="s">
        <v>13</v>
      </c>
      <c r="F65" s="3" t="s">
        <v>14</v>
      </c>
      <c r="G65" s="3" t="s">
        <v>15</v>
      </c>
    </row>
    <row r="66" spans="1:7" ht="13.2" x14ac:dyDescent="0.25">
      <c r="A66" s="2">
        <v>45340</v>
      </c>
      <c r="B66" s="3" t="s">
        <v>11</v>
      </c>
      <c r="C66" s="3" t="s">
        <v>12</v>
      </c>
      <c r="D66" s="3"/>
      <c r="E66" s="3" t="s">
        <v>13</v>
      </c>
      <c r="F66" s="3" t="s">
        <v>14</v>
      </c>
      <c r="G66" s="3" t="s">
        <v>15</v>
      </c>
    </row>
    <row r="67" spans="1:7" ht="13.2" x14ac:dyDescent="0.25">
      <c r="A67" s="2">
        <v>45340</v>
      </c>
      <c r="B67" s="3" t="s">
        <v>33</v>
      </c>
      <c r="C67" s="3" t="s">
        <v>80</v>
      </c>
      <c r="D67" s="3"/>
      <c r="E67" s="3" t="s">
        <v>35</v>
      </c>
      <c r="F67" s="3" t="s">
        <v>36</v>
      </c>
      <c r="G67" s="3" t="s">
        <v>15</v>
      </c>
    </row>
    <row r="68" spans="1:7" ht="13.2" x14ac:dyDescent="0.25">
      <c r="A68" s="2">
        <v>45340</v>
      </c>
      <c r="B68" s="3" t="s">
        <v>81</v>
      </c>
      <c r="C68" s="3" t="s">
        <v>82</v>
      </c>
      <c r="D68" s="3"/>
      <c r="E68" s="3" t="s">
        <v>39</v>
      </c>
      <c r="F68" s="3" t="s">
        <v>36</v>
      </c>
      <c r="G68" s="3" t="s">
        <v>15</v>
      </c>
    </row>
    <row r="69" spans="1:7" ht="13.2" x14ac:dyDescent="0.25">
      <c r="A69" s="2">
        <v>45340</v>
      </c>
      <c r="B69" s="3" t="s">
        <v>40</v>
      </c>
      <c r="C69" s="3" t="s">
        <v>83</v>
      </c>
      <c r="D69" s="3"/>
      <c r="E69" s="3" t="s">
        <v>42</v>
      </c>
      <c r="F69" s="3" t="s">
        <v>14</v>
      </c>
      <c r="G69" s="3" t="s">
        <v>15</v>
      </c>
    </row>
    <row r="70" spans="1:7" ht="13.2" x14ac:dyDescent="0.25">
      <c r="A70" s="2">
        <v>45341</v>
      </c>
      <c r="B70" s="3" t="s">
        <v>43</v>
      </c>
      <c r="C70" s="3" t="s">
        <v>84</v>
      </c>
      <c r="D70" s="3"/>
      <c r="E70" s="3" t="s">
        <v>45</v>
      </c>
      <c r="F70" s="3" t="s">
        <v>23</v>
      </c>
      <c r="G70" s="3" t="s">
        <v>15</v>
      </c>
    </row>
    <row r="71" spans="1:7" ht="13.2" x14ac:dyDescent="0.25">
      <c r="A71" s="2">
        <v>45342</v>
      </c>
      <c r="B71" s="3" t="s">
        <v>46</v>
      </c>
      <c r="C71" s="3"/>
      <c r="D71" s="3" t="s">
        <v>85</v>
      </c>
      <c r="E71" s="3" t="s">
        <v>48</v>
      </c>
      <c r="F71" s="3" t="s">
        <v>49</v>
      </c>
      <c r="G71" s="3" t="s">
        <v>10</v>
      </c>
    </row>
    <row r="72" spans="1:7" ht="13.2" x14ac:dyDescent="0.25">
      <c r="A72" s="2">
        <v>45342</v>
      </c>
      <c r="B72" s="3" t="s">
        <v>11</v>
      </c>
      <c r="C72" s="3" t="s">
        <v>12</v>
      </c>
      <c r="D72" s="3"/>
      <c r="E72" s="3" t="s">
        <v>13</v>
      </c>
      <c r="F72" s="3" t="s">
        <v>14</v>
      </c>
      <c r="G72" s="3" t="s">
        <v>15</v>
      </c>
    </row>
    <row r="73" spans="1:7" ht="13.2" x14ac:dyDescent="0.25">
      <c r="A73" s="2">
        <v>45343</v>
      </c>
      <c r="B73" s="3" t="s">
        <v>11</v>
      </c>
      <c r="C73" s="3" t="s">
        <v>12</v>
      </c>
      <c r="D73" s="3"/>
      <c r="E73" s="3" t="s">
        <v>13</v>
      </c>
      <c r="F73" s="3" t="s">
        <v>14</v>
      </c>
      <c r="G73" s="3" t="s">
        <v>15</v>
      </c>
    </row>
    <row r="74" spans="1:7" ht="13.2" x14ac:dyDescent="0.25">
      <c r="A74" s="2">
        <v>45343</v>
      </c>
      <c r="B74" s="3" t="s">
        <v>51</v>
      </c>
      <c r="C74" s="3" t="s">
        <v>34</v>
      </c>
      <c r="D74" s="3"/>
      <c r="E74" s="3" t="s">
        <v>51</v>
      </c>
      <c r="F74" s="3" t="s">
        <v>19</v>
      </c>
      <c r="G74" s="3" t="s">
        <v>15</v>
      </c>
    </row>
    <row r="75" spans="1:7" ht="13.2" x14ac:dyDescent="0.25">
      <c r="A75" s="2">
        <v>45344</v>
      </c>
      <c r="B75" s="3" t="s">
        <v>52</v>
      </c>
      <c r="C75" s="3" t="s">
        <v>86</v>
      </c>
      <c r="D75" s="3"/>
      <c r="E75" s="3" t="s">
        <v>54</v>
      </c>
      <c r="F75" s="3" t="s">
        <v>36</v>
      </c>
      <c r="G75" s="3" t="s">
        <v>15</v>
      </c>
    </row>
    <row r="76" spans="1:7" ht="13.2" x14ac:dyDescent="0.25">
      <c r="A76" s="2">
        <v>45344</v>
      </c>
      <c r="B76" s="3" t="s">
        <v>55</v>
      </c>
      <c r="C76" s="3" t="s">
        <v>87</v>
      </c>
      <c r="D76" s="3"/>
      <c r="E76" s="3" t="s">
        <v>35</v>
      </c>
      <c r="F76" s="3" t="s">
        <v>36</v>
      </c>
      <c r="G76" s="3" t="s">
        <v>15</v>
      </c>
    </row>
    <row r="77" spans="1:7" ht="13.2" x14ac:dyDescent="0.25">
      <c r="A77" s="2">
        <v>45344</v>
      </c>
      <c r="B77" s="3" t="s">
        <v>11</v>
      </c>
      <c r="C77" s="3" t="s">
        <v>12</v>
      </c>
      <c r="D77" s="3"/>
      <c r="E77" s="3" t="s">
        <v>13</v>
      </c>
      <c r="F77" s="3" t="s">
        <v>14</v>
      </c>
      <c r="G77" s="3" t="s">
        <v>15</v>
      </c>
    </row>
    <row r="78" spans="1:7" ht="13.2" x14ac:dyDescent="0.25">
      <c r="A78" s="2">
        <v>45345</v>
      </c>
      <c r="B78" s="3" t="s">
        <v>11</v>
      </c>
      <c r="C78" s="3" t="s">
        <v>12</v>
      </c>
      <c r="D78" s="3"/>
      <c r="E78" s="3" t="s">
        <v>13</v>
      </c>
      <c r="F78" s="3" t="s">
        <v>14</v>
      </c>
      <c r="G78" s="3" t="s">
        <v>15</v>
      </c>
    </row>
    <row r="79" spans="1:7" ht="13.2" x14ac:dyDescent="0.25">
      <c r="A79" s="2">
        <v>45346</v>
      </c>
      <c r="B79" s="3" t="s">
        <v>11</v>
      </c>
      <c r="C79" s="3" t="s">
        <v>12</v>
      </c>
      <c r="D79" s="3"/>
      <c r="E79" s="3" t="s">
        <v>13</v>
      </c>
      <c r="F79" s="3" t="s">
        <v>14</v>
      </c>
      <c r="G79" s="3" t="s">
        <v>15</v>
      </c>
    </row>
    <row r="80" spans="1:7" ht="13.2" x14ac:dyDescent="0.25">
      <c r="A80" s="2">
        <v>45346</v>
      </c>
      <c r="B80" s="3" t="s">
        <v>24</v>
      </c>
      <c r="C80" s="3" t="s">
        <v>88</v>
      </c>
      <c r="D80" s="3"/>
      <c r="E80" s="3" t="s">
        <v>26</v>
      </c>
      <c r="F80" s="3" t="s">
        <v>19</v>
      </c>
      <c r="G80" s="3" t="s">
        <v>15</v>
      </c>
    </row>
    <row r="81" spans="1:7" ht="13.2" x14ac:dyDescent="0.25">
      <c r="A81" s="2">
        <v>45347</v>
      </c>
      <c r="B81" s="3" t="s">
        <v>58</v>
      </c>
      <c r="C81" s="3" t="s">
        <v>89</v>
      </c>
      <c r="D81" s="3"/>
      <c r="E81" s="3" t="s">
        <v>42</v>
      </c>
      <c r="F81" s="3" t="s">
        <v>14</v>
      </c>
      <c r="G81" s="3" t="s">
        <v>15</v>
      </c>
    </row>
    <row r="82" spans="1:7" ht="13.2" x14ac:dyDescent="0.25">
      <c r="A82" s="2">
        <v>45348</v>
      </c>
      <c r="B82" s="3" t="s">
        <v>60</v>
      </c>
      <c r="C82" s="3" t="s">
        <v>90</v>
      </c>
      <c r="D82" s="3"/>
      <c r="E82" s="3" t="s">
        <v>42</v>
      </c>
      <c r="F82" s="3" t="s">
        <v>14</v>
      </c>
      <c r="G82" s="3" t="s">
        <v>15</v>
      </c>
    </row>
    <row r="83" spans="1:7" ht="13.2" x14ac:dyDescent="0.25">
      <c r="A83" s="2">
        <v>45349</v>
      </c>
      <c r="B83" s="3" t="s">
        <v>62</v>
      </c>
      <c r="C83" s="3" t="s">
        <v>63</v>
      </c>
      <c r="D83" s="3"/>
      <c r="E83" s="3" t="s">
        <v>64</v>
      </c>
      <c r="F83" s="3" t="s">
        <v>65</v>
      </c>
      <c r="G83" s="3" t="s">
        <v>15</v>
      </c>
    </row>
    <row r="84" spans="1:7" ht="13.2" x14ac:dyDescent="0.25">
      <c r="A84" s="2">
        <v>45349</v>
      </c>
      <c r="B84" s="3" t="s">
        <v>30</v>
      </c>
      <c r="C84" s="3" t="s">
        <v>91</v>
      </c>
      <c r="D84" s="3"/>
      <c r="E84" s="3" t="s">
        <v>67</v>
      </c>
      <c r="F84" s="3" t="s">
        <v>23</v>
      </c>
      <c r="G84" s="3" t="s">
        <v>15</v>
      </c>
    </row>
    <row r="85" spans="1:7" ht="13.2" x14ac:dyDescent="0.25">
      <c r="A85" s="2">
        <v>45349</v>
      </c>
      <c r="B85" s="3" t="s">
        <v>11</v>
      </c>
      <c r="C85" s="3" t="s">
        <v>12</v>
      </c>
      <c r="D85" s="3"/>
      <c r="E85" s="3" t="s">
        <v>13</v>
      </c>
      <c r="F85" s="3" t="s">
        <v>14</v>
      </c>
      <c r="G85" s="3" t="s">
        <v>15</v>
      </c>
    </row>
    <row r="86" spans="1:7" ht="13.2" x14ac:dyDescent="0.25">
      <c r="A86" s="2">
        <v>45350</v>
      </c>
      <c r="B86" s="3" t="s">
        <v>11</v>
      </c>
      <c r="C86" s="3" t="s">
        <v>12</v>
      </c>
      <c r="D86" s="3"/>
      <c r="E86" s="3" t="s">
        <v>13</v>
      </c>
      <c r="F86" s="3" t="s">
        <v>14</v>
      </c>
      <c r="G86" s="3" t="s">
        <v>15</v>
      </c>
    </row>
    <row r="87" spans="1:7" ht="13.2" x14ac:dyDescent="0.25">
      <c r="A87" s="2">
        <v>45351</v>
      </c>
      <c r="B87" s="3" t="s">
        <v>11</v>
      </c>
      <c r="C87" s="3" t="s">
        <v>12</v>
      </c>
      <c r="D87" s="3"/>
      <c r="E87" s="3" t="s">
        <v>13</v>
      </c>
      <c r="F87" s="3" t="s">
        <v>14</v>
      </c>
      <c r="G87" s="3" t="s">
        <v>15</v>
      </c>
    </row>
    <row r="88" spans="1:7" ht="13.2" x14ac:dyDescent="0.25">
      <c r="A88" s="2">
        <v>45352</v>
      </c>
      <c r="B88" s="3" t="s">
        <v>11</v>
      </c>
      <c r="C88" s="3" t="s">
        <v>12</v>
      </c>
      <c r="D88" s="3"/>
      <c r="E88" s="3" t="s">
        <v>13</v>
      </c>
      <c r="F88" s="3" t="s">
        <v>14</v>
      </c>
      <c r="G88" s="3" t="s">
        <v>15</v>
      </c>
    </row>
    <row r="89" spans="1:7" ht="13.2" x14ac:dyDescent="0.25">
      <c r="A89" s="2">
        <v>45353</v>
      </c>
      <c r="B89" s="3" t="s">
        <v>11</v>
      </c>
      <c r="C89" s="3" t="s">
        <v>12</v>
      </c>
      <c r="D89" s="3"/>
      <c r="E89" s="3" t="s">
        <v>13</v>
      </c>
      <c r="F89" s="3" t="s">
        <v>14</v>
      </c>
      <c r="G89" s="3" t="s">
        <v>15</v>
      </c>
    </row>
    <row r="90" spans="1:7" ht="13.2" x14ac:dyDescent="0.25">
      <c r="A90" s="2">
        <v>45353</v>
      </c>
      <c r="B90" s="3" t="s">
        <v>24</v>
      </c>
      <c r="C90" s="3" t="s">
        <v>92</v>
      </c>
      <c r="D90" s="3"/>
      <c r="E90" s="3" t="s">
        <v>26</v>
      </c>
      <c r="F90" s="3" t="s">
        <v>19</v>
      </c>
      <c r="G90" s="3" t="s">
        <v>15</v>
      </c>
    </row>
    <row r="91" spans="1:7" ht="13.2" x14ac:dyDescent="0.25">
      <c r="A91" s="2">
        <v>45354</v>
      </c>
      <c r="B91" s="3" t="s">
        <v>69</v>
      </c>
      <c r="C91" s="3" t="s">
        <v>93</v>
      </c>
      <c r="D91" s="3"/>
      <c r="E91" s="3" t="s">
        <v>39</v>
      </c>
      <c r="F91" s="3" t="s">
        <v>36</v>
      </c>
      <c r="G91" s="3" t="s">
        <v>15</v>
      </c>
    </row>
    <row r="92" spans="1:7" ht="13.2" x14ac:dyDescent="0.25">
      <c r="A92" s="2">
        <v>45354</v>
      </c>
      <c r="B92" s="3" t="s">
        <v>94</v>
      </c>
      <c r="C92" s="3" t="s">
        <v>95</v>
      </c>
      <c r="D92" s="3"/>
      <c r="E92" s="3" t="s">
        <v>39</v>
      </c>
      <c r="F92" s="3" t="s">
        <v>36</v>
      </c>
      <c r="G92" s="3" t="s">
        <v>15</v>
      </c>
    </row>
    <row r="93" spans="1:7" ht="13.2" x14ac:dyDescent="0.25">
      <c r="A93" s="2">
        <v>45355</v>
      </c>
      <c r="B93" s="3" t="s">
        <v>37</v>
      </c>
      <c r="C93" s="3" t="s">
        <v>96</v>
      </c>
      <c r="D93" s="3"/>
      <c r="E93" s="3" t="s">
        <v>39</v>
      </c>
      <c r="F93" s="3" t="s">
        <v>36</v>
      </c>
      <c r="G93" s="3" t="s">
        <v>15</v>
      </c>
    </row>
    <row r="94" spans="1:7" ht="13.2" x14ac:dyDescent="0.25">
      <c r="A94" s="2">
        <v>45355</v>
      </c>
      <c r="B94" s="3" t="s">
        <v>43</v>
      </c>
      <c r="C94" s="3" t="s">
        <v>97</v>
      </c>
      <c r="D94" s="3"/>
      <c r="E94" s="3" t="s">
        <v>45</v>
      </c>
      <c r="F94" s="3" t="s">
        <v>23</v>
      </c>
      <c r="G94" s="3" t="s">
        <v>15</v>
      </c>
    </row>
    <row r="95" spans="1:7" ht="13.2" x14ac:dyDescent="0.25">
      <c r="A95" s="2">
        <v>45356</v>
      </c>
      <c r="B95" s="3" t="s">
        <v>7</v>
      </c>
      <c r="C95" s="3"/>
      <c r="D95" s="3" t="s">
        <v>8</v>
      </c>
      <c r="E95" s="3" t="s">
        <v>75</v>
      </c>
      <c r="F95" s="3" t="s">
        <v>9</v>
      </c>
      <c r="G95" s="3" t="s">
        <v>10</v>
      </c>
    </row>
    <row r="96" spans="1:7" ht="13.2" x14ac:dyDescent="0.25">
      <c r="A96" s="2">
        <v>45356</v>
      </c>
      <c r="B96" s="3" t="s">
        <v>11</v>
      </c>
      <c r="C96" s="3" t="s">
        <v>12</v>
      </c>
      <c r="D96" s="3"/>
      <c r="E96" s="3" t="s">
        <v>13</v>
      </c>
      <c r="F96" s="3" t="s">
        <v>14</v>
      </c>
      <c r="G96" s="3" t="s">
        <v>15</v>
      </c>
    </row>
    <row r="97" spans="1:7" ht="13.2" x14ac:dyDescent="0.25">
      <c r="A97" s="2">
        <v>45357</v>
      </c>
      <c r="B97" s="3" t="s">
        <v>16</v>
      </c>
      <c r="C97" s="3" t="s">
        <v>17</v>
      </c>
      <c r="D97" s="3"/>
      <c r="E97" s="3" t="s">
        <v>18</v>
      </c>
      <c r="F97" s="3" t="s">
        <v>19</v>
      </c>
      <c r="G97" s="3" t="s">
        <v>15</v>
      </c>
    </row>
    <row r="98" spans="1:7" ht="13.2" x14ac:dyDescent="0.25">
      <c r="A98" s="2">
        <v>45357</v>
      </c>
      <c r="B98" s="3" t="s">
        <v>20</v>
      </c>
      <c r="C98" s="3" t="s">
        <v>21</v>
      </c>
      <c r="D98" s="3"/>
      <c r="E98" s="3" t="s">
        <v>22</v>
      </c>
      <c r="F98" s="3" t="s">
        <v>23</v>
      </c>
      <c r="G98" s="3" t="s">
        <v>15</v>
      </c>
    </row>
    <row r="99" spans="1:7" ht="13.2" x14ac:dyDescent="0.25">
      <c r="A99" s="2">
        <v>45357</v>
      </c>
      <c r="B99" s="3" t="s">
        <v>11</v>
      </c>
      <c r="C99" s="3" t="s">
        <v>12</v>
      </c>
      <c r="D99" s="3"/>
      <c r="E99" s="3" t="s">
        <v>13</v>
      </c>
      <c r="F99" s="3" t="s">
        <v>14</v>
      </c>
      <c r="G99" s="3" t="s">
        <v>15</v>
      </c>
    </row>
    <row r="100" spans="1:7" ht="13.2" x14ac:dyDescent="0.25">
      <c r="A100" s="2">
        <v>45358</v>
      </c>
      <c r="B100" s="3" t="s">
        <v>11</v>
      </c>
      <c r="C100" s="3" t="s">
        <v>12</v>
      </c>
      <c r="D100" s="3"/>
      <c r="E100" s="3" t="s">
        <v>13</v>
      </c>
      <c r="F100" s="3" t="s">
        <v>14</v>
      </c>
      <c r="G100" s="3" t="s">
        <v>15</v>
      </c>
    </row>
    <row r="101" spans="1:7" ht="13.2" x14ac:dyDescent="0.25">
      <c r="A101" s="2">
        <v>45359</v>
      </c>
      <c r="B101" s="3" t="s">
        <v>11</v>
      </c>
      <c r="C101" s="3" t="s">
        <v>12</v>
      </c>
      <c r="D101" s="3"/>
      <c r="E101" s="3" t="s">
        <v>13</v>
      </c>
      <c r="F101" s="3" t="s">
        <v>14</v>
      </c>
      <c r="G101" s="3" t="s">
        <v>15</v>
      </c>
    </row>
    <row r="102" spans="1:7" ht="13.2" x14ac:dyDescent="0.25">
      <c r="A102" s="2">
        <v>45360</v>
      </c>
      <c r="B102" s="3" t="s">
        <v>11</v>
      </c>
      <c r="C102" s="3" t="s">
        <v>12</v>
      </c>
      <c r="D102" s="3"/>
      <c r="E102" s="3" t="s">
        <v>13</v>
      </c>
      <c r="F102" s="3" t="s">
        <v>14</v>
      </c>
      <c r="G102" s="3" t="s">
        <v>15</v>
      </c>
    </row>
    <row r="103" spans="1:7" ht="13.2" x14ac:dyDescent="0.25">
      <c r="A103" s="2">
        <v>45360</v>
      </c>
      <c r="B103" s="3" t="s">
        <v>24</v>
      </c>
      <c r="C103" s="3" t="s">
        <v>98</v>
      </c>
      <c r="D103" s="3"/>
      <c r="E103" s="3" t="s">
        <v>26</v>
      </c>
      <c r="F103" s="3" t="s">
        <v>19</v>
      </c>
      <c r="G103" s="3" t="s">
        <v>15</v>
      </c>
    </row>
    <row r="104" spans="1:7" ht="13.2" x14ac:dyDescent="0.25">
      <c r="A104" s="2">
        <v>45363</v>
      </c>
      <c r="B104" s="3" t="s">
        <v>27</v>
      </c>
      <c r="C104" s="3" t="s">
        <v>99</v>
      </c>
      <c r="D104" s="3"/>
      <c r="E104" s="3" t="s">
        <v>29</v>
      </c>
      <c r="F104" s="3" t="s">
        <v>19</v>
      </c>
      <c r="G104" s="3" t="s">
        <v>15</v>
      </c>
    </row>
    <row r="105" spans="1:7" ht="13.2" x14ac:dyDescent="0.25">
      <c r="A105" s="2">
        <v>45363</v>
      </c>
      <c r="B105" s="3" t="s">
        <v>11</v>
      </c>
      <c r="C105" s="3" t="s">
        <v>12</v>
      </c>
      <c r="D105" s="3"/>
      <c r="E105" s="3" t="s">
        <v>13</v>
      </c>
      <c r="F105" s="3" t="s">
        <v>14</v>
      </c>
      <c r="G105" s="3" t="s">
        <v>15</v>
      </c>
    </row>
    <row r="106" spans="1:7" ht="13.2" x14ac:dyDescent="0.25">
      <c r="A106" s="2">
        <v>45364</v>
      </c>
      <c r="B106" s="3" t="s">
        <v>11</v>
      </c>
      <c r="C106" s="3" t="s">
        <v>12</v>
      </c>
      <c r="D106" s="3"/>
      <c r="E106" s="3" t="s">
        <v>13</v>
      </c>
      <c r="F106" s="3" t="s">
        <v>14</v>
      </c>
      <c r="G106" s="3" t="s">
        <v>15</v>
      </c>
    </row>
    <row r="107" spans="1:7" ht="13.2" x14ac:dyDescent="0.25">
      <c r="A107" s="2">
        <v>45365</v>
      </c>
      <c r="B107" s="3" t="s">
        <v>30</v>
      </c>
      <c r="C107" s="3" t="s">
        <v>100</v>
      </c>
      <c r="D107" s="3"/>
      <c r="E107" s="3" t="s">
        <v>67</v>
      </c>
      <c r="F107" s="3" t="s">
        <v>23</v>
      </c>
      <c r="G107" s="3" t="s">
        <v>15</v>
      </c>
    </row>
    <row r="108" spans="1:7" ht="13.2" x14ac:dyDescent="0.25">
      <c r="A108" s="2">
        <v>45365</v>
      </c>
      <c r="B108" s="3" t="s">
        <v>11</v>
      </c>
      <c r="C108" s="3" t="s">
        <v>12</v>
      </c>
      <c r="D108" s="3"/>
      <c r="E108" s="3" t="s">
        <v>13</v>
      </c>
      <c r="F108" s="3" t="s">
        <v>14</v>
      </c>
      <c r="G108" s="3" t="s">
        <v>15</v>
      </c>
    </row>
    <row r="109" spans="1:7" ht="13.2" x14ac:dyDescent="0.25">
      <c r="A109" s="2">
        <v>45366</v>
      </c>
      <c r="B109" s="3" t="s">
        <v>11</v>
      </c>
      <c r="C109" s="3" t="s">
        <v>12</v>
      </c>
      <c r="D109" s="3"/>
      <c r="E109" s="3" t="s">
        <v>13</v>
      </c>
      <c r="F109" s="3" t="s">
        <v>14</v>
      </c>
      <c r="G109" s="3" t="s">
        <v>15</v>
      </c>
    </row>
    <row r="110" spans="1:7" ht="13.2" x14ac:dyDescent="0.25">
      <c r="A110" s="2">
        <v>45367</v>
      </c>
      <c r="B110" s="3" t="s">
        <v>24</v>
      </c>
      <c r="C110" s="3" t="s">
        <v>95</v>
      </c>
      <c r="D110" s="3"/>
      <c r="E110" s="3" t="s">
        <v>26</v>
      </c>
      <c r="F110" s="3" t="s">
        <v>19</v>
      </c>
      <c r="G110" s="3" t="s">
        <v>15</v>
      </c>
    </row>
    <row r="111" spans="1:7" ht="13.2" x14ac:dyDescent="0.25">
      <c r="A111" s="2">
        <v>45367</v>
      </c>
      <c r="B111" s="3" t="s">
        <v>11</v>
      </c>
      <c r="C111" s="3" t="s">
        <v>12</v>
      </c>
      <c r="D111" s="3"/>
      <c r="E111" s="3" t="s">
        <v>13</v>
      </c>
      <c r="F111" s="3" t="s">
        <v>14</v>
      </c>
      <c r="G111" s="3" t="s">
        <v>15</v>
      </c>
    </row>
    <row r="112" spans="1:7" ht="13.2" x14ac:dyDescent="0.25">
      <c r="A112" s="2">
        <v>45368</v>
      </c>
      <c r="B112" s="3" t="s">
        <v>11</v>
      </c>
      <c r="C112" s="3" t="s">
        <v>12</v>
      </c>
      <c r="D112" s="3"/>
      <c r="E112" s="3" t="s">
        <v>13</v>
      </c>
      <c r="F112" s="3" t="s">
        <v>14</v>
      </c>
      <c r="G112" s="3" t="s">
        <v>15</v>
      </c>
    </row>
    <row r="113" spans="1:7" ht="13.2" x14ac:dyDescent="0.25">
      <c r="A113" s="2">
        <v>45368</v>
      </c>
      <c r="B113" s="3" t="s">
        <v>33</v>
      </c>
      <c r="C113" s="3" t="s">
        <v>101</v>
      </c>
      <c r="D113" s="3"/>
      <c r="E113" s="3" t="s">
        <v>35</v>
      </c>
      <c r="F113" s="3" t="s">
        <v>36</v>
      </c>
      <c r="G113" s="3" t="s">
        <v>15</v>
      </c>
    </row>
    <row r="114" spans="1:7" ht="13.2" x14ac:dyDescent="0.25">
      <c r="A114" s="2">
        <v>45368</v>
      </c>
      <c r="B114" s="3" t="s">
        <v>81</v>
      </c>
      <c r="C114" s="3" t="s">
        <v>102</v>
      </c>
      <c r="D114" s="3"/>
      <c r="E114" s="3" t="s">
        <v>39</v>
      </c>
      <c r="F114" s="3" t="s">
        <v>36</v>
      </c>
      <c r="G114" s="3" t="s">
        <v>15</v>
      </c>
    </row>
    <row r="115" spans="1:7" ht="13.2" x14ac:dyDescent="0.25">
      <c r="A115" s="2">
        <v>45368</v>
      </c>
      <c r="B115" s="3" t="s">
        <v>40</v>
      </c>
      <c r="C115" s="3" t="s">
        <v>103</v>
      </c>
      <c r="D115" s="3"/>
      <c r="E115" s="3" t="s">
        <v>42</v>
      </c>
      <c r="F115" s="3" t="s">
        <v>14</v>
      </c>
      <c r="G115" s="3" t="s">
        <v>15</v>
      </c>
    </row>
    <row r="116" spans="1:7" ht="13.2" x14ac:dyDescent="0.25">
      <c r="A116" s="2">
        <v>45369</v>
      </c>
      <c r="B116" s="3" t="s">
        <v>43</v>
      </c>
      <c r="C116" s="3" t="s">
        <v>104</v>
      </c>
      <c r="D116" s="3"/>
      <c r="E116" s="3" t="s">
        <v>45</v>
      </c>
      <c r="F116" s="3" t="s">
        <v>23</v>
      </c>
      <c r="G116" s="3" t="s">
        <v>15</v>
      </c>
    </row>
    <row r="117" spans="1:7" ht="13.2" x14ac:dyDescent="0.25">
      <c r="A117" s="2">
        <v>45370</v>
      </c>
      <c r="B117" s="3" t="s">
        <v>46</v>
      </c>
      <c r="C117" s="3"/>
      <c r="D117" s="3" t="s">
        <v>105</v>
      </c>
      <c r="E117" s="3" t="s">
        <v>48</v>
      </c>
      <c r="F117" s="3" t="s">
        <v>49</v>
      </c>
      <c r="G117" s="3" t="s">
        <v>10</v>
      </c>
    </row>
    <row r="118" spans="1:7" ht="13.2" x14ac:dyDescent="0.25">
      <c r="A118" s="2">
        <v>45370</v>
      </c>
      <c r="B118" s="3" t="s">
        <v>11</v>
      </c>
      <c r="C118" s="3" t="s">
        <v>12</v>
      </c>
      <c r="D118" s="3"/>
      <c r="E118" s="3" t="s">
        <v>13</v>
      </c>
      <c r="F118" s="3" t="s">
        <v>14</v>
      </c>
      <c r="G118" s="3" t="s">
        <v>15</v>
      </c>
    </row>
    <row r="119" spans="1:7" ht="13.2" x14ac:dyDescent="0.25">
      <c r="A119" s="2">
        <v>45371</v>
      </c>
      <c r="B119" s="3" t="s">
        <v>11</v>
      </c>
      <c r="C119" s="3" t="s">
        <v>12</v>
      </c>
      <c r="D119" s="3"/>
      <c r="E119" s="3" t="s">
        <v>13</v>
      </c>
      <c r="F119" s="3" t="s">
        <v>14</v>
      </c>
      <c r="G119" s="3" t="s">
        <v>15</v>
      </c>
    </row>
    <row r="120" spans="1:7" ht="13.2" x14ac:dyDescent="0.25">
      <c r="A120" s="2">
        <v>45371</v>
      </c>
      <c r="B120" s="3" t="s">
        <v>106</v>
      </c>
      <c r="C120" s="3" t="s">
        <v>107</v>
      </c>
      <c r="D120" s="3"/>
      <c r="E120" s="3" t="s">
        <v>108</v>
      </c>
      <c r="F120" s="3" t="s">
        <v>109</v>
      </c>
      <c r="G120" s="3" t="s">
        <v>15</v>
      </c>
    </row>
    <row r="121" spans="1:7" ht="13.2" x14ac:dyDescent="0.25">
      <c r="A121" s="2">
        <v>45371</v>
      </c>
      <c r="B121" s="3" t="s">
        <v>51</v>
      </c>
      <c r="C121" s="3" t="s">
        <v>34</v>
      </c>
      <c r="D121" s="3"/>
      <c r="E121" s="3" t="s">
        <v>51</v>
      </c>
      <c r="F121" s="3" t="s">
        <v>19</v>
      </c>
      <c r="G121" s="3" t="s">
        <v>15</v>
      </c>
    </row>
    <row r="122" spans="1:7" ht="13.2" x14ac:dyDescent="0.25">
      <c r="A122" s="2">
        <v>45372</v>
      </c>
      <c r="B122" s="3" t="s">
        <v>52</v>
      </c>
      <c r="C122" s="3" t="s">
        <v>110</v>
      </c>
      <c r="D122" s="3"/>
      <c r="E122" s="3" t="s">
        <v>54</v>
      </c>
      <c r="F122" s="3" t="s">
        <v>36</v>
      </c>
      <c r="G122" s="3" t="s">
        <v>15</v>
      </c>
    </row>
    <row r="123" spans="1:7" ht="13.2" x14ac:dyDescent="0.25">
      <c r="A123" s="2">
        <v>45372</v>
      </c>
      <c r="B123" s="3" t="s">
        <v>55</v>
      </c>
      <c r="C123" s="3" t="s">
        <v>87</v>
      </c>
      <c r="D123" s="3"/>
      <c r="E123" s="3" t="s">
        <v>35</v>
      </c>
      <c r="F123" s="3" t="s">
        <v>36</v>
      </c>
      <c r="G123" s="3" t="s">
        <v>15</v>
      </c>
    </row>
    <row r="124" spans="1:7" ht="13.2" x14ac:dyDescent="0.25">
      <c r="A124" s="2">
        <v>45372</v>
      </c>
      <c r="B124" s="3" t="s">
        <v>11</v>
      </c>
      <c r="C124" s="3" t="s">
        <v>12</v>
      </c>
      <c r="D124" s="3"/>
      <c r="E124" s="3" t="s">
        <v>13</v>
      </c>
      <c r="F124" s="3" t="s">
        <v>14</v>
      </c>
      <c r="G124" s="3" t="s">
        <v>15</v>
      </c>
    </row>
    <row r="125" spans="1:7" ht="13.2" x14ac:dyDescent="0.25">
      <c r="A125" s="2">
        <v>45373</v>
      </c>
      <c r="B125" s="3" t="s">
        <v>11</v>
      </c>
      <c r="C125" s="3" t="s">
        <v>12</v>
      </c>
      <c r="D125" s="3"/>
      <c r="E125" s="3" t="s">
        <v>13</v>
      </c>
      <c r="F125" s="3" t="s">
        <v>14</v>
      </c>
      <c r="G125" s="3" t="s">
        <v>15</v>
      </c>
    </row>
    <row r="126" spans="1:7" ht="13.2" x14ac:dyDescent="0.25">
      <c r="A126" s="2">
        <v>45374</v>
      </c>
      <c r="B126" s="3" t="s">
        <v>11</v>
      </c>
      <c r="C126" s="3" t="s">
        <v>12</v>
      </c>
      <c r="D126" s="3"/>
      <c r="E126" s="3" t="s">
        <v>13</v>
      </c>
      <c r="F126" s="3" t="s">
        <v>14</v>
      </c>
      <c r="G126" s="3" t="s">
        <v>15</v>
      </c>
    </row>
    <row r="127" spans="1:7" ht="13.2" x14ac:dyDescent="0.25">
      <c r="A127" s="2">
        <v>45374</v>
      </c>
      <c r="B127" s="3" t="s">
        <v>24</v>
      </c>
      <c r="C127" s="3" t="s">
        <v>111</v>
      </c>
      <c r="D127" s="3"/>
      <c r="E127" s="3" t="s">
        <v>26</v>
      </c>
      <c r="F127" s="3" t="s">
        <v>19</v>
      </c>
      <c r="G127" s="3" t="s">
        <v>15</v>
      </c>
    </row>
    <row r="128" spans="1:7" ht="13.2" x14ac:dyDescent="0.25">
      <c r="A128" s="2">
        <v>45375</v>
      </c>
      <c r="B128" s="3" t="s">
        <v>58</v>
      </c>
      <c r="C128" s="3" t="s">
        <v>112</v>
      </c>
      <c r="D128" s="3"/>
      <c r="E128" s="3" t="s">
        <v>42</v>
      </c>
      <c r="F128" s="3" t="s">
        <v>14</v>
      </c>
      <c r="G128" s="3" t="s">
        <v>15</v>
      </c>
    </row>
    <row r="129" spans="1:7" ht="13.2" x14ac:dyDescent="0.25">
      <c r="A129" s="2">
        <v>45376</v>
      </c>
      <c r="B129" s="3" t="s">
        <v>60</v>
      </c>
      <c r="C129" s="3" t="s">
        <v>113</v>
      </c>
      <c r="D129" s="3"/>
      <c r="E129" s="3" t="s">
        <v>42</v>
      </c>
      <c r="F129" s="3" t="s">
        <v>14</v>
      </c>
      <c r="G129" s="3" t="s">
        <v>15</v>
      </c>
    </row>
    <row r="130" spans="1:7" ht="13.2" x14ac:dyDescent="0.25">
      <c r="A130" s="2">
        <v>45377</v>
      </c>
      <c r="B130" s="3" t="s">
        <v>62</v>
      </c>
      <c r="C130" s="3" t="s">
        <v>63</v>
      </c>
      <c r="D130" s="3"/>
      <c r="E130" s="3" t="s">
        <v>64</v>
      </c>
      <c r="F130" s="3" t="s">
        <v>65</v>
      </c>
      <c r="G130" s="3" t="s">
        <v>15</v>
      </c>
    </row>
    <row r="131" spans="1:7" ht="13.2" x14ac:dyDescent="0.25">
      <c r="A131" s="2">
        <v>45377</v>
      </c>
      <c r="B131" s="3" t="s">
        <v>30</v>
      </c>
      <c r="C131" s="3" t="s">
        <v>114</v>
      </c>
      <c r="D131" s="3"/>
      <c r="E131" s="3" t="s">
        <v>67</v>
      </c>
      <c r="F131" s="3" t="s">
        <v>23</v>
      </c>
      <c r="G131" s="3" t="s">
        <v>15</v>
      </c>
    </row>
    <row r="132" spans="1:7" ht="13.2" x14ac:dyDescent="0.25">
      <c r="A132" s="2">
        <v>45377</v>
      </c>
      <c r="B132" s="3" t="s">
        <v>11</v>
      </c>
      <c r="C132" s="3" t="s">
        <v>12</v>
      </c>
      <c r="D132" s="3"/>
      <c r="E132" s="3" t="s">
        <v>13</v>
      </c>
      <c r="F132" s="3" t="s">
        <v>14</v>
      </c>
      <c r="G132" s="3" t="s">
        <v>15</v>
      </c>
    </row>
    <row r="133" spans="1:7" ht="13.2" x14ac:dyDescent="0.25">
      <c r="A133" s="2">
        <v>45378</v>
      </c>
      <c r="B133" s="3" t="s">
        <v>11</v>
      </c>
      <c r="C133" s="3" t="s">
        <v>12</v>
      </c>
      <c r="D133" s="3"/>
      <c r="E133" s="3" t="s">
        <v>13</v>
      </c>
      <c r="F133" s="3" t="s">
        <v>14</v>
      </c>
      <c r="G133" s="3" t="s">
        <v>15</v>
      </c>
    </row>
    <row r="134" spans="1:7" ht="13.2" x14ac:dyDescent="0.25">
      <c r="A134" s="2">
        <v>45379</v>
      </c>
      <c r="B134" s="3" t="s">
        <v>11</v>
      </c>
      <c r="C134" s="3" t="s">
        <v>12</v>
      </c>
      <c r="D134" s="3"/>
      <c r="E134" s="3" t="s">
        <v>13</v>
      </c>
      <c r="F134" s="3" t="s">
        <v>14</v>
      </c>
      <c r="G134" s="3" t="s">
        <v>15</v>
      </c>
    </row>
    <row r="135" spans="1:7" ht="13.2" x14ac:dyDescent="0.25">
      <c r="A135" s="2">
        <v>45380</v>
      </c>
      <c r="B135" s="3" t="s">
        <v>11</v>
      </c>
      <c r="C135" s="3" t="s">
        <v>12</v>
      </c>
      <c r="D135" s="3"/>
      <c r="E135" s="3" t="s">
        <v>13</v>
      </c>
      <c r="F135" s="3" t="s">
        <v>14</v>
      </c>
      <c r="G135" s="3" t="s">
        <v>15</v>
      </c>
    </row>
    <row r="136" spans="1:7" ht="13.2" x14ac:dyDescent="0.25">
      <c r="A136" s="2">
        <v>45381</v>
      </c>
      <c r="B136" s="3" t="s">
        <v>11</v>
      </c>
      <c r="C136" s="3" t="s">
        <v>12</v>
      </c>
      <c r="D136" s="3"/>
      <c r="E136" s="3" t="s">
        <v>13</v>
      </c>
      <c r="F136" s="3" t="s">
        <v>14</v>
      </c>
      <c r="G136" s="3" t="s">
        <v>15</v>
      </c>
    </row>
    <row r="137" spans="1:7" ht="13.2" x14ac:dyDescent="0.25">
      <c r="A137" s="2">
        <v>45381</v>
      </c>
      <c r="B137" s="3" t="s">
        <v>24</v>
      </c>
      <c r="C137" s="3" t="s">
        <v>115</v>
      </c>
      <c r="D137" s="3"/>
      <c r="E137" s="3" t="s">
        <v>26</v>
      </c>
      <c r="F137" s="3" t="s">
        <v>19</v>
      </c>
      <c r="G137" s="3" t="s">
        <v>15</v>
      </c>
    </row>
    <row r="138" spans="1:7" ht="13.2" x14ac:dyDescent="0.25">
      <c r="A138" s="2">
        <v>45382</v>
      </c>
      <c r="B138" s="3" t="s">
        <v>69</v>
      </c>
      <c r="C138" s="3" t="s">
        <v>116</v>
      </c>
      <c r="D138" s="3"/>
      <c r="E138" s="3" t="s">
        <v>39</v>
      </c>
      <c r="F138" s="3" t="s">
        <v>36</v>
      </c>
      <c r="G138" s="3" t="s">
        <v>15</v>
      </c>
    </row>
    <row r="139" spans="1:7" ht="13.2" x14ac:dyDescent="0.25">
      <c r="A139" s="2">
        <v>45382</v>
      </c>
      <c r="B139" s="3" t="s">
        <v>117</v>
      </c>
      <c r="C139" s="3" t="s">
        <v>118</v>
      </c>
      <c r="D139" s="3"/>
      <c r="E139" s="3" t="s">
        <v>39</v>
      </c>
      <c r="F139" s="3" t="s">
        <v>36</v>
      </c>
      <c r="G139" s="3" t="s">
        <v>15</v>
      </c>
    </row>
    <row r="140" spans="1:7" ht="13.2" x14ac:dyDescent="0.25">
      <c r="A140" s="2">
        <v>45383</v>
      </c>
      <c r="B140" s="3" t="s">
        <v>37</v>
      </c>
      <c r="C140" s="3" t="s">
        <v>119</v>
      </c>
      <c r="D140" s="3"/>
      <c r="E140" s="3" t="s">
        <v>39</v>
      </c>
      <c r="F140" s="3" t="s">
        <v>36</v>
      </c>
      <c r="G140" s="3" t="s">
        <v>15</v>
      </c>
    </row>
    <row r="141" spans="1:7" ht="13.2" x14ac:dyDescent="0.25">
      <c r="A141" s="2">
        <v>45383</v>
      </c>
      <c r="B141" s="3" t="s">
        <v>43</v>
      </c>
      <c r="C141" s="3" t="s">
        <v>120</v>
      </c>
      <c r="D141" s="3"/>
      <c r="E141" s="3" t="s">
        <v>45</v>
      </c>
      <c r="F141" s="3" t="s">
        <v>23</v>
      </c>
      <c r="G141" s="3" t="s">
        <v>15</v>
      </c>
    </row>
    <row r="142" spans="1:7" ht="13.2" x14ac:dyDescent="0.25">
      <c r="A142" s="2">
        <v>45384</v>
      </c>
      <c r="B142" s="3" t="s">
        <v>121</v>
      </c>
      <c r="C142" s="3" t="s">
        <v>122</v>
      </c>
      <c r="D142" s="3"/>
      <c r="E142" s="3" t="s">
        <v>42</v>
      </c>
      <c r="F142" s="3" t="s">
        <v>14</v>
      </c>
      <c r="G142" s="3" t="s">
        <v>15</v>
      </c>
    </row>
    <row r="143" spans="1:7" ht="13.2" x14ac:dyDescent="0.25">
      <c r="A143" s="2">
        <v>45385</v>
      </c>
      <c r="B143" s="3" t="s">
        <v>11</v>
      </c>
      <c r="C143" s="3" t="s">
        <v>12</v>
      </c>
      <c r="D143" s="3"/>
      <c r="E143" s="3" t="s">
        <v>13</v>
      </c>
      <c r="F143" s="3" t="s">
        <v>14</v>
      </c>
      <c r="G143" s="3" t="s">
        <v>15</v>
      </c>
    </row>
    <row r="144" spans="1:7" ht="13.2" x14ac:dyDescent="0.25">
      <c r="A144" s="2">
        <v>45386</v>
      </c>
      <c r="B144" s="3" t="s">
        <v>11</v>
      </c>
      <c r="C144" s="3" t="s">
        <v>12</v>
      </c>
      <c r="D144" s="3"/>
      <c r="E144" s="3" t="s">
        <v>13</v>
      </c>
      <c r="F144" s="3" t="s">
        <v>14</v>
      </c>
      <c r="G144" s="3" t="s">
        <v>15</v>
      </c>
    </row>
    <row r="145" spans="1:7" ht="13.2" x14ac:dyDescent="0.25">
      <c r="A145" s="2">
        <v>45387</v>
      </c>
      <c r="B145" s="3" t="s">
        <v>7</v>
      </c>
      <c r="C145" s="3"/>
      <c r="D145" s="3" t="s">
        <v>8</v>
      </c>
      <c r="E145" s="3" t="s">
        <v>75</v>
      </c>
      <c r="F145" s="3" t="s">
        <v>9</v>
      </c>
      <c r="G145" s="3" t="s">
        <v>10</v>
      </c>
    </row>
    <row r="146" spans="1:7" ht="13.2" x14ac:dyDescent="0.25">
      <c r="A146" s="2">
        <v>45387</v>
      </c>
      <c r="B146" s="3" t="s">
        <v>11</v>
      </c>
      <c r="C146" s="3" t="s">
        <v>12</v>
      </c>
      <c r="D146" s="3"/>
      <c r="E146" s="3" t="s">
        <v>13</v>
      </c>
      <c r="F146" s="3" t="s">
        <v>14</v>
      </c>
      <c r="G146" s="3" t="s">
        <v>15</v>
      </c>
    </row>
    <row r="147" spans="1:7" ht="13.2" x14ac:dyDescent="0.25">
      <c r="A147" s="2">
        <v>45388</v>
      </c>
      <c r="B147" s="3" t="s">
        <v>16</v>
      </c>
      <c r="C147" s="3" t="s">
        <v>17</v>
      </c>
      <c r="D147" s="3"/>
      <c r="E147" s="3" t="s">
        <v>18</v>
      </c>
      <c r="F147" s="3" t="s">
        <v>19</v>
      </c>
      <c r="G147" s="3" t="s">
        <v>15</v>
      </c>
    </row>
    <row r="148" spans="1:7" ht="13.2" x14ac:dyDescent="0.25">
      <c r="A148" s="2">
        <v>45388</v>
      </c>
      <c r="B148" s="3" t="s">
        <v>20</v>
      </c>
      <c r="C148" s="3" t="s">
        <v>21</v>
      </c>
      <c r="D148" s="3"/>
      <c r="E148" s="3" t="s">
        <v>22</v>
      </c>
      <c r="F148" s="3" t="s">
        <v>23</v>
      </c>
      <c r="G148" s="3" t="s">
        <v>15</v>
      </c>
    </row>
    <row r="149" spans="1:7" ht="13.2" x14ac:dyDescent="0.25">
      <c r="A149" s="2">
        <v>45388</v>
      </c>
      <c r="B149" s="3" t="s">
        <v>11</v>
      </c>
      <c r="C149" s="3" t="s">
        <v>12</v>
      </c>
      <c r="D149" s="3"/>
      <c r="E149" s="3" t="s">
        <v>13</v>
      </c>
      <c r="F149" s="3" t="s">
        <v>14</v>
      </c>
      <c r="G149" s="3" t="s">
        <v>15</v>
      </c>
    </row>
    <row r="150" spans="1:7" ht="13.2" x14ac:dyDescent="0.25">
      <c r="A150" s="2">
        <v>45389</v>
      </c>
      <c r="B150" s="3" t="s">
        <v>11</v>
      </c>
      <c r="C150" s="3" t="s">
        <v>12</v>
      </c>
      <c r="D150" s="3"/>
      <c r="E150" s="3" t="s">
        <v>13</v>
      </c>
      <c r="F150" s="3" t="s">
        <v>14</v>
      </c>
      <c r="G150" s="3" t="s">
        <v>15</v>
      </c>
    </row>
    <row r="151" spans="1:7" ht="13.2" x14ac:dyDescent="0.25">
      <c r="A151" s="2">
        <v>45390</v>
      </c>
      <c r="B151" s="3" t="s">
        <v>11</v>
      </c>
      <c r="C151" s="3" t="s">
        <v>12</v>
      </c>
      <c r="D151" s="3"/>
      <c r="E151" s="3" t="s">
        <v>13</v>
      </c>
      <c r="F151" s="3" t="s">
        <v>14</v>
      </c>
      <c r="G151" s="3" t="s">
        <v>15</v>
      </c>
    </row>
    <row r="152" spans="1:7" ht="13.2" x14ac:dyDescent="0.25">
      <c r="A152" s="2">
        <v>45391</v>
      </c>
      <c r="B152" s="3" t="s">
        <v>11</v>
      </c>
      <c r="C152" s="3" t="s">
        <v>12</v>
      </c>
      <c r="D152" s="3"/>
      <c r="E152" s="3" t="s">
        <v>13</v>
      </c>
      <c r="F152" s="3" t="s">
        <v>14</v>
      </c>
      <c r="G152" s="3" t="s">
        <v>15</v>
      </c>
    </row>
    <row r="153" spans="1:7" ht="13.2" x14ac:dyDescent="0.25">
      <c r="A153" s="2">
        <v>45391</v>
      </c>
      <c r="B153" s="3" t="s">
        <v>24</v>
      </c>
      <c r="C153" s="3" t="s">
        <v>123</v>
      </c>
      <c r="D153" s="3"/>
      <c r="E153" s="3" t="s">
        <v>26</v>
      </c>
      <c r="F153" s="3" t="s">
        <v>19</v>
      </c>
      <c r="G153" s="3" t="s">
        <v>15</v>
      </c>
    </row>
    <row r="154" spans="1:7" ht="13.2" x14ac:dyDescent="0.25">
      <c r="A154" s="2">
        <v>45394</v>
      </c>
      <c r="B154" s="3" t="s">
        <v>27</v>
      </c>
      <c r="C154" s="3" t="s">
        <v>124</v>
      </c>
      <c r="D154" s="3"/>
      <c r="E154" s="3" t="s">
        <v>29</v>
      </c>
      <c r="F154" s="3" t="s">
        <v>19</v>
      </c>
      <c r="G154" s="3" t="s">
        <v>15</v>
      </c>
    </row>
    <row r="155" spans="1:7" ht="13.2" x14ac:dyDescent="0.25">
      <c r="A155" s="2">
        <v>45394</v>
      </c>
      <c r="B155" s="3" t="s">
        <v>11</v>
      </c>
      <c r="C155" s="3" t="s">
        <v>12</v>
      </c>
      <c r="D155" s="3"/>
      <c r="E155" s="3" t="s">
        <v>13</v>
      </c>
      <c r="F155" s="3" t="s">
        <v>14</v>
      </c>
      <c r="G155" s="3" t="s">
        <v>15</v>
      </c>
    </row>
    <row r="156" spans="1:7" ht="13.2" x14ac:dyDescent="0.25">
      <c r="A156" s="2">
        <v>45395</v>
      </c>
      <c r="B156" s="3" t="s">
        <v>11</v>
      </c>
      <c r="C156" s="3" t="s">
        <v>12</v>
      </c>
      <c r="D156" s="3"/>
      <c r="E156" s="3" t="s">
        <v>13</v>
      </c>
      <c r="F156" s="3" t="s">
        <v>14</v>
      </c>
      <c r="G156" s="3" t="s">
        <v>15</v>
      </c>
    </row>
    <row r="157" spans="1:7" ht="13.2" x14ac:dyDescent="0.25">
      <c r="A157" s="2">
        <v>45396</v>
      </c>
      <c r="B157" s="3" t="s">
        <v>30</v>
      </c>
      <c r="C157" s="3" t="s">
        <v>125</v>
      </c>
      <c r="D157" s="3"/>
      <c r="E157" s="3" t="s">
        <v>67</v>
      </c>
      <c r="F157" s="3" t="s">
        <v>23</v>
      </c>
      <c r="G157" s="3" t="s">
        <v>15</v>
      </c>
    </row>
    <row r="158" spans="1:7" ht="13.2" x14ac:dyDescent="0.25">
      <c r="A158" s="2">
        <v>45396</v>
      </c>
      <c r="B158" s="3" t="s">
        <v>11</v>
      </c>
      <c r="C158" s="3" t="s">
        <v>12</v>
      </c>
      <c r="D158" s="3"/>
      <c r="E158" s="3" t="s">
        <v>13</v>
      </c>
      <c r="F158" s="3" t="s">
        <v>14</v>
      </c>
      <c r="G158" s="3" t="s">
        <v>15</v>
      </c>
    </row>
    <row r="159" spans="1:7" ht="13.2" x14ac:dyDescent="0.25">
      <c r="A159" s="2">
        <v>45397</v>
      </c>
      <c r="B159" s="3" t="s">
        <v>11</v>
      </c>
      <c r="C159" s="3" t="s">
        <v>12</v>
      </c>
      <c r="D159" s="3"/>
      <c r="E159" s="3" t="s">
        <v>13</v>
      </c>
      <c r="F159" s="3" t="s">
        <v>14</v>
      </c>
      <c r="G159" s="3" t="s">
        <v>15</v>
      </c>
    </row>
    <row r="160" spans="1:7" ht="13.2" x14ac:dyDescent="0.25">
      <c r="A160" s="2">
        <v>45398</v>
      </c>
      <c r="B160" s="3" t="s">
        <v>24</v>
      </c>
      <c r="C160" s="3" t="s">
        <v>38</v>
      </c>
      <c r="D160" s="3"/>
      <c r="E160" s="3" t="s">
        <v>26</v>
      </c>
      <c r="F160" s="3" t="s">
        <v>19</v>
      </c>
      <c r="G160" s="3" t="s">
        <v>15</v>
      </c>
    </row>
    <row r="161" spans="1:7" ht="13.2" x14ac:dyDescent="0.25">
      <c r="A161" s="2">
        <v>45398</v>
      </c>
      <c r="B161" s="3" t="s">
        <v>11</v>
      </c>
      <c r="C161" s="3" t="s">
        <v>12</v>
      </c>
      <c r="D161" s="3"/>
      <c r="E161" s="3" t="s">
        <v>13</v>
      </c>
      <c r="F161" s="3" t="s">
        <v>14</v>
      </c>
      <c r="G161" s="3" t="s">
        <v>15</v>
      </c>
    </row>
    <row r="162" spans="1:7" ht="13.2" x14ac:dyDescent="0.25">
      <c r="A162" s="2">
        <v>45399</v>
      </c>
      <c r="B162" s="3" t="s">
        <v>11</v>
      </c>
      <c r="C162" s="3" t="s">
        <v>12</v>
      </c>
      <c r="D162" s="3"/>
      <c r="E162" s="3" t="s">
        <v>13</v>
      </c>
      <c r="F162" s="3" t="s">
        <v>14</v>
      </c>
      <c r="G162" s="3" t="s">
        <v>15</v>
      </c>
    </row>
    <row r="163" spans="1:7" ht="13.2" x14ac:dyDescent="0.25">
      <c r="A163" s="2">
        <v>45399</v>
      </c>
      <c r="B163" s="3" t="s">
        <v>33</v>
      </c>
      <c r="C163" s="3" t="s">
        <v>126</v>
      </c>
      <c r="D163" s="3"/>
      <c r="E163" s="3" t="s">
        <v>35</v>
      </c>
      <c r="F163" s="3" t="s">
        <v>36</v>
      </c>
      <c r="G163" s="3" t="s">
        <v>15</v>
      </c>
    </row>
    <row r="164" spans="1:7" ht="13.2" x14ac:dyDescent="0.25">
      <c r="A164" s="2">
        <v>45399</v>
      </c>
      <c r="B164" s="3" t="s">
        <v>81</v>
      </c>
      <c r="C164" s="3" t="s">
        <v>127</v>
      </c>
      <c r="D164" s="3"/>
      <c r="E164" s="3" t="s">
        <v>39</v>
      </c>
      <c r="F164" s="3" t="s">
        <v>36</v>
      </c>
      <c r="G164" s="3" t="s">
        <v>15</v>
      </c>
    </row>
    <row r="165" spans="1:7" ht="13.2" x14ac:dyDescent="0.25">
      <c r="A165" s="2">
        <v>45399</v>
      </c>
      <c r="B165" s="3" t="s">
        <v>40</v>
      </c>
      <c r="C165" s="3" t="s">
        <v>128</v>
      </c>
      <c r="D165" s="3"/>
      <c r="E165" s="3" t="s">
        <v>42</v>
      </c>
      <c r="F165" s="3" t="s">
        <v>14</v>
      </c>
      <c r="G165" s="3" t="s">
        <v>15</v>
      </c>
    </row>
    <row r="166" spans="1:7" ht="13.2" x14ac:dyDescent="0.25">
      <c r="A166" s="2">
        <v>45400</v>
      </c>
      <c r="B166" s="3" t="s">
        <v>43</v>
      </c>
      <c r="C166" s="3" t="s">
        <v>129</v>
      </c>
      <c r="D166" s="3"/>
      <c r="E166" s="3" t="s">
        <v>45</v>
      </c>
      <c r="F166" s="3" t="s">
        <v>23</v>
      </c>
      <c r="G166" s="3" t="s">
        <v>15</v>
      </c>
    </row>
    <row r="167" spans="1:7" ht="13.2" x14ac:dyDescent="0.25">
      <c r="A167" s="2">
        <v>45401</v>
      </c>
      <c r="B167" s="3" t="s">
        <v>46</v>
      </c>
      <c r="C167" s="3"/>
      <c r="D167" s="3" t="s">
        <v>130</v>
      </c>
      <c r="E167" s="3" t="s">
        <v>48</v>
      </c>
      <c r="F167" s="3" t="s">
        <v>49</v>
      </c>
      <c r="G167" s="3" t="s">
        <v>10</v>
      </c>
    </row>
    <row r="168" spans="1:7" ht="13.2" x14ac:dyDescent="0.25">
      <c r="A168" s="2">
        <v>45401</v>
      </c>
      <c r="B168" s="3" t="s">
        <v>11</v>
      </c>
      <c r="C168" s="3" t="s">
        <v>12</v>
      </c>
      <c r="D168" s="3"/>
      <c r="E168" s="3" t="s">
        <v>13</v>
      </c>
      <c r="F168" s="3" t="s">
        <v>14</v>
      </c>
      <c r="G168" s="3" t="s">
        <v>15</v>
      </c>
    </row>
    <row r="169" spans="1:7" ht="13.2" x14ac:dyDescent="0.25">
      <c r="A169" s="2">
        <v>45402</v>
      </c>
      <c r="B169" s="3" t="s">
        <v>11</v>
      </c>
      <c r="C169" s="3" t="s">
        <v>12</v>
      </c>
      <c r="D169" s="3"/>
      <c r="E169" s="3" t="s">
        <v>13</v>
      </c>
      <c r="F169" s="3" t="s">
        <v>14</v>
      </c>
      <c r="G169" s="3" t="s">
        <v>15</v>
      </c>
    </row>
    <row r="170" spans="1:7" ht="13.2" x14ac:dyDescent="0.25">
      <c r="A170" s="2">
        <v>45402</v>
      </c>
      <c r="B170" s="3" t="s">
        <v>51</v>
      </c>
      <c r="C170" s="3" t="s">
        <v>34</v>
      </c>
      <c r="D170" s="3"/>
      <c r="E170" s="3" t="s">
        <v>51</v>
      </c>
      <c r="F170" s="3" t="s">
        <v>19</v>
      </c>
      <c r="G170" s="3" t="s">
        <v>15</v>
      </c>
    </row>
    <row r="171" spans="1:7" ht="13.2" x14ac:dyDescent="0.25">
      <c r="A171" s="2">
        <v>45403</v>
      </c>
      <c r="B171" s="3" t="s">
        <v>52</v>
      </c>
      <c r="C171" s="3" t="s">
        <v>131</v>
      </c>
      <c r="D171" s="3"/>
      <c r="E171" s="3" t="s">
        <v>54</v>
      </c>
      <c r="F171" s="3" t="s">
        <v>36</v>
      </c>
      <c r="G171" s="3" t="s">
        <v>15</v>
      </c>
    </row>
    <row r="172" spans="1:7" ht="13.2" x14ac:dyDescent="0.25">
      <c r="A172" s="2">
        <v>45403</v>
      </c>
      <c r="B172" s="3" t="s">
        <v>55</v>
      </c>
      <c r="C172" s="3" t="s">
        <v>87</v>
      </c>
      <c r="D172" s="3"/>
      <c r="E172" s="3" t="s">
        <v>35</v>
      </c>
      <c r="F172" s="3" t="s">
        <v>36</v>
      </c>
      <c r="G172" s="3" t="s">
        <v>15</v>
      </c>
    </row>
    <row r="173" spans="1:7" ht="13.2" x14ac:dyDescent="0.25">
      <c r="A173" s="2">
        <v>45403</v>
      </c>
      <c r="B173" s="3" t="s">
        <v>11</v>
      </c>
      <c r="C173" s="3" t="s">
        <v>12</v>
      </c>
      <c r="D173" s="3"/>
      <c r="E173" s="3" t="s">
        <v>13</v>
      </c>
      <c r="F173" s="3" t="s">
        <v>14</v>
      </c>
      <c r="G173" s="3" t="s">
        <v>15</v>
      </c>
    </row>
    <row r="174" spans="1:7" ht="13.2" x14ac:dyDescent="0.25">
      <c r="A174" s="2">
        <v>45404</v>
      </c>
      <c r="B174" s="3" t="s">
        <v>11</v>
      </c>
      <c r="C174" s="3" t="s">
        <v>12</v>
      </c>
      <c r="D174" s="3"/>
      <c r="E174" s="3" t="s">
        <v>13</v>
      </c>
      <c r="F174" s="3" t="s">
        <v>14</v>
      </c>
      <c r="G174" s="3" t="s">
        <v>15</v>
      </c>
    </row>
    <row r="175" spans="1:7" ht="13.2" x14ac:dyDescent="0.25">
      <c r="A175" s="2">
        <v>45405</v>
      </c>
      <c r="B175" s="3" t="s">
        <v>11</v>
      </c>
      <c r="C175" s="3" t="s">
        <v>12</v>
      </c>
      <c r="D175" s="3"/>
      <c r="E175" s="3" t="s">
        <v>13</v>
      </c>
      <c r="F175" s="3" t="s">
        <v>14</v>
      </c>
      <c r="G175" s="3" t="s">
        <v>15</v>
      </c>
    </row>
    <row r="176" spans="1:7" ht="13.2" x14ac:dyDescent="0.25">
      <c r="A176" s="2">
        <v>45405</v>
      </c>
      <c r="B176" s="3" t="s">
        <v>24</v>
      </c>
      <c r="C176" s="3" t="s">
        <v>132</v>
      </c>
      <c r="D176" s="3"/>
      <c r="E176" s="3" t="s">
        <v>26</v>
      </c>
      <c r="F176" s="3" t="s">
        <v>19</v>
      </c>
      <c r="G176" s="3" t="s">
        <v>15</v>
      </c>
    </row>
    <row r="177" spans="1:7" ht="13.2" x14ac:dyDescent="0.25">
      <c r="A177" s="2">
        <v>45406</v>
      </c>
      <c r="B177" s="3" t="s">
        <v>58</v>
      </c>
      <c r="C177" s="3" t="s">
        <v>133</v>
      </c>
      <c r="D177" s="3"/>
      <c r="E177" s="3" t="s">
        <v>42</v>
      </c>
      <c r="F177" s="3" t="s">
        <v>14</v>
      </c>
      <c r="G177" s="3" t="s">
        <v>15</v>
      </c>
    </row>
    <row r="178" spans="1:7" ht="13.2" x14ac:dyDescent="0.25">
      <c r="A178" s="2">
        <v>45407</v>
      </c>
      <c r="B178" s="3" t="s">
        <v>60</v>
      </c>
      <c r="C178" s="3" t="s">
        <v>134</v>
      </c>
      <c r="D178" s="3"/>
      <c r="E178" s="3" t="s">
        <v>42</v>
      </c>
      <c r="F178" s="3" t="s">
        <v>14</v>
      </c>
      <c r="G178" s="3" t="s">
        <v>15</v>
      </c>
    </row>
    <row r="179" spans="1:7" ht="13.2" x14ac:dyDescent="0.25">
      <c r="A179" s="2">
        <v>45408</v>
      </c>
      <c r="B179" s="3" t="s">
        <v>62</v>
      </c>
      <c r="C179" s="3" t="s">
        <v>63</v>
      </c>
      <c r="D179" s="3"/>
      <c r="E179" s="3" t="s">
        <v>64</v>
      </c>
      <c r="F179" s="3" t="s">
        <v>65</v>
      </c>
      <c r="G179" s="3" t="s">
        <v>15</v>
      </c>
    </row>
    <row r="180" spans="1:7" ht="13.2" x14ac:dyDescent="0.25">
      <c r="A180" s="2">
        <v>45408</v>
      </c>
      <c r="B180" s="3" t="s">
        <v>30</v>
      </c>
      <c r="C180" s="3" t="s">
        <v>135</v>
      </c>
      <c r="D180" s="3"/>
      <c r="E180" s="3" t="s">
        <v>67</v>
      </c>
      <c r="F180" s="3" t="s">
        <v>23</v>
      </c>
      <c r="G180" s="3" t="s">
        <v>15</v>
      </c>
    </row>
    <row r="181" spans="1:7" ht="13.2" x14ac:dyDescent="0.25">
      <c r="A181" s="2">
        <v>45408</v>
      </c>
      <c r="B181" s="3" t="s">
        <v>11</v>
      </c>
      <c r="C181" s="3" t="s">
        <v>12</v>
      </c>
      <c r="D181" s="3"/>
      <c r="E181" s="3" t="s">
        <v>13</v>
      </c>
      <c r="F181" s="3" t="s">
        <v>14</v>
      </c>
      <c r="G181" s="3" t="s">
        <v>15</v>
      </c>
    </row>
    <row r="182" spans="1:7" ht="13.2" x14ac:dyDescent="0.25">
      <c r="A182" s="2">
        <v>45409</v>
      </c>
      <c r="B182" s="3" t="s">
        <v>11</v>
      </c>
      <c r="C182" s="3" t="s">
        <v>12</v>
      </c>
      <c r="D182" s="3"/>
      <c r="E182" s="3" t="s">
        <v>13</v>
      </c>
      <c r="F182" s="3" t="s">
        <v>14</v>
      </c>
      <c r="G182" s="3" t="s">
        <v>15</v>
      </c>
    </row>
    <row r="183" spans="1:7" ht="13.2" x14ac:dyDescent="0.25">
      <c r="A183" s="2">
        <v>45410</v>
      </c>
      <c r="B183" s="3" t="s">
        <v>11</v>
      </c>
      <c r="C183" s="3" t="s">
        <v>12</v>
      </c>
      <c r="D183" s="3"/>
      <c r="E183" s="3" t="s">
        <v>13</v>
      </c>
      <c r="F183" s="3" t="s">
        <v>14</v>
      </c>
      <c r="G183" s="3" t="s">
        <v>15</v>
      </c>
    </row>
    <row r="184" spans="1:7" ht="13.2" x14ac:dyDescent="0.25">
      <c r="A184" s="2">
        <v>45411</v>
      </c>
      <c r="B184" s="3" t="s">
        <v>11</v>
      </c>
      <c r="C184" s="3" t="s">
        <v>12</v>
      </c>
      <c r="D184" s="3"/>
      <c r="E184" s="3" t="s">
        <v>13</v>
      </c>
      <c r="F184" s="3" t="s">
        <v>14</v>
      </c>
      <c r="G184" s="3" t="s">
        <v>15</v>
      </c>
    </row>
    <row r="185" spans="1:7" ht="13.2" x14ac:dyDescent="0.25">
      <c r="A185" s="2">
        <v>45412</v>
      </c>
      <c r="B185" s="3" t="s">
        <v>11</v>
      </c>
      <c r="C185" s="3" t="s">
        <v>12</v>
      </c>
      <c r="D185" s="3"/>
      <c r="E185" s="3" t="s">
        <v>13</v>
      </c>
      <c r="F185" s="3" t="s">
        <v>14</v>
      </c>
      <c r="G185" s="3" t="s">
        <v>15</v>
      </c>
    </row>
    <row r="186" spans="1:7" ht="13.2" x14ac:dyDescent="0.25">
      <c r="A186" s="2">
        <v>45412</v>
      </c>
      <c r="B186" s="3" t="s">
        <v>24</v>
      </c>
      <c r="C186" s="3" t="s">
        <v>136</v>
      </c>
      <c r="D186" s="3"/>
      <c r="E186" s="3" t="s">
        <v>26</v>
      </c>
      <c r="F186" s="3" t="s">
        <v>19</v>
      </c>
      <c r="G186" s="3" t="s">
        <v>15</v>
      </c>
    </row>
    <row r="187" spans="1:7" ht="13.2" x14ac:dyDescent="0.25">
      <c r="A187" s="2">
        <v>45413</v>
      </c>
      <c r="B187" s="3" t="s">
        <v>69</v>
      </c>
      <c r="C187" s="3" t="s">
        <v>137</v>
      </c>
      <c r="D187" s="3"/>
      <c r="E187" s="3" t="s">
        <v>39</v>
      </c>
      <c r="F187" s="3" t="s">
        <v>36</v>
      </c>
      <c r="G187" s="3" t="s">
        <v>15</v>
      </c>
    </row>
    <row r="188" spans="1:7" ht="13.2" x14ac:dyDescent="0.25">
      <c r="A188" s="2">
        <v>45413</v>
      </c>
      <c r="B188" s="3" t="s">
        <v>138</v>
      </c>
      <c r="C188" s="3" t="s">
        <v>139</v>
      </c>
      <c r="D188" s="3"/>
      <c r="E188" s="3" t="s">
        <v>35</v>
      </c>
      <c r="F188" s="3" t="s">
        <v>36</v>
      </c>
      <c r="G188" s="3" t="s">
        <v>15</v>
      </c>
    </row>
    <row r="189" spans="1:7" ht="13.2" x14ac:dyDescent="0.25">
      <c r="A189" s="2">
        <v>45414</v>
      </c>
      <c r="B189" s="3" t="s">
        <v>37</v>
      </c>
      <c r="C189" s="3" t="s">
        <v>140</v>
      </c>
      <c r="D189" s="3"/>
      <c r="E189" s="3" t="s">
        <v>39</v>
      </c>
      <c r="F189" s="3" t="s">
        <v>36</v>
      </c>
      <c r="G189" s="3" t="s">
        <v>15</v>
      </c>
    </row>
    <row r="190" spans="1:7" ht="13.2" x14ac:dyDescent="0.25">
      <c r="A190" s="2">
        <v>45414</v>
      </c>
      <c r="B190" s="3" t="s">
        <v>43</v>
      </c>
      <c r="C190" s="3" t="s">
        <v>141</v>
      </c>
      <c r="D190" s="3"/>
      <c r="E190" s="3" t="s">
        <v>45</v>
      </c>
      <c r="F190" s="3" t="s">
        <v>23</v>
      </c>
      <c r="G190" s="3" t="s">
        <v>15</v>
      </c>
    </row>
    <row r="191" spans="1:7" ht="13.2" x14ac:dyDescent="0.25">
      <c r="A191" s="2">
        <v>45415</v>
      </c>
      <c r="B191" s="3" t="s">
        <v>121</v>
      </c>
      <c r="C191" s="3" t="s">
        <v>122</v>
      </c>
      <c r="D191" s="3"/>
      <c r="E191" s="3" t="s">
        <v>42</v>
      </c>
      <c r="F191" s="3" t="s">
        <v>14</v>
      </c>
      <c r="G191" s="3" t="s">
        <v>15</v>
      </c>
    </row>
    <row r="192" spans="1:7" ht="13.2" x14ac:dyDescent="0.25">
      <c r="A192" s="2">
        <v>45415</v>
      </c>
      <c r="B192" s="3" t="s">
        <v>11</v>
      </c>
      <c r="C192" s="3" t="s">
        <v>12</v>
      </c>
      <c r="D192" s="3"/>
      <c r="E192" s="3" t="s">
        <v>13</v>
      </c>
      <c r="F192" s="3" t="s">
        <v>14</v>
      </c>
      <c r="G192" s="3" t="s">
        <v>15</v>
      </c>
    </row>
    <row r="193" spans="1:7" ht="13.2" x14ac:dyDescent="0.25">
      <c r="A193" s="2">
        <v>45416</v>
      </c>
      <c r="B193" s="3" t="s">
        <v>11</v>
      </c>
      <c r="C193" s="3" t="s">
        <v>12</v>
      </c>
      <c r="D193" s="3"/>
      <c r="E193" s="3" t="s">
        <v>13</v>
      </c>
      <c r="F193" s="3" t="s">
        <v>14</v>
      </c>
      <c r="G193" s="3" t="s">
        <v>15</v>
      </c>
    </row>
    <row r="194" spans="1:7" ht="13.2" x14ac:dyDescent="0.25">
      <c r="A194" s="2">
        <v>45418</v>
      </c>
      <c r="B194" s="3" t="s">
        <v>11</v>
      </c>
      <c r="C194" s="3" t="s">
        <v>12</v>
      </c>
      <c r="D194" s="3"/>
      <c r="E194" s="3" t="s">
        <v>13</v>
      </c>
      <c r="F194" s="3" t="s">
        <v>14</v>
      </c>
      <c r="G194" s="3" t="s">
        <v>15</v>
      </c>
    </row>
    <row r="195" spans="1:7" ht="13.2" x14ac:dyDescent="0.25">
      <c r="A195" s="2">
        <v>45419</v>
      </c>
      <c r="B195" s="3" t="s">
        <v>7</v>
      </c>
      <c r="C195" s="3"/>
      <c r="D195" s="3" t="s">
        <v>8</v>
      </c>
      <c r="E195" s="3" t="s">
        <v>75</v>
      </c>
      <c r="F195" s="3" t="s">
        <v>9</v>
      </c>
      <c r="G195" s="3" t="s">
        <v>10</v>
      </c>
    </row>
    <row r="196" spans="1:7" ht="13.2" x14ac:dyDescent="0.25">
      <c r="A196" s="2">
        <v>45419</v>
      </c>
      <c r="B196" s="3" t="s">
        <v>16</v>
      </c>
      <c r="C196" s="3" t="s">
        <v>17</v>
      </c>
      <c r="D196" s="3"/>
      <c r="E196" s="3" t="s">
        <v>18</v>
      </c>
      <c r="F196" s="3" t="s">
        <v>19</v>
      </c>
      <c r="G196" s="3" t="s">
        <v>15</v>
      </c>
    </row>
    <row r="197" spans="1:7" ht="13.2" x14ac:dyDescent="0.25">
      <c r="A197" s="2">
        <v>45419</v>
      </c>
      <c r="B197" s="3" t="s">
        <v>20</v>
      </c>
      <c r="C197" s="3" t="s">
        <v>21</v>
      </c>
      <c r="D197" s="3"/>
      <c r="E197" s="3" t="s">
        <v>22</v>
      </c>
      <c r="F197" s="3" t="s">
        <v>23</v>
      </c>
      <c r="G197" s="3" t="s">
        <v>15</v>
      </c>
    </row>
    <row r="198" spans="1:7" ht="13.2" x14ac:dyDescent="0.25">
      <c r="A198" s="2">
        <v>45419</v>
      </c>
      <c r="B198" s="3" t="s">
        <v>11</v>
      </c>
      <c r="C198" s="3" t="s">
        <v>12</v>
      </c>
      <c r="D198" s="3"/>
      <c r="E198" s="3" t="s">
        <v>13</v>
      </c>
      <c r="F198" s="3" t="s">
        <v>14</v>
      </c>
      <c r="G198" s="3" t="s">
        <v>15</v>
      </c>
    </row>
    <row r="199" spans="1:7" ht="13.2" x14ac:dyDescent="0.25">
      <c r="A199" s="2">
        <v>45420</v>
      </c>
      <c r="B199" s="3" t="s">
        <v>11</v>
      </c>
      <c r="C199" s="3" t="s">
        <v>12</v>
      </c>
      <c r="D199" s="3"/>
      <c r="E199" s="3" t="s">
        <v>13</v>
      </c>
      <c r="F199" s="3" t="s">
        <v>14</v>
      </c>
      <c r="G199" s="3" t="s">
        <v>15</v>
      </c>
    </row>
    <row r="200" spans="1:7" ht="13.2" x14ac:dyDescent="0.25">
      <c r="A200" s="2">
        <v>45421</v>
      </c>
      <c r="B200" s="3" t="s">
        <v>11</v>
      </c>
      <c r="C200" s="3" t="s">
        <v>12</v>
      </c>
      <c r="D200" s="3"/>
      <c r="E200" s="3" t="s">
        <v>13</v>
      </c>
      <c r="F200" s="3" t="s">
        <v>14</v>
      </c>
      <c r="G200" s="3" t="s">
        <v>15</v>
      </c>
    </row>
    <row r="201" spans="1:7" ht="13.2" x14ac:dyDescent="0.25">
      <c r="A201" s="2">
        <v>45422</v>
      </c>
      <c r="B201" s="3" t="s">
        <v>11</v>
      </c>
      <c r="C201" s="3" t="s">
        <v>12</v>
      </c>
      <c r="D201" s="3"/>
      <c r="E201" s="3" t="s">
        <v>13</v>
      </c>
      <c r="F201" s="3" t="s">
        <v>14</v>
      </c>
      <c r="G201" s="3" t="s">
        <v>15</v>
      </c>
    </row>
    <row r="202" spans="1:7" ht="13.2" x14ac:dyDescent="0.25">
      <c r="A202" s="2">
        <v>45422</v>
      </c>
      <c r="B202" s="3" t="s">
        <v>24</v>
      </c>
      <c r="C202" s="3" t="s">
        <v>57</v>
      </c>
      <c r="D202" s="3"/>
      <c r="E202" s="3" t="s">
        <v>26</v>
      </c>
      <c r="F202" s="3" t="s">
        <v>19</v>
      </c>
      <c r="G202" s="3" t="s">
        <v>15</v>
      </c>
    </row>
    <row r="203" spans="1:7" ht="13.2" x14ac:dyDescent="0.25">
      <c r="A203" s="2">
        <v>45425</v>
      </c>
      <c r="B203" s="3" t="s">
        <v>27</v>
      </c>
      <c r="C203" s="3" t="s">
        <v>142</v>
      </c>
      <c r="D203" s="3"/>
      <c r="E203" s="3" t="s">
        <v>29</v>
      </c>
      <c r="F203" s="3" t="s">
        <v>19</v>
      </c>
      <c r="G203" s="3" t="s">
        <v>15</v>
      </c>
    </row>
    <row r="204" spans="1:7" ht="13.2" x14ac:dyDescent="0.25">
      <c r="A204" s="2">
        <v>45425</v>
      </c>
      <c r="B204" s="3" t="s">
        <v>11</v>
      </c>
      <c r="C204" s="3" t="s">
        <v>12</v>
      </c>
      <c r="D204" s="3"/>
      <c r="E204" s="3" t="s">
        <v>13</v>
      </c>
      <c r="F204" s="3" t="s">
        <v>14</v>
      </c>
      <c r="G204" s="3" t="s">
        <v>15</v>
      </c>
    </row>
    <row r="205" spans="1:7" ht="13.2" x14ac:dyDescent="0.25">
      <c r="A205" s="2">
        <v>45426</v>
      </c>
      <c r="B205" s="3" t="s">
        <v>11</v>
      </c>
      <c r="C205" s="3" t="s">
        <v>12</v>
      </c>
      <c r="D205" s="3"/>
      <c r="E205" s="3" t="s">
        <v>13</v>
      </c>
      <c r="F205" s="3" t="s">
        <v>14</v>
      </c>
      <c r="G205" s="3" t="s">
        <v>15</v>
      </c>
    </row>
    <row r="206" spans="1:7" ht="13.2" x14ac:dyDescent="0.25">
      <c r="A206" s="2">
        <v>45427</v>
      </c>
      <c r="B206" s="3" t="s">
        <v>30</v>
      </c>
      <c r="C206" s="3" t="s">
        <v>143</v>
      </c>
      <c r="D206" s="3"/>
      <c r="E206" s="3" t="s">
        <v>67</v>
      </c>
      <c r="F206" s="3" t="s">
        <v>23</v>
      </c>
      <c r="G206" s="3" t="s">
        <v>15</v>
      </c>
    </row>
    <row r="207" spans="1:7" ht="13.2" x14ac:dyDescent="0.25">
      <c r="A207" s="2">
        <v>45427</v>
      </c>
      <c r="B207" s="3" t="s">
        <v>11</v>
      </c>
      <c r="C207" s="3" t="s">
        <v>12</v>
      </c>
      <c r="D207" s="3"/>
      <c r="E207" s="3" t="s">
        <v>13</v>
      </c>
      <c r="F207" s="3" t="s">
        <v>14</v>
      </c>
      <c r="G207" s="3" t="s">
        <v>15</v>
      </c>
    </row>
    <row r="208" spans="1:7" ht="13.2" x14ac:dyDescent="0.25">
      <c r="A208" s="2">
        <v>45428</v>
      </c>
      <c r="B208" s="3" t="s">
        <v>11</v>
      </c>
      <c r="C208" s="3" t="s">
        <v>12</v>
      </c>
      <c r="D208" s="3"/>
      <c r="E208" s="3" t="s">
        <v>13</v>
      </c>
      <c r="F208" s="3" t="s">
        <v>14</v>
      </c>
      <c r="G208" s="3" t="s">
        <v>15</v>
      </c>
    </row>
    <row r="209" spans="1:7" ht="13.2" x14ac:dyDescent="0.25">
      <c r="A209" s="2">
        <v>45429</v>
      </c>
      <c r="B209" s="3" t="s">
        <v>24</v>
      </c>
      <c r="C209" s="3" t="s">
        <v>144</v>
      </c>
      <c r="D209" s="3"/>
      <c r="E209" s="3" t="s">
        <v>26</v>
      </c>
      <c r="F209" s="3" t="s">
        <v>19</v>
      </c>
      <c r="G209" s="3" t="s">
        <v>15</v>
      </c>
    </row>
    <row r="210" spans="1:7" ht="13.2" x14ac:dyDescent="0.25">
      <c r="A210" s="2">
        <v>45429</v>
      </c>
      <c r="B210" s="3" t="s">
        <v>11</v>
      </c>
      <c r="C210" s="3" t="s">
        <v>12</v>
      </c>
      <c r="D210" s="3"/>
      <c r="E210" s="3" t="s">
        <v>13</v>
      </c>
      <c r="F210" s="3" t="s">
        <v>14</v>
      </c>
      <c r="G210" s="3" t="s">
        <v>15</v>
      </c>
    </row>
    <row r="211" spans="1:7" ht="13.2" x14ac:dyDescent="0.25">
      <c r="A211" s="2">
        <v>45430</v>
      </c>
      <c r="B211" s="3" t="s">
        <v>11</v>
      </c>
      <c r="C211" s="3" t="s">
        <v>12</v>
      </c>
      <c r="D211" s="3"/>
      <c r="E211" s="3" t="s">
        <v>13</v>
      </c>
      <c r="F211" s="3" t="s">
        <v>14</v>
      </c>
      <c r="G211" s="3" t="s">
        <v>15</v>
      </c>
    </row>
    <row r="212" spans="1:7" ht="13.2" x14ac:dyDescent="0.25">
      <c r="A212" s="2">
        <v>45430</v>
      </c>
      <c r="B212" s="3" t="s">
        <v>33</v>
      </c>
      <c r="C212" s="3" t="s">
        <v>145</v>
      </c>
      <c r="D212" s="3"/>
      <c r="E212" s="3" t="s">
        <v>35</v>
      </c>
      <c r="F212" s="3" t="s">
        <v>36</v>
      </c>
      <c r="G212" s="3" t="s">
        <v>15</v>
      </c>
    </row>
    <row r="213" spans="1:7" ht="13.2" x14ac:dyDescent="0.25">
      <c r="A213" s="2">
        <v>45430</v>
      </c>
      <c r="B213" s="3" t="s">
        <v>81</v>
      </c>
      <c r="C213" s="3" t="s">
        <v>146</v>
      </c>
      <c r="D213" s="3"/>
      <c r="E213" s="3" t="s">
        <v>39</v>
      </c>
      <c r="F213" s="3" t="s">
        <v>36</v>
      </c>
      <c r="G213" s="3" t="s">
        <v>15</v>
      </c>
    </row>
    <row r="214" spans="1:7" ht="13.2" x14ac:dyDescent="0.25">
      <c r="A214" s="2">
        <v>45430</v>
      </c>
      <c r="B214" s="3" t="s">
        <v>40</v>
      </c>
      <c r="C214" s="3" t="s">
        <v>147</v>
      </c>
      <c r="D214" s="3"/>
      <c r="E214" s="3" t="s">
        <v>42</v>
      </c>
      <c r="F214" s="3" t="s">
        <v>14</v>
      </c>
      <c r="G214" s="3" t="s">
        <v>15</v>
      </c>
    </row>
    <row r="215" spans="1:7" ht="13.2" x14ac:dyDescent="0.25">
      <c r="A215" s="2">
        <v>45431</v>
      </c>
      <c r="B215" s="3" t="s">
        <v>43</v>
      </c>
      <c r="C215" s="3" t="s">
        <v>56</v>
      </c>
      <c r="D215" s="3"/>
      <c r="E215" s="3" t="s">
        <v>45</v>
      </c>
      <c r="F215" s="3" t="s">
        <v>23</v>
      </c>
      <c r="G215" s="3" t="s">
        <v>15</v>
      </c>
    </row>
    <row r="216" spans="1:7" ht="13.2" x14ac:dyDescent="0.25">
      <c r="A216" s="2">
        <v>45432</v>
      </c>
      <c r="B216" s="3" t="s">
        <v>46</v>
      </c>
      <c r="C216" s="3"/>
      <c r="D216" s="3" t="s">
        <v>105</v>
      </c>
      <c r="E216" s="3" t="s">
        <v>48</v>
      </c>
      <c r="F216" s="3" t="s">
        <v>49</v>
      </c>
      <c r="G216" s="3" t="s">
        <v>10</v>
      </c>
    </row>
    <row r="217" spans="1:7" ht="13.2" x14ac:dyDescent="0.25">
      <c r="A217" s="2">
        <v>45432</v>
      </c>
      <c r="B217" s="3" t="s">
        <v>11</v>
      </c>
      <c r="C217" s="3" t="s">
        <v>12</v>
      </c>
      <c r="D217" s="3"/>
      <c r="E217" s="3" t="s">
        <v>13</v>
      </c>
      <c r="F217" s="3" t="s">
        <v>14</v>
      </c>
      <c r="G217" s="3" t="s">
        <v>15</v>
      </c>
    </row>
    <row r="218" spans="1:7" ht="13.2" x14ac:dyDescent="0.25">
      <c r="A218" s="2">
        <v>45433</v>
      </c>
      <c r="B218" s="3" t="s">
        <v>11</v>
      </c>
      <c r="C218" s="3" t="s">
        <v>12</v>
      </c>
      <c r="D218" s="3"/>
      <c r="E218" s="3" t="s">
        <v>13</v>
      </c>
      <c r="F218" s="3" t="s">
        <v>14</v>
      </c>
      <c r="G218" s="3" t="s">
        <v>15</v>
      </c>
    </row>
    <row r="219" spans="1:7" ht="13.2" x14ac:dyDescent="0.25">
      <c r="A219" s="2">
        <v>45433</v>
      </c>
      <c r="B219" s="3" t="s">
        <v>106</v>
      </c>
      <c r="C219" s="3" t="s">
        <v>107</v>
      </c>
      <c r="D219" s="3"/>
      <c r="E219" s="3" t="s">
        <v>108</v>
      </c>
      <c r="F219" s="3" t="s">
        <v>109</v>
      </c>
      <c r="G219" s="3" t="s">
        <v>15</v>
      </c>
    </row>
    <row r="220" spans="1:7" ht="13.2" x14ac:dyDescent="0.25">
      <c r="A220" s="2">
        <v>45433</v>
      </c>
      <c r="B220" s="3" t="s">
        <v>51</v>
      </c>
      <c r="C220" s="3" t="s">
        <v>34</v>
      </c>
      <c r="D220" s="3"/>
      <c r="E220" s="3" t="s">
        <v>51</v>
      </c>
      <c r="F220" s="3" t="s">
        <v>19</v>
      </c>
      <c r="G220" s="3" t="s">
        <v>15</v>
      </c>
    </row>
    <row r="221" spans="1:7" ht="13.2" x14ac:dyDescent="0.25">
      <c r="A221" s="2">
        <v>45434</v>
      </c>
      <c r="B221" s="3" t="s">
        <v>52</v>
      </c>
      <c r="C221" s="3" t="s">
        <v>148</v>
      </c>
      <c r="D221" s="3"/>
      <c r="E221" s="3" t="s">
        <v>54</v>
      </c>
      <c r="F221" s="3" t="s">
        <v>36</v>
      </c>
      <c r="G221" s="3" t="s">
        <v>15</v>
      </c>
    </row>
    <row r="222" spans="1:7" ht="13.2" x14ac:dyDescent="0.25">
      <c r="A222" s="2">
        <v>45434</v>
      </c>
      <c r="B222" s="3" t="s">
        <v>55</v>
      </c>
      <c r="C222" s="3" t="s">
        <v>87</v>
      </c>
      <c r="D222" s="3"/>
      <c r="E222" s="3" t="s">
        <v>35</v>
      </c>
      <c r="F222" s="3" t="s">
        <v>36</v>
      </c>
      <c r="G222" s="3" t="s">
        <v>15</v>
      </c>
    </row>
    <row r="223" spans="1:7" ht="13.2" x14ac:dyDescent="0.25">
      <c r="A223" s="2">
        <v>45434</v>
      </c>
      <c r="B223" s="3" t="s">
        <v>11</v>
      </c>
      <c r="C223" s="3" t="s">
        <v>12</v>
      </c>
      <c r="D223" s="3"/>
      <c r="E223" s="3" t="s">
        <v>13</v>
      </c>
      <c r="F223" s="3" t="s">
        <v>14</v>
      </c>
      <c r="G223" s="3" t="s">
        <v>15</v>
      </c>
    </row>
    <row r="224" spans="1:7" ht="13.2" x14ac:dyDescent="0.25">
      <c r="A224" s="2">
        <v>45435</v>
      </c>
      <c r="B224" s="3" t="s">
        <v>11</v>
      </c>
      <c r="C224" s="3" t="s">
        <v>12</v>
      </c>
      <c r="D224" s="3"/>
      <c r="E224" s="3" t="s">
        <v>13</v>
      </c>
      <c r="F224" s="3" t="s">
        <v>14</v>
      </c>
      <c r="G224" s="3" t="s">
        <v>15</v>
      </c>
    </row>
    <row r="225" spans="1:7" ht="13.2" x14ac:dyDescent="0.25">
      <c r="A225" s="2">
        <v>45436</v>
      </c>
      <c r="B225" s="3" t="s">
        <v>11</v>
      </c>
      <c r="C225" s="3" t="s">
        <v>12</v>
      </c>
      <c r="D225" s="3"/>
      <c r="E225" s="3" t="s">
        <v>13</v>
      </c>
      <c r="F225" s="3" t="s">
        <v>14</v>
      </c>
      <c r="G225" s="3" t="s">
        <v>15</v>
      </c>
    </row>
    <row r="226" spans="1:7" ht="13.2" x14ac:dyDescent="0.25">
      <c r="A226" s="2">
        <v>45436</v>
      </c>
      <c r="B226" s="3" t="s">
        <v>24</v>
      </c>
      <c r="C226" s="3" t="s">
        <v>149</v>
      </c>
      <c r="D226" s="3"/>
      <c r="E226" s="3" t="s">
        <v>26</v>
      </c>
      <c r="F226" s="3" t="s">
        <v>19</v>
      </c>
      <c r="G226" s="3" t="s">
        <v>15</v>
      </c>
    </row>
    <row r="227" spans="1:7" ht="13.2" x14ac:dyDescent="0.25">
      <c r="A227" s="2">
        <v>45437</v>
      </c>
      <c r="B227" s="3" t="s">
        <v>58</v>
      </c>
      <c r="C227" s="3" t="s">
        <v>150</v>
      </c>
      <c r="D227" s="3"/>
      <c r="E227" s="3" t="s">
        <v>42</v>
      </c>
      <c r="F227" s="3" t="s">
        <v>14</v>
      </c>
      <c r="G227" s="3" t="s">
        <v>15</v>
      </c>
    </row>
    <row r="228" spans="1:7" ht="13.2" x14ac:dyDescent="0.25">
      <c r="A228" s="2">
        <v>45438</v>
      </c>
      <c r="B228" s="3" t="s">
        <v>60</v>
      </c>
      <c r="C228" s="3" t="s">
        <v>151</v>
      </c>
      <c r="D228" s="3"/>
      <c r="E228" s="3" t="s">
        <v>42</v>
      </c>
      <c r="F228" s="3" t="s">
        <v>14</v>
      </c>
      <c r="G228" s="3" t="s">
        <v>15</v>
      </c>
    </row>
    <row r="229" spans="1:7" ht="13.2" x14ac:dyDescent="0.25">
      <c r="A229" s="2">
        <v>45439</v>
      </c>
      <c r="B229" s="3" t="s">
        <v>62</v>
      </c>
      <c r="C229" s="3" t="s">
        <v>63</v>
      </c>
      <c r="D229" s="3"/>
      <c r="E229" s="3" t="s">
        <v>64</v>
      </c>
      <c r="F229" s="3" t="s">
        <v>65</v>
      </c>
      <c r="G229" s="3" t="s">
        <v>15</v>
      </c>
    </row>
    <row r="230" spans="1:7" ht="13.2" x14ac:dyDescent="0.25">
      <c r="A230" s="2">
        <v>45439</v>
      </c>
      <c r="B230" s="3" t="s">
        <v>30</v>
      </c>
      <c r="C230" s="3" t="s">
        <v>152</v>
      </c>
      <c r="D230" s="3"/>
      <c r="E230" s="3" t="s">
        <v>67</v>
      </c>
      <c r="F230" s="3" t="s">
        <v>23</v>
      </c>
      <c r="G230" s="3" t="s">
        <v>15</v>
      </c>
    </row>
    <row r="231" spans="1:7" ht="13.2" x14ac:dyDescent="0.25">
      <c r="A231" s="2">
        <v>45439</v>
      </c>
      <c r="B231" s="3" t="s">
        <v>11</v>
      </c>
      <c r="C231" s="3" t="s">
        <v>12</v>
      </c>
      <c r="D231" s="3"/>
      <c r="E231" s="3" t="s">
        <v>13</v>
      </c>
      <c r="F231" s="3" t="s">
        <v>14</v>
      </c>
      <c r="G231" s="3" t="s">
        <v>15</v>
      </c>
    </row>
    <row r="232" spans="1:7" ht="13.2" x14ac:dyDescent="0.25">
      <c r="A232" s="2">
        <v>45440</v>
      </c>
      <c r="B232" s="3" t="s">
        <v>11</v>
      </c>
      <c r="C232" s="3" t="s">
        <v>12</v>
      </c>
      <c r="D232" s="3"/>
      <c r="E232" s="3" t="s">
        <v>13</v>
      </c>
      <c r="F232" s="3" t="s">
        <v>14</v>
      </c>
      <c r="G232" s="3" t="s">
        <v>15</v>
      </c>
    </row>
    <row r="233" spans="1:7" ht="13.2" x14ac:dyDescent="0.25">
      <c r="A233" s="2">
        <v>45441</v>
      </c>
      <c r="B233" s="3" t="s">
        <v>11</v>
      </c>
      <c r="C233" s="3" t="s">
        <v>12</v>
      </c>
      <c r="D233" s="3"/>
      <c r="E233" s="3" t="s">
        <v>13</v>
      </c>
      <c r="F233" s="3" t="s">
        <v>14</v>
      </c>
      <c r="G233" s="3" t="s">
        <v>15</v>
      </c>
    </row>
    <row r="234" spans="1:7" ht="13.2" x14ac:dyDescent="0.25">
      <c r="A234" s="2">
        <v>45442</v>
      </c>
      <c r="B234" s="3" t="s">
        <v>11</v>
      </c>
      <c r="C234" s="3" t="s">
        <v>12</v>
      </c>
      <c r="D234" s="3"/>
      <c r="E234" s="3" t="s">
        <v>13</v>
      </c>
      <c r="F234" s="3" t="s">
        <v>14</v>
      </c>
      <c r="G234" s="3" t="s">
        <v>15</v>
      </c>
    </row>
    <row r="235" spans="1:7" ht="13.2" x14ac:dyDescent="0.25">
      <c r="A235" s="2">
        <v>45443</v>
      </c>
      <c r="B235" s="3" t="s">
        <v>11</v>
      </c>
      <c r="C235" s="3" t="s">
        <v>12</v>
      </c>
      <c r="D235" s="3"/>
      <c r="E235" s="3" t="s">
        <v>13</v>
      </c>
      <c r="F235" s="3" t="s">
        <v>14</v>
      </c>
      <c r="G235" s="3" t="s">
        <v>15</v>
      </c>
    </row>
    <row r="236" spans="1:7" ht="13.2" x14ac:dyDescent="0.25">
      <c r="A236" s="2">
        <v>45443</v>
      </c>
      <c r="B236" s="3" t="s">
        <v>24</v>
      </c>
      <c r="C236" s="3" t="s">
        <v>153</v>
      </c>
      <c r="D236" s="3"/>
      <c r="E236" s="3" t="s">
        <v>26</v>
      </c>
      <c r="F236" s="3" t="s">
        <v>19</v>
      </c>
      <c r="G236" s="3" t="s">
        <v>15</v>
      </c>
    </row>
    <row r="237" spans="1:7" ht="13.2" x14ac:dyDescent="0.25">
      <c r="A237" s="2">
        <v>45444</v>
      </c>
      <c r="B237" s="3" t="s">
        <v>69</v>
      </c>
      <c r="C237" s="3" t="s">
        <v>154</v>
      </c>
      <c r="D237" s="3"/>
      <c r="E237" s="3" t="s">
        <v>39</v>
      </c>
      <c r="F237" s="3" t="s">
        <v>36</v>
      </c>
      <c r="G237" s="3" t="s">
        <v>15</v>
      </c>
    </row>
    <row r="238" spans="1:7" ht="13.2" x14ac:dyDescent="0.25">
      <c r="A238" s="2">
        <v>45444</v>
      </c>
      <c r="B238" s="3" t="s">
        <v>155</v>
      </c>
      <c r="C238" s="3" t="s">
        <v>156</v>
      </c>
      <c r="D238" s="3"/>
      <c r="E238" s="3" t="s">
        <v>157</v>
      </c>
      <c r="F238" s="3" t="s">
        <v>36</v>
      </c>
      <c r="G238" s="3" t="s">
        <v>15</v>
      </c>
    </row>
    <row r="239" spans="1:7" ht="13.2" x14ac:dyDescent="0.25">
      <c r="A239" s="2">
        <v>45445</v>
      </c>
      <c r="B239" s="3" t="s">
        <v>37</v>
      </c>
      <c r="C239" s="3" t="s">
        <v>158</v>
      </c>
      <c r="D239" s="3"/>
      <c r="E239" s="3" t="s">
        <v>39</v>
      </c>
      <c r="F239" s="3" t="s">
        <v>36</v>
      </c>
      <c r="G239" s="3" t="s">
        <v>15</v>
      </c>
    </row>
    <row r="240" spans="1:7" ht="13.2" x14ac:dyDescent="0.25">
      <c r="A240" s="2">
        <v>45445</v>
      </c>
      <c r="B240" s="3" t="s">
        <v>43</v>
      </c>
      <c r="C240" s="3" t="s">
        <v>159</v>
      </c>
      <c r="D240" s="3"/>
      <c r="E240" s="3" t="s">
        <v>45</v>
      </c>
      <c r="F240" s="3" t="s">
        <v>23</v>
      </c>
      <c r="G240" s="3" t="s">
        <v>15</v>
      </c>
    </row>
    <row r="241" spans="1:7" ht="13.2" x14ac:dyDescent="0.25">
      <c r="A241" s="2">
        <v>45447</v>
      </c>
      <c r="B241" s="3" t="s">
        <v>121</v>
      </c>
      <c r="C241" s="3" t="s">
        <v>122</v>
      </c>
      <c r="D241" s="3"/>
      <c r="E241" s="3" t="s">
        <v>42</v>
      </c>
      <c r="F241" s="3" t="s">
        <v>14</v>
      </c>
      <c r="G241" s="3" t="s">
        <v>15</v>
      </c>
    </row>
    <row r="242" spans="1:7" ht="13.2" x14ac:dyDescent="0.25">
      <c r="A242" s="2">
        <v>45446</v>
      </c>
      <c r="B242" s="3" t="s">
        <v>11</v>
      </c>
      <c r="C242" s="3" t="s">
        <v>12</v>
      </c>
      <c r="D242" s="3"/>
      <c r="E242" s="3" t="s">
        <v>13</v>
      </c>
      <c r="F242" s="3" t="s">
        <v>14</v>
      </c>
      <c r="G242" s="3" t="s">
        <v>15</v>
      </c>
    </row>
    <row r="243" spans="1:7" ht="13.2" x14ac:dyDescent="0.25">
      <c r="A243" s="2">
        <v>45447</v>
      </c>
      <c r="B243" s="3" t="s">
        <v>11</v>
      </c>
      <c r="C243" s="3" t="s">
        <v>12</v>
      </c>
      <c r="D243" s="3"/>
      <c r="E243" s="3" t="s">
        <v>13</v>
      </c>
      <c r="F243" s="3" t="s">
        <v>14</v>
      </c>
      <c r="G243" s="3" t="s">
        <v>15</v>
      </c>
    </row>
    <row r="244" spans="1:7" ht="13.2" x14ac:dyDescent="0.25">
      <c r="A244" s="2">
        <v>45448</v>
      </c>
      <c r="B244" s="3" t="s">
        <v>7</v>
      </c>
      <c r="C244" s="3"/>
      <c r="D244" s="3" t="s">
        <v>8</v>
      </c>
      <c r="E244" s="3" t="s">
        <v>75</v>
      </c>
      <c r="F244" s="3" t="s">
        <v>9</v>
      </c>
      <c r="G244" s="3" t="s">
        <v>10</v>
      </c>
    </row>
    <row r="245" spans="1:7" ht="13.2" x14ac:dyDescent="0.25">
      <c r="A245" s="2">
        <v>45450</v>
      </c>
      <c r="B245" s="3" t="s">
        <v>11</v>
      </c>
      <c r="C245" s="3" t="s">
        <v>12</v>
      </c>
      <c r="D245" s="3"/>
      <c r="E245" s="3" t="s">
        <v>13</v>
      </c>
      <c r="F245" s="3" t="s">
        <v>14</v>
      </c>
      <c r="G245" s="3" t="s">
        <v>15</v>
      </c>
    </row>
    <row r="246" spans="1:7" ht="13.2" x14ac:dyDescent="0.25">
      <c r="A246" s="2">
        <v>45450</v>
      </c>
      <c r="B246" s="3" t="s">
        <v>16</v>
      </c>
      <c r="C246" s="3" t="s">
        <v>17</v>
      </c>
      <c r="D246" s="3"/>
      <c r="E246" s="3" t="s">
        <v>18</v>
      </c>
      <c r="F246" s="3" t="s">
        <v>19</v>
      </c>
      <c r="G246" s="3" t="s">
        <v>15</v>
      </c>
    </row>
    <row r="247" spans="1:7" ht="13.2" x14ac:dyDescent="0.25">
      <c r="A247" s="2">
        <v>45450</v>
      </c>
      <c r="B247" s="3" t="s">
        <v>20</v>
      </c>
      <c r="C247" s="3" t="s">
        <v>21</v>
      </c>
      <c r="D247" s="3"/>
      <c r="E247" s="3" t="s">
        <v>22</v>
      </c>
      <c r="F247" s="3" t="s">
        <v>23</v>
      </c>
      <c r="G247" s="3" t="s">
        <v>15</v>
      </c>
    </row>
    <row r="248" spans="1:7" ht="13.2" x14ac:dyDescent="0.25">
      <c r="A248" s="2">
        <v>45450</v>
      </c>
      <c r="B248" s="3" t="s">
        <v>11</v>
      </c>
      <c r="C248" s="3" t="s">
        <v>12</v>
      </c>
      <c r="D248" s="3"/>
      <c r="E248" s="3" t="s">
        <v>13</v>
      </c>
      <c r="F248" s="3" t="s">
        <v>14</v>
      </c>
      <c r="G248" s="3" t="s">
        <v>15</v>
      </c>
    </row>
    <row r="249" spans="1:7" ht="13.2" x14ac:dyDescent="0.25">
      <c r="A249" s="2">
        <v>45451</v>
      </c>
      <c r="B249" s="3" t="s">
        <v>11</v>
      </c>
      <c r="C249" s="3" t="s">
        <v>12</v>
      </c>
      <c r="D249" s="3"/>
      <c r="E249" s="3" t="s">
        <v>13</v>
      </c>
      <c r="F249" s="3" t="s">
        <v>14</v>
      </c>
      <c r="G249" s="3" t="s">
        <v>15</v>
      </c>
    </row>
    <row r="250" spans="1:7" ht="13.2" x14ac:dyDescent="0.25">
      <c r="A250" s="2">
        <v>45452</v>
      </c>
      <c r="B250" s="3" t="s">
        <v>11</v>
      </c>
      <c r="C250" s="3" t="s">
        <v>12</v>
      </c>
      <c r="D250" s="3"/>
      <c r="E250" s="3" t="s">
        <v>13</v>
      </c>
      <c r="F250" s="3" t="s">
        <v>14</v>
      </c>
      <c r="G250" s="3" t="s">
        <v>15</v>
      </c>
    </row>
    <row r="251" spans="1:7" ht="13.2" x14ac:dyDescent="0.25">
      <c r="A251" s="2">
        <v>45453</v>
      </c>
      <c r="B251" s="3" t="s">
        <v>11</v>
      </c>
      <c r="C251" s="3" t="s">
        <v>12</v>
      </c>
      <c r="D251" s="3"/>
      <c r="E251" s="3" t="s">
        <v>13</v>
      </c>
      <c r="F251" s="3" t="s">
        <v>14</v>
      </c>
      <c r="G251" s="3" t="s">
        <v>15</v>
      </c>
    </row>
    <row r="252" spans="1:7" ht="13.2" x14ac:dyDescent="0.25">
      <c r="A252" s="2">
        <v>45453</v>
      </c>
      <c r="B252" s="3" t="s">
        <v>24</v>
      </c>
      <c r="C252" s="3" t="s">
        <v>160</v>
      </c>
      <c r="D252" s="3"/>
      <c r="E252" s="3" t="s">
        <v>26</v>
      </c>
      <c r="F252" s="3" t="s">
        <v>19</v>
      </c>
      <c r="G252" s="3" t="s">
        <v>15</v>
      </c>
    </row>
    <row r="253" spans="1:7" ht="13.2" x14ac:dyDescent="0.25">
      <c r="A253" s="2">
        <v>45456</v>
      </c>
      <c r="B253" s="3" t="s">
        <v>27</v>
      </c>
      <c r="C253" s="3" t="s">
        <v>63</v>
      </c>
      <c r="D253" s="3"/>
      <c r="E253" s="3" t="s">
        <v>29</v>
      </c>
      <c r="F253" s="3" t="s">
        <v>19</v>
      </c>
      <c r="G253" s="3" t="s">
        <v>15</v>
      </c>
    </row>
    <row r="254" spans="1:7" ht="13.2" x14ac:dyDescent="0.25">
      <c r="A254" s="2">
        <v>45456</v>
      </c>
      <c r="B254" s="3" t="s">
        <v>11</v>
      </c>
      <c r="C254" s="3" t="s">
        <v>12</v>
      </c>
      <c r="D254" s="3"/>
      <c r="E254" s="3" t="s">
        <v>13</v>
      </c>
      <c r="F254" s="3" t="s">
        <v>14</v>
      </c>
      <c r="G254" s="3" t="s">
        <v>15</v>
      </c>
    </row>
    <row r="255" spans="1:7" ht="13.2" x14ac:dyDescent="0.25">
      <c r="A255" s="2">
        <v>45457</v>
      </c>
      <c r="B255" s="3" t="s">
        <v>11</v>
      </c>
      <c r="C255" s="3" t="s">
        <v>12</v>
      </c>
      <c r="D255" s="3"/>
      <c r="E255" s="3" t="s">
        <v>13</v>
      </c>
      <c r="F255" s="3" t="s">
        <v>14</v>
      </c>
      <c r="G255" s="3" t="s">
        <v>15</v>
      </c>
    </row>
    <row r="256" spans="1:7" ht="13.2" x14ac:dyDescent="0.25">
      <c r="A256" s="2">
        <v>45458</v>
      </c>
      <c r="B256" s="3" t="s">
        <v>30</v>
      </c>
      <c r="C256" s="3" t="s">
        <v>161</v>
      </c>
      <c r="D256" s="3"/>
      <c r="E256" s="3" t="s">
        <v>67</v>
      </c>
      <c r="F256" s="3" t="s">
        <v>23</v>
      </c>
      <c r="G256" s="3" t="s">
        <v>15</v>
      </c>
    </row>
    <row r="257" spans="1:7" ht="13.2" x14ac:dyDescent="0.25">
      <c r="A257" s="2">
        <v>45458</v>
      </c>
      <c r="B257" s="3" t="s">
        <v>11</v>
      </c>
      <c r="C257" s="3" t="s">
        <v>12</v>
      </c>
      <c r="D257" s="3"/>
      <c r="E257" s="3" t="s">
        <v>13</v>
      </c>
      <c r="F257" s="3" t="s">
        <v>14</v>
      </c>
      <c r="G257" s="3" t="s">
        <v>15</v>
      </c>
    </row>
    <row r="258" spans="1:7" ht="13.2" x14ac:dyDescent="0.25">
      <c r="A258" s="2">
        <v>45459</v>
      </c>
      <c r="B258" s="3" t="s">
        <v>11</v>
      </c>
      <c r="C258" s="3" t="s">
        <v>12</v>
      </c>
      <c r="D258" s="3"/>
      <c r="E258" s="3" t="s">
        <v>13</v>
      </c>
      <c r="F258" s="3" t="s">
        <v>14</v>
      </c>
      <c r="G258" s="3" t="s">
        <v>15</v>
      </c>
    </row>
    <row r="259" spans="1:7" ht="13.2" x14ac:dyDescent="0.25">
      <c r="A259" s="2">
        <v>45460</v>
      </c>
      <c r="B259" s="3" t="s">
        <v>24</v>
      </c>
      <c r="C259" s="3" t="s">
        <v>162</v>
      </c>
      <c r="D259" s="3"/>
      <c r="E259" s="3" t="s">
        <v>26</v>
      </c>
      <c r="F259" s="3" t="s">
        <v>19</v>
      </c>
      <c r="G259" s="3" t="s">
        <v>15</v>
      </c>
    </row>
    <row r="260" spans="1:7" ht="13.2" x14ac:dyDescent="0.25">
      <c r="A260" s="2">
        <v>45460</v>
      </c>
      <c r="B260" s="3" t="s">
        <v>11</v>
      </c>
      <c r="C260" s="3" t="s">
        <v>12</v>
      </c>
      <c r="D260" s="3"/>
      <c r="E260" s="3" t="s">
        <v>13</v>
      </c>
      <c r="F260" s="3" t="s">
        <v>14</v>
      </c>
      <c r="G260" s="3" t="s">
        <v>15</v>
      </c>
    </row>
    <row r="261" spans="1:7" ht="13.2" x14ac:dyDescent="0.25">
      <c r="A261" s="2">
        <v>45461</v>
      </c>
      <c r="B261" s="3" t="s">
        <v>11</v>
      </c>
      <c r="C261" s="3" t="s">
        <v>12</v>
      </c>
      <c r="D261" s="3"/>
      <c r="E261" s="3" t="s">
        <v>13</v>
      </c>
      <c r="F261" s="3" t="s">
        <v>14</v>
      </c>
      <c r="G261" s="3" t="s">
        <v>15</v>
      </c>
    </row>
    <row r="262" spans="1:7" ht="13.2" x14ac:dyDescent="0.25">
      <c r="A262" s="2">
        <v>45461</v>
      </c>
      <c r="B262" s="3" t="s">
        <v>33</v>
      </c>
      <c r="C262" s="3" t="s">
        <v>163</v>
      </c>
      <c r="D262" s="3"/>
      <c r="E262" s="3" t="s">
        <v>35</v>
      </c>
      <c r="F262" s="3" t="s">
        <v>36</v>
      </c>
      <c r="G262" s="3" t="s">
        <v>15</v>
      </c>
    </row>
    <row r="263" spans="1:7" ht="13.2" x14ac:dyDescent="0.25">
      <c r="A263" s="2">
        <v>45461</v>
      </c>
      <c r="B263" s="3" t="s">
        <v>81</v>
      </c>
      <c r="C263" s="3" t="s">
        <v>164</v>
      </c>
      <c r="D263" s="3"/>
      <c r="E263" s="3" t="s">
        <v>39</v>
      </c>
      <c r="F263" s="3" t="s">
        <v>36</v>
      </c>
      <c r="G263" s="3" t="s">
        <v>15</v>
      </c>
    </row>
    <row r="264" spans="1:7" ht="13.2" x14ac:dyDescent="0.25">
      <c r="A264" s="2">
        <v>45461</v>
      </c>
      <c r="B264" s="3" t="s">
        <v>40</v>
      </c>
      <c r="C264" s="3" t="s">
        <v>165</v>
      </c>
      <c r="D264" s="3"/>
      <c r="E264" s="3" t="s">
        <v>42</v>
      </c>
      <c r="F264" s="3" t="s">
        <v>14</v>
      </c>
      <c r="G264" s="3" t="s">
        <v>15</v>
      </c>
    </row>
    <row r="265" spans="1:7" ht="13.2" x14ac:dyDescent="0.25">
      <c r="A265" s="2">
        <v>45462</v>
      </c>
      <c r="B265" s="3" t="s">
        <v>43</v>
      </c>
      <c r="C265" s="3" t="s">
        <v>166</v>
      </c>
      <c r="D265" s="3"/>
      <c r="E265" s="3" t="s">
        <v>45</v>
      </c>
      <c r="F265" s="3" t="s">
        <v>23</v>
      </c>
      <c r="G265" s="3" t="s">
        <v>15</v>
      </c>
    </row>
    <row r="266" spans="1:7" ht="13.2" x14ac:dyDescent="0.25">
      <c r="A266" s="2">
        <v>45463</v>
      </c>
      <c r="B266" s="3" t="s">
        <v>46</v>
      </c>
      <c r="C266" s="3"/>
      <c r="D266" s="3" t="s">
        <v>167</v>
      </c>
      <c r="E266" s="3" t="s">
        <v>48</v>
      </c>
      <c r="F266" s="3" t="s">
        <v>49</v>
      </c>
      <c r="G266" s="3" t="s">
        <v>10</v>
      </c>
    </row>
    <row r="267" spans="1:7" ht="13.2" x14ac:dyDescent="0.25">
      <c r="A267" s="2">
        <v>45463</v>
      </c>
      <c r="B267" s="3" t="s">
        <v>11</v>
      </c>
      <c r="C267" s="3" t="s">
        <v>12</v>
      </c>
      <c r="D267" s="3"/>
      <c r="E267" s="3" t="s">
        <v>13</v>
      </c>
      <c r="F267" s="3" t="s">
        <v>14</v>
      </c>
      <c r="G267" s="3" t="s">
        <v>15</v>
      </c>
    </row>
    <row r="268" spans="1:7" ht="13.2" x14ac:dyDescent="0.25">
      <c r="A268" s="2">
        <v>45464</v>
      </c>
      <c r="B268" s="3" t="s">
        <v>11</v>
      </c>
      <c r="C268" s="3" t="s">
        <v>12</v>
      </c>
      <c r="D268" s="3"/>
      <c r="E268" s="3" t="s">
        <v>13</v>
      </c>
      <c r="F268" s="3" t="s">
        <v>14</v>
      </c>
      <c r="G268" s="3" t="s">
        <v>15</v>
      </c>
    </row>
    <row r="269" spans="1:7" ht="13.2" x14ac:dyDescent="0.25">
      <c r="A269" s="2">
        <v>45464</v>
      </c>
      <c r="B269" s="3" t="s">
        <v>51</v>
      </c>
      <c r="C269" s="3" t="s">
        <v>34</v>
      </c>
      <c r="D269" s="3"/>
      <c r="E269" s="3" t="s">
        <v>51</v>
      </c>
      <c r="F269" s="3" t="s">
        <v>19</v>
      </c>
      <c r="G269" s="3" t="s">
        <v>15</v>
      </c>
    </row>
    <row r="270" spans="1:7" ht="13.2" x14ac:dyDescent="0.25">
      <c r="A270" s="2">
        <v>45465</v>
      </c>
      <c r="B270" s="3" t="s">
        <v>52</v>
      </c>
      <c r="C270" s="3" t="s">
        <v>168</v>
      </c>
      <c r="D270" s="3"/>
      <c r="E270" s="3" t="s">
        <v>54</v>
      </c>
      <c r="F270" s="3" t="s">
        <v>36</v>
      </c>
      <c r="G270" s="3" t="s">
        <v>15</v>
      </c>
    </row>
    <row r="271" spans="1:7" ht="13.2" x14ac:dyDescent="0.25">
      <c r="A271" s="2">
        <v>45465</v>
      </c>
      <c r="B271" s="3" t="s">
        <v>55</v>
      </c>
      <c r="C271" s="3" t="s">
        <v>87</v>
      </c>
      <c r="D271" s="3"/>
      <c r="E271" s="3" t="s">
        <v>35</v>
      </c>
      <c r="F271" s="3" t="s">
        <v>36</v>
      </c>
      <c r="G271" s="3" t="s">
        <v>15</v>
      </c>
    </row>
    <row r="272" spans="1:7" ht="13.2" x14ac:dyDescent="0.25">
      <c r="A272" s="2">
        <v>45465</v>
      </c>
      <c r="B272" s="3" t="s">
        <v>11</v>
      </c>
      <c r="C272" s="3" t="s">
        <v>12</v>
      </c>
      <c r="D272" s="3"/>
      <c r="E272" s="3" t="s">
        <v>13</v>
      </c>
      <c r="F272" s="3" t="s">
        <v>14</v>
      </c>
      <c r="G272" s="3" t="s">
        <v>15</v>
      </c>
    </row>
    <row r="273" spans="1:7" ht="13.2" x14ac:dyDescent="0.25">
      <c r="A273" s="2">
        <v>45466</v>
      </c>
      <c r="B273" s="3" t="s">
        <v>11</v>
      </c>
      <c r="C273" s="3" t="s">
        <v>12</v>
      </c>
      <c r="D273" s="3"/>
      <c r="E273" s="3" t="s">
        <v>13</v>
      </c>
      <c r="F273" s="3" t="s">
        <v>14</v>
      </c>
      <c r="G273" s="3" t="s">
        <v>15</v>
      </c>
    </row>
    <row r="274" spans="1:7" ht="13.2" x14ac:dyDescent="0.25">
      <c r="A274" s="2">
        <v>45467</v>
      </c>
      <c r="B274" s="3" t="s">
        <v>11</v>
      </c>
      <c r="C274" s="3" t="s">
        <v>12</v>
      </c>
      <c r="D274" s="3"/>
      <c r="E274" s="3" t="s">
        <v>13</v>
      </c>
      <c r="F274" s="3" t="s">
        <v>14</v>
      </c>
      <c r="G274" s="3" t="s">
        <v>15</v>
      </c>
    </row>
    <row r="275" spans="1:7" ht="13.2" x14ac:dyDescent="0.25">
      <c r="A275" s="2">
        <v>45467</v>
      </c>
      <c r="B275" s="3" t="s">
        <v>24</v>
      </c>
      <c r="C275" s="3" t="s">
        <v>169</v>
      </c>
      <c r="D275" s="3"/>
      <c r="E275" s="3" t="s">
        <v>26</v>
      </c>
      <c r="F275" s="3" t="s">
        <v>19</v>
      </c>
      <c r="G275" s="3" t="s">
        <v>15</v>
      </c>
    </row>
    <row r="276" spans="1:7" ht="13.2" x14ac:dyDescent="0.25">
      <c r="A276" s="2">
        <v>45468</v>
      </c>
      <c r="B276" s="3" t="s">
        <v>58</v>
      </c>
      <c r="C276" s="3" t="s">
        <v>170</v>
      </c>
      <c r="D276" s="3"/>
      <c r="E276" s="3" t="s">
        <v>42</v>
      </c>
      <c r="F276" s="3" t="s">
        <v>14</v>
      </c>
      <c r="G276" s="3" t="s">
        <v>15</v>
      </c>
    </row>
    <row r="277" spans="1:7" ht="13.2" x14ac:dyDescent="0.25">
      <c r="A277" s="2">
        <v>45469</v>
      </c>
      <c r="B277" s="3" t="s">
        <v>60</v>
      </c>
      <c r="C277" s="3" t="s">
        <v>171</v>
      </c>
      <c r="D277" s="3"/>
      <c r="E277" s="3" t="s">
        <v>42</v>
      </c>
      <c r="F277" s="3" t="s">
        <v>14</v>
      </c>
      <c r="G277" s="3" t="s">
        <v>15</v>
      </c>
    </row>
    <row r="278" spans="1:7" ht="13.2" x14ac:dyDescent="0.25">
      <c r="A278" s="2">
        <v>45470</v>
      </c>
      <c r="B278" s="3" t="s">
        <v>62</v>
      </c>
      <c r="C278" s="3" t="s">
        <v>63</v>
      </c>
      <c r="D278" s="3"/>
      <c r="E278" s="3" t="s">
        <v>64</v>
      </c>
      <c r="F278" s="3" t="s">
        <v>65</v>
      </c>
      <c r="G278" s="3" t="s">
        <v>15</v>
      </c>
    </row>
    <row r="279" spans="1:7" ht="13.2" x14ac:dyDescent="0.25">
      <c r="A279" s="2">
        <v>45470</v>
      </c>
      <c r="B279" s="3" t="s">
        <v>30</v>
      </c>
      <c r="C279" s="3" t="s">
        <v>172</v>
      </c>
      <c r="D279" s="3"/>
      <c r="E279" s="3" t="s">
        <v>67</v>
      </c>
      <c r="F279" s="3" t="s">
        <v>23</v>
      </c>
      <c r="G279" s="3" t="s">
        <v>15</v>
      </c>
    </row>
    <row r="280" spans="1:7" ht="13.2" x14ac:dyDescent="0.25">
      <c r="A280" s="2">
        <v>45470</v>
      </c>
      <c r="B280" s="3" t="s">
        <v>11</v>
      </c>
      <c r="C280" s="3" t="s">
        <v>12</v>
      </c>
      <c r="D280" s="3"/>
      <c r="E280" s="3" t="s">
        <v>13</v>
      </c>
      <c r="F280" s="3" t="s">
        <v>14</v>
      </c>
      <c r="G280" s="3" t="s">
        <v>15</v>
      </c>
    </row>
    <row r="281" spans="1:7" ht="13.2" x14ac:dyDescent="0.25">
      <c r="A281" s="2">
        <v>45471</v>
      </c>
      <c r="B281" s="3" t="s">
        <v>11</v>
      </c>
      <c r="C281" s="3" t="s">
        <v>12</v>
      </c>
      <c r="D281" s="3"/>
      <c r="E281" s="3" t="s">
        <v>13</v>
      </c>
      <c r="F281" s="3" t="s">
        <v>14</v>
      </c>
      <c r="G281" s="3" t="s">
        <v>15</v>
      </c>
    </row>
    <row r="282" spans="1:7" ht="13.2" x14ac:dyDescent="0.25">
      <c r="A282" s="2">
        <v>45472</v>
      </c>
      <c r="B282" s="3" t="s">
        <v>11</v>
      </c>
      <c r="C282" s="3" t="s">
        <v>12</v>
      </c>
      <c r="D282" s="3"/>
      <c r="E282" s="3" t="s">
        <v>13</v>
      </c>
      <c r="F282" s="3" t="s">
        <v>14</v>
      </c>
      <c r="G282" s="3" t="s">
        <v>15</v>
      </c>
    </row>
    <row r="283" spans="1:7" ht="13.2" x14ac:dyDescent="0.25">
      <c r="A283" s="2">
        <v>45473</v>
      </c>
      <c r="B283" s="3" t="s">
        <v>11</v>
      </c>
      <c r="C283" s="3" t="s">
        <v>12</v>
      </c>
      <c r="D283" s="3"/>
      <c r="E283" s="3" t="s">
        <v>13</v>
      </c>
      <c r="F283" s="3" t="s">
        <v>14</v>
      </c>
      <c r="G283" s="3" t="s">
        <v>15</v>
      </c>
    </row>
    <row r="284" spans="1:7" ht="13.2" x14ac:dyDescent="0.25">
      <c r="A284" s="2">
        <v>45474</v>
      </c>
      <c r="B284" s="3" t="s">
        <v>11</v>
      </c>
      <c r="C284" s="3" t="s">
        <v>12</v>
      </c>
      <c r="D284" s="3"/>
      <c r="E284" s="3" t="s">
        <v>13</v>
      </c>
      <c r="F284" s="3" t="s">
        <v>14</v>
      </c>
      <c r="G284" s="3" t="s">
        <v>15</v>
      </c>
    </row>
    <row r="285" spans="1:7" ht="13.2" x14ac:dyDescent="0.25">
      <c r="A285" s="2">
        <v>45474</v>
      </c>
      <c r="B285" s="3" t="s">
        <v>24</v>
      </c>
      <c r="C285" s="3" t="s">
        <v>173</v>
      </c>
      <c r="D285" s="3"/>
      <c r="E285" s="3" t="s">
        <v>26</v>
      </c>
      <c r="F285" s="3" t="s">
        <v>19</v>
      </c>
      <c r="G285" s="3" t="s">
        <v>15</v>
      </c>
    </row>
    <row r="286" spans="1:7" ht="13.2" x14ac:dyDescent="0.25">
      <c r="A286" s="2">
        <v>45475</v>
      </c>
      <c r="B286" s="3" t="s">
        <v>69</v>
      </c>
      <c r="C286" s="3" t="s">
        <v>174</v>
      </c>
      <c r="D286" s="3"/>
      <c r="E286" s="3" t="s">
        <v>39</v>
      </c>
      <c r="F286" s="3" t="s">
        <v>36</v>
      </c>
      <c r="G286" s="3" t="s">
        <v>15</v>
      </c>
    </row>
    <row r="287" spans="1:7" ht="13.2" x14ac:dyDescent="0.25">
      <c r="A287" s="2">
        <v>45475</v>
      </c>
      <c r="B287" s="3" t="s">
        <v>71</v>
      </c>
      <c r="C287" s="3" t="s">
        <v>175</v>
      </c>
      <c r="D287" s="3"/>
      <c r="E287" s="3" t="s">
        <v>35</v>
      </c>
      <c r="F287" s="3" t="s">
        <v>36</v>
      </c>
      <c r="G287" s="3" t="s">
        <v>15</v>
      </c>
    </row>
    <row r="288" spans="1:7" ht="13.2" x14ac:dyDescent="0.25">
      <c r="A288" s="2">
        <v>45476</v>
      </c>
      <c r="B288" s="3" t="s">
        <v>37</v>
      </c>
      <c r="C288" s="3" t="s">
        <v>176</v>
      </c>
      <c r="D288" s="3"/>
      <c r="E288" s="3" t="s">
        <v>39</v>
      </c>
      <c r="F288" s="3" t="s">
        <v>36</v>
      </c>
      <c r="G288" s="3" t="s">
        <v>15</v>
      </c>
    </row>
    <row r="289" spans="1:7" ht="13.2" x14ac:dyDescent="0.25">
      <c r="A289" s="2">
        <v>45476</v>
      </c>
      <c r="B289" s="3" t="s">
        <v>43</v>
      </c>
      <c r="C289" s="3" t="s">
        <v>177</v>
      </c>
      <c r="D289" s="3"/>
      <c r="E289" s="3" t="s">
        <v>45</v>
      </c>
      <c r="F289" s="3" t="s">
        <v>23</v>
      </c>
      <c r="G289" s="3" t="s">
        <v>15</v>
      </c>
    </row>
    <row r="290" spans="1:7" ht="13.2" x14ac:dyDescent="0.25">
      <c r="A290" s="2">
        <v>45476</v>
      </c>
      <c r="B290" s="3" t="s">
        <v>121</v>
      </c>
      <c r="C290" s="3" t="s">
        <v>122</v>
      </c>
      <c r="D290" s="3"/>
      <c r="E290" s="3" t="s">
        <v>42</v>
      </c>
      <c r="F290" s="3" t="s">
        <v>14</v>
      </c>
      <c r="G290" s="3" t="s">
        <v>15</v>
      </c>
    </row>
    <row r="291" spans="1:7" ht="13.2" x14ac:dyDescent="0.25">
      <c r="A291" s="2">
        <v>45477</v>
      </c>
      <c r="B291" s="3" t="s">
        <v>11</v>
      </c>
      <c r="C291" s="3" t="s">
        <v>12</v>
      </c>
      <c r="D291" s="3"/>
      <c r="E291" s="3" t="s">
        <v>13</v>
      </c>
      <c r="F291" s="3" t="s">
        <v>14</v>
      </c>
      <c r="G291" s="3" t="s">
        <v>15</v>
      </c>
    </row>
    <row r="292" spans="1:7" ht="13.2" x14ac:dyDescent="0.25">
      <c r="A292" s="2">
        <v>45478</v>
      </c>
      <c r="B292" s="3" t="s">
        <v>11</v>
      </c>
      <c r="C292" s="3" t="s">
        <v>12</v>
      </c>
      <c r="D292" s="3"/>
      <c r="E292" s="3" t="s">
        <v>13</v>
      </c>
      <c r="F292" s="3" t="s">
        <v>14</v>
      </c>
      <c r="G292" s="3" t="s">
        <v>15</v>
      </c>
    </row>
    <row r="293" spans="1:7" ht="13.2" x14ac:dyDescent="0.25">
      <c r="A293" s="2">
        <v>45479</v>
      </c>
      <c r="B293" s="3" t="s">
        <v>7</v>
      </c>
      <c r="C293" s="3"/>
      <c r="D293" s="3" t="s">
        <v>8</v>
      </c>
      <c r="E293" s="3" t="s">
        <v>75</v>
      </c>
      <c r="F293" s="3" t="s">
        <v>9</v>
      </c>
      <c r="G293" s="3" t="s">
        <v>10</v>
      </c>
    </row>
    <row r="294" spans="1:7" ht="13.2" x14ac:dyDescent="0.25">
      <c r="A294" s="2">
        <v>45480</v>
      </c>
      <c r="B294" s="3" t="s">
        <v>11</v>
      </c>
      <c r="C294" s="3" t="s">
        <v>12</v>
      </c>
      <c r="D294" s="3"/>
      <c r="E294" s="3" t="s">
        <v>13</v>
      </c>
      <c r="F294" s="3" t="s">
        <v>14</v>
      </c>
      <c r="G294" s="3" t="s">
        <v>15</v>
      </c>
    </row>
    <row r="295" spans="1:7" ht="13.2" x14ac:dyDescent="0.25">
      <c r="A295" s="2">
        <v>45482</v>
      </c>
      <c r="B295" s="3" t="s">
        <v>16</v>
      </c>
      <c r="C295" s="3" t="s">
        <v>17</v>
      </c>
      <c r="D295" s="3"/>
      <c r="E295" s="3" t="s">
        <v>18</v>
      </c>
      <c r="F295" s="3" t="s">
        <v>19</v>
      </c>
      <c r="G295" s="3" t="s">
        <v>15</v>
      </c>
    </row>
    <row r="296" spans="1:7" ht="13.2" x14ac:dyDescent="0.25">
      <c r="A296" s="2">
        <v>45482</v>
      </c>
      <c r="B296" s="3" t="s">
        <v>20</v>
      </c>
      <c r="C296" s="3" t="s">
        <v>21</v>
      </c>
      <c r="D296" s="3"/>
      <c r="E296" s="3" t="s">
        <v>22</v>
      </c>
      <c r="F296" s="3" t="s">
        <v>23</v>
      </c>
      <c r="G296" s="3" t="s">
        <v>15</v>
      </c>
    </row>
    <row r="297" spans="1:7" ht="13.2" x14ac:dyDescent="0.25">
      <c r="A297" s="2">
        <v>45482</v>
      </c>
      <c r="B297" s="3" t="s">
        <v>178</v>
      </c>
      <c r="C297" s="3" t="s">
        <v>122</v>
      </c>
      <c r="D297" s="3"/>
      <c r="E297" s="3" t="s">
        <v>42</v>
      </c>
      <c r="F297" s="3" t="s">
        <v>14</v>
      </c>
      <c r="G297" s="3" t="s">
        <v>15</v>
      </c>
    </row>
    <row r="298" spans="1:7" ht="13.2" x14ac:dyDescent="0.25">
      <c r="A298" s="2">
        <v>45482</v>
      </c>
      <c r="B298" s="3" t="s">
        <v>11</v>
      </c>
      <c r="C298" s="3" t="s">
        <v>12</v>
      </c>
      <c r="D298" s="3"/>
      <c r="E298" s="3" t="s">
        <v>13</v>
      </c>
      <c r="F298" s="3" t="s">
        <v>14</v>
      </c>
      <c r="G298" s="3" t="s">
        <v>15</v>
      </c>
    </row>
    <row r="299" spans="1:7" ht="13.2" x14ac:dyDescent="0.25">
      <c r="A299" s="2">
        <v>45483</v>
      </c>
      <c r="B299" s="3" t="s">
        <v>11</v>
      </c>
      <c r="C299" s="3" t="s">
        <v>12</v>
      </c>
      <c r="D299" s="3"/>
      <c r="E299" s="3" t="s">
        <v>13</v>
      </c>
      <c r="F299" s="3" t="s">
        <v>14</v>
      </c>
      <c r="G299" s="3" t="s">
        <v>15</v>
      </c>
    </row>
    <row r="300" spans="1:7" ht="13.2" x14ac:dyDescent="0.25">
      <c r="A300" s="2">
        <v>45484</v>
      </c>
      <c r="B300" s="3" t="s">
        <v>11</v>
      </c>
      <c r="C300" s="3" t="s">
        <v>12</v>
      </c>
      <c r="D300" s="3"/>
      <c r="E300" s="3" t="s">
        <v>13</v>
      </c>
      <c r="F300" s="3" t="s">
        <v>14</v>
      </c>
      <c r="G300" s="3" t="s">
        <v>15</v>
      </c>
    </row>
    <row r="301" spans="1:7" ht="13.2" x14ac:dyDescent="0.25">
      <c r="A301" s="2">
        <v>45484</v>
      </c>
      <c r="B301" s="3" t="s">
        <v>24</v>
      </c>
      <c r="C301" s="3" t="s">
        <v>179</v>
      </c>
      <c r="D301" s="3"/>
      <c r="E301" s="3" t="s">
        <v>26</v>
      </c>
      <c r="F301" s="3" t="s">
        <v>19</v>
      </c>
      <c r="G301" s="3" t="s">
        <v>15</v>
      </c>
    </row>
    <row r="302" spans="1:7" ht="13.2" x14ac:dyDescent="0.25">
      <c r="A302" s="2">
        <v>45487</v>
      </c>
      <c r="B302" s="3" t="s">
        <v>27</v>
      </c>
      <c r="C302" s="3" t="s">
        <v>180</v>
      </c>
      <c r="D302" s="3"/>
      <c r="E302" s="3" t="s">
        <v>29</v>
      </c>
      <c r="F302" s="3" t="s">
        <v>19</v>
      </c>
      <c r="G302" s="3" t="s">
        <v>15</v>
      </c>
    </row>
    <row r="303" spans="1:7" ht="13.2" x14ac:dyDescent="0.25">
      <c r="A303" s="2">
        <v>45487</v>
      </c>
      <c r="B303" s="3" t="s">
        <v>11</v>
      </c>
      <c r="C303" s="3" t="s">
        <v>12</v>
      </c>
      <c r="D303" s="3"/>
      <c r="E303" s="3" t="s">
        <v>13</v>
      </c>
      <c r="F303" s="3" t="s">
        <v>14</v>
      </c>
      <c r="G303" s="3" t="s">
        <v>15</v>
      </c>
    </row>
    <row r="304" spans="1:7" ht="13.2" x14ac:dyDescent="0.25">
      <c r="A304" s="2">
        <v>45488</v>
      </c>
      <c r="B304" s="3" t="s">
        <v>11</v>
      </c>
      <c r="C304" s="3" t="s">
        <v>12</v>
      </c>
      <c r="D304" s="3"/>
      <c r="E304" s="3" t="s">
        <v>13</v>
      </c>
      <c r="F304" s="3" t="s">
        <v>14</v>
      </c>
      <c r="G304" s="3" t="s">
        <v>15</v>
      </c>
    </row>
    <row r="305" spans="1:7" ht="13.2" x14ac:dyDescent="0.25">
      <c r="A305" s="2">
        <v>45489</v>
      </c>
      <c r="B305" s="3" t="s">
        <v>30</v>
      </c>
      <c r="C305" s="3" t="s">
        <v>181</v>
      </c>
      <c r="D305" s="3"/>
      <c r="E305" s="3" t="s">
        <v>67</v>
      </c>
      <c r="F305" s="3" t="s">
        <v>23</v>
      </c>
      <c r="G305" s="3" t="s">
        <v>15</v>
      </c>
    </row>
    <row r="306" spans="1:7" ht="13.2" x14ac:dyDescent="0.25">
      <c r="A306" s="2">
        <v>45489</v>
      </c>
      <c r="B306" s="3" t="s">
        <v>11</v>
      </c>
      <c r="C306" s="3" t="s">
        <v>12</v>
      </c>
      <c r="D306" s="3"/>
      <c r="E306" s="3" t="s">
        <v>13</v>
      </c>
      <c r="F306" s="3" t="s">
        <v>14</v>
      </c>
      <c r="G306" s="3" t="s">
        <v>15</v>
      </c>
    </row>
    <row r="307" spans="1:7" ht="13.2" x14ac:dyDescent="0.25">
      <c r="A307" s="2">
        <v>45490</v>
      </c>
      <c r="B307" s="3" t="s">
        <v>11</v>
      </c>
      <c r="C307" s="3" t="s">
        <v>12</v>
      </c>
      <c r="D307" s="3"/>
      <c r="E307" s="3" t="s">
        <v>13</v>
      </c>
      <c r="F307" s="3" t="s">
        <v>14</v>
      </c>
      <c r="G307" s="3" t="s">
        <v>15</v>
      </c>
    </row>
    <row r="308" spans="1:7" ht="13.2" x14ac:dyDescent="0.25">
      <c r="A308" s="2">
        <v>45491</v>
      </c>
      <c r="B308" s="3" t="s">
        <v>24</v>
      </c>
      <c r="C308" s="3" t="s">
        <v>182</v>
      </c>
      <c r="D308" s="3"/>
      <c r="E308" s="3" t="s">
        <v>26</v>
      </c>
      <c r="F308" s="3" t="s">
        <v>19</v>
      </c>
      <c r="G308" s="3" t="s">
        <v>15</v>
      </c>
    </row>
    <row r="309" spans="1:7" ht="13.2" x14ac:dyDescent="0.25">
      <c r="A309" s="2">
        <v>45491</v>
      </c>
      <c r="B309" s="3" t="s">
        <v>11</v>
      </c>
      <c r="C309" s="3" t="s">
        <v>12</v>
      </c>
      <c r="D309" s="3"/>
      <c r="E309" s="3" t="s">
        <v>13</v>
      </c>
      <c r="F309" s="3" t="s">
        <v>14</v>
      </c>
      <c r="G309" s="3" t="s">
        <v>15</v>
      </c>
    </row>
    <row r="310" spans="1:7" ht="13.2" x14ac:dyDescent="0.25">
      <c r="A310" s="2">
        <v>45492</v>
      </c>
      <c r="B310" s="3" t="s">
        <v>11</v>
      </c>
      <c r="C310" s="3" t="s">
        <v>12</v>
      </c>
      <c r="D310" s="3"/>
      <c r="E310" s="3" t="s">
        <v>13</v>
      </c>
      <c r="F310" s="3" t="s">
        <v>14</v>
      </c>
      <c r="G310" s="3" t="s">
        <v>15</v>
      </c>
    </row>
    <row r="311" spans="1:7" ht="13.2" x14ac:dyDescent="0.25">
      <c r="A311" s="2">
        <v>45492</v>
      </c>
      <c r="B311" s="3" t="s">
        <v>33</v>
      </c>
      <c r="C311" s="3" t="s">
        <v>183</v>
      </c>
      <c r="D311" s="3"/>
      <c r="E311" s="3" t="s">
        <v>35</v>
      </c>
      <c r="F311" s="3" t="s">
        <v>36</v>
      </c>
      <c r="G311" s="3" t="s">
        <v>15</v>
      </c>
    </row>
    <row r="312" spans="1:7" ht="13.2" x14ac:dyDescent="0.25">
      <c r="A312" s="2">
        <v>45492</v>
      </c>
      <c r="B312" s="3" t="s">
        <v>81</v>
      </c>
      <c r="C312" s="3" t="s">
        <v>184</v>
      </c>
      <c r="D312" s="3"/>
      <c r="E312" s="3" t="s">
        <v>39</v>
      </c>
      <c r="F312" s="3" t="s">
        <v>36</v>
      </c>
      <c r="G312" s="3" t="s">
        <v>15</v>
      </c>
    </row>
    <row r="313" spans="1:7" ht="13.2" x14ac:dyDescent="0.25">
      <c r="A313" s="2">
        <v>45492</v>
      </c>
      <c r="B313" s="3" t="s">
        <v>40</v>
      </c>
      <c r="C313" s="3" t="s">
        <v>185</v>
      </c>
      <c r="D313" s="3"/>
      <c r="E313" s="3" t="s">
        <v>42</v>
      </c>
      <c r="F313" s="3" t="s">
        <v>14</v>
      </c>
      <c r="G313" s="3" t="s">
        <v>15</v>
      </c>
    </row>
    <row r="314" spans="1:7" ht="13.2" x14ac:dyDescent="0.25">
      <c r="A314" s="2">
        <v>45493</v>
      </c>
      <c r="B314" s="3" t="s">
        <v>43</v>
      </c>
      <c r="C314" s="3" t="s">
        <v>186</v>
      </c>
      <c r="D314" s="3"/>
      <c r="E314" s="3" t="s">
        <v>45</v>
      </c>
      <c r="F314" s="3" t="s">
        <v>23</v>
      </c>
      <c r="G314" s="3" t="s">
        <v>15</v>
      </c>
    </row>
    <row r="315" spans="1:7" ht="13.2" x14ac:dyDescent="0.25">
      <c r="A315" s="2">
        <v>45494</v>
      </c>
      <c r="B315" s="3" t="s">
        <v>46</v>
      </c>
      <c r="C315" s="3"/>
      <c r="D315" s="3" t="s">
        <v>187</v>
      </c>
      <c r="E315" s="3" t="s">
        <v>48</v>
      </c>
      <c r="F315" s="3" t="s">
        <v>49</v>
      </c>
      <c r="G315" s="3" t="s">
        <v>10</v>
      </c>
    </row>
    <row r="316" spans="1:7" ht="13.2" x14ac:dyDescent="0.25">
      <c r="A316" s="2">
        <v>45494</v>
      </c>
      <c r="B316" s="3" t="s">
        <v>11</v>
      </c>
      <c r="C316" s="3" t="s">
        <v>12</v>
      </c>
      <c r="D316" s="3"/>
      <c r="E316" s="3" t="s">
        <v>13</v>
      </c>
      <c r="F316" s="3" t="s">
        <v>14</v>
      </c>
      <c r="G316" s="3" t="s">
        <v>15</v>
      </c>
    </row>
    <row r="317" spans="1:7" ht="13.2" x14ac:dyDescent="0.25">
      <c r="A317" s="2">
        <v>45495</v>
      </c>
      <c r="B317" s="3" t="s">
        <v>11</v>
      </c>
      <c r="C317" s="3" t="s">
        <v>12</v>
      </c>
      <c r="D317" s="3"/>
      <c r="E317" s="3" t="s">
        <v>13</v>
      </c>
      <c r="F317" s="3" t="s">
        <v>14</v>
      </c>
      <c r="G317" s="3" t="s">
        <v>15</v>
      </c>
    </row>
    <row r="318" spans="1:7" ht="13.2" x14ac:dyDescent="0.25">
      <c r="A318" s="2">
        <v>45495</v>
      </c>
      <c r="B318" s="3" t="s">
        <v>51</v>
      </c>
      <c r="C318" s="3" t="s">
        <v>34</v>
      </c>
      <c r="D318" s="3"/>
      <c r="E318" s="3" t="s">
        <v>51</v>
      </c>
      <c r="F318" s="3" t="s">
        <v>19</v>
      </c>
      <c r="G318" s="3" t="s">
        <v>15</v>
      </c>
    </row>
    <row r="319" spans="1:7" ht="13.2" x14ac:dyDescent="0.25">
      <c r="A319" s="2">
        <v>45496</v>
      </c>
      <c r="B319" s="3" t="s">
        <v>52</v>
      </c>
      <c r="C319" s="3" t="s">
        <v>77</v>
      </c>
      <c r="D319" s="3"/>
      <c r="E319" s="3" t="s">
        <v>54</v>
      </c>
      <c r="F319" s="3" t="s">
        <v>36</v>
      </c>
      <c r="G319" s="3" t="s">
        <v>15</v>
      </c>
    </row>
    <row r="320" spans="1:7" ht="13.2" x14ac:dyDescent="0.25">
      <c r="A320" s="2">
        <v>45496</v>
      </c>
      <c r="B320" s="3" t="s">
        <v>55</v>
      </c>
      <c r="C320" s="3" t="s">
        <v>87</v>
      </c>
      <c r="D320" s="3"/>
      <c r="E320" s="3" t="s">
        <v>35</v>
      </c>
      <c r="F320" s="3" t="s">
        <v>36</v>
      </c>
      <c r="G320" s="3" t="s">
        <v>15</v>
      </c>
    </row>
    <row r="321" spans="1:7" ht="13.2" x14ac:dyDescent="0.25">
      <c r="A321" s="2">
        <v>45496</v>
      </c>
      <c r="B321" s="3" t="s">
        <v>11</v>
      </c>
      <c r="C321" s="3" t="s">
        <v>12</v>
      </c>
      <c r="D321" s="3"/>
      <c r="E321" s="3" t="s">
        <v>13</v>
      </c>
      <c r="F321" s="3" t="s">
        <v>14</v>
      </c>
      <c r="G321" s="3" t="s">
        <v>15</v>
      </c>
    </row>
    <row r="322" spans="1:7" ht="13.2" x14ac:dyDescent="0.25">
      <c r="A322" s="2">
        <v>45497</v>
      </c>
      <c r="B322" s="3" t="s">
        <v>11</v>
      </c>
      <c r="C322" s="3" t="s">
        <v>12</v>
      </c>
      <c r="D322" s="3"/>
      <c r="E322" s="3" t="s">
        <v>13</v>
      </c>
      <c r="F322" s="3" t="s">
        <v>14</v>
      </c>
      <c r="G322" s="3" t="s">
        <v>15</v>
      </c>
    </row>
    <row r="323" spans="1:7" ht="13.2" x14ac:dyDescent="0.25">
      <c r="A323" s="2">
        <v>45498</v>
      </c>
      <c r="B323" s="3" t="s">
        <v>11</v>
      </c>
      <c r="C323" s="3" t="s">
        <v>12</v>
      </c>
      <c r="D323" s="3"/>
      <c r="E323" s="3" t="s">
        <v>13</v>
      </c>
      <c r="F323" s="3" t="s">
        <v>14</v>
      </c>
      <c r="G323" s="3" t="s">
        <v>15</v>
      </c>
    </row>
    <row r="324" spans="1:7" ht="13.2" x14ac:dyDescent="0.25">
      <c r="A324" s="2">
        <v>45498</v>
      </c>
      <c r="B324" s="3" t="s">
        <v>24</v>
      </c>
      <c r="C324" s="3" t="s">
        <v>188</v>
      </c>
      <c r="D324" s="3"/>
      <c r="E324" s="3" t="s">
        <v>26</v>
      </c>
      <c r="F324" s="3" t="s">
        <v>19</v>
      </c>
      <c r="G324" s="3" t="s">
        <v>15</v>
      </c>
    </row>
    <row r="325" spans="1:7" ht="13.2" x14ac:dyDescent="0.25">
      <c r="A325" s="2">
        <v>45499</v>
      </c>
      <c r="B325" s="3" t="s">
        <v>58</v>
      </c>
      <c r="C325" s="3" t="s">
        <v>189</v>
      </c>
      <c r="D325" s="3"/>
      <c r="E325" s="3" t="s">
        <v>42</v>
      </c>
      <c r="F325" s="3" t="s">
        <v>14</v>
      </c>
      <c r="G325" s="3" t="s">
        <v>15</v>
      </c>
    </row>
    <row r="326" spans="1:7" ht="13.2" x14ac:dyDescent="0.25">
      <c r="A326" s="2">
        <v>45500</v>
      </c>
      <c r="B326" s="3" t="s">
        <v>60</v>
      </c>
      <c r="C326" s="3" t="s">
        <v>190</v>
      </c>
      <c r="D326" s="3"/>
      <c r="E326" s="3" t="s">
        <v>42</v>
      </c>
      <c r="F326" s="3" t="s">
        <v>14</v>
      </c>
      <c r="G326" s="3" t="s">
        <v>15</v>
      </c>
    </row>
    <row r="327" spans="1:7" ht="13.2" x14ac:dyDescent="0.25">
      <c r="A327" s="2">
        <v>45501</v>
      </c>
      <c r="B327" s="3" t="s">
        <v>62</v>
      </c>
      <c r="C327" s="3" t="s">
        <v>63</v>
      </c>
      <c r="D327" s="3"/>
      <c r="E327" s="3" t="s">
        <v>64</v>
      </c>
      <c r="F327" s="3" t="s">
        <v>65</v>
      </c>
      <c r="G327" s="3" t="s">
        <v>15</v>
      </c>
    </row>
    <row r="328" spans="1:7" ht="13.2" x14ac:dyDescent="0.25">
      <c r="A328" s="2">
        <v>45501</v>
      </c>
      <c r="B328" s="3" t="s">
        <v>30</v>
      </c>
      <c r="C328" s="3" t="s">
        <v>191</v>
      </c>
      <c r="D328" s="3"/>
      <c r="E328" s="3" t="s">
        <v>67</v>
      </c>
      <c r="F328" s="3" t="s">
        <v>23</v>
      </c>
      <c r="G328" s="3" t="s">
        <v>15</v>
      </c>
    </row>
    <row r="329" spans="1:7" ht="13.2" x14ac:dyDescent="0.25">
      <c r="A329" s="2">
        <v>45501</v>
      </c>
      <c r="B329" s="3" t="s">
        <v>11</v>
      </c>
      <c r="C329" s="3" t="s">
        <v>12</v>
      </c>
      <c r="D329" s="3"/>
      <c r="E329" s="3" t="s">
        <v>13</v>
      </c>
      <c r="F329" s="3" t="s">
        <v>14</v>
      </c>
      <c r="G329" s="3" t="s">
        <v>15</v>
      </c>
    </row>
    <row r="330" spans="1:7" ht="13.2" x14ac:dyDescent="0.25">
      <c r="A330" s="2">
        <v>45502</v>
      </c>
      <c r="B330" s="3" t="s">
        <v>11</v>
      </c>
      <c r="C330" s="3" t="s">
        <v>12</v>
      </c>
      <c r="D330" s="3"/>
      <c r="E330" s="3" t="s">
        <v>13</v>
      </c>
      <c r="F330" s="3" t="s">
        <v>14</v>
      </c>
      <c r="G330" s="3" t="s">
        <v>15</v>
      </c>
    </row>
    <row r="331" spans="1:7" ht="13.2" x14ac:dyDescent="0.25">
      <c r="A331" s="2">
        <v>45503</v>
      </c>
      <c r="B331" s="3" t="s">
        <v>11</v>
      </c>
      <c r="C331" s="3" t="s">
        <v>12</v>
      </c>
      <c r="D331" s="3"/>
      <c r="E331" s="3" t="s">
        <v>13</v>
      </c>
      <c r="F331" s="3" t="s">
        <v>14</v>
      </c>
      <c r="G331" s="3" t="s">
        <v>15</v>
      </c>
    </row>
    <row r="332" spans="1:7" ht="13.2" x14ac:dyDescent="0.25">
      <c r="A332" s="2">
        <v>45504</v>
      </c>
      <c r="B332" s="3" t="s">
        <v>11</v>
      </c>
      <c r="C332" s="3" t="s">
        <v>12</v>
      </c>
      <c r="D332" s="3"/>
      <c r="E332" s="3" t="s">
        <v>13</v>
      </c>
      <c r="F332" s="3" t="s">
        <v>14</v>
      </c>
      <c r="G332" s="3" t="s">
        <v>15</v>
      </c>
    </row>
    <row r="333" spans="1:7" ht="13.2" x14ac:dyDescent="0.25">
      <c r="A333" s="2">
        <v>45505</v>
      </c>
      <c r="B333" s="3" t="s">
        <v>11</v>
      </c>
      <c r="C333" s="3" t="s">
        <v>12</v>
      </c>
      <c r="D333" s="3"/>
      <c r="E333" s="3" t="s">
        <v>13</v>
      </c>
      <c r="F333" s="3" t="s">
        <v>14</v>
      </c>
      <c r="G333" s="3" t="s">
        <v>15</v>
      </c>
    </row>
    <row r="334" spans="1:7" ht="13.2" x14ac:dyDescent="0.25">
      <c r="A334" s="2">
        <v>45505</v>
      </c>
      <c r="B334" s="3" t="s">
        <v>24</v>
      </c>
      <c r="C334" s="3" t="s">
        <v>192</v>
      </c>
      <c r="D334" s="3"/>
      <c r="E334" s="3" t="s">
        <v>26</v>
      </c>
      <c r="F334" s="3" t="s">
        <v>19</v>
      </c>
      <c r="G334" s="3" t="s">
        <v>15</v>
      </c>
    </row>
    <row r="335" spans="1:7" ht="13.2" x14ac:dyDescent="0.25">
      <c r="A335" s="2">
        <v>45506</v>
      </c>
      <c r="B335" s="3" t="s">
        <v>69</v>
      </c>
      <c r="C335" s="3" t="s">
        <v>193</v>
      </c>
      <c r="D335" s="3"/>
      <c r="E335" s="3" t="s">
        <v>39</v>
      </c>
      <c r="F335" s="3" t="s">
        <v>36</v>
      </c>
      <c r="G335" s="3" t="s">
        <v>15</v>
      </c>
    </row>
    <row r="336" spans="1:7" ht="13.2" x14ac:dyDescent="0.25">
      <c r="A336" s="2">
        <v>45506</v>
      </c>
      <c r="B336" s="3" t="s">
        <v>155</v>
      </c>
      <c r="C336" s="3" t="s">
        <v>194</v>
      </c>
      <c r="D336" s="3"/>
      <c r="E336" s="3" t="s">
        <v>157</v>
      </c>
      <c r="F336" s="3" t="s">
        <v>36</v>
      </c>
      <c r="G336" s="3" t="s">
        <v>15</v>
      </c>
    </row>
    <row r="337" spans="1:7" ht="13.2" x14ac:dyDescent="0.25">
      <c r="A337" s="2">
        <v>45507</v>
      </c>
      <c r="B337" s="3" t="s">
        <v>37</v>
      </c>
      <c r="C337" s="3" t="s">
        <v>195</v>
      </c>
      <c r="D337" s="3"/>
      <c r="E337" s="3" t="s">
        <v>39</v>
      </c>
      <c r="F337" s="3" t="s">
        <v>36</v>
      </c>
      <c r="G337" s="3" t="s">
        <v>15</v>
      </c>
    </row>
    <row r="338" spans="1:7" ht="13.2" x14ac:dyDescent="0.25">
      <c r="A338" s="2">
        <v>45507</v>
      </c>
      <c r="B338" s="3" t="s">
        <v>43</v>
      </c>
      <c r="C338" s="3" t="s">
        <v>196</v>
      </c>
      <c r="D338" s="3"/>
      <c r="E338" s="3" t="s">
        <v>45</v>
      </c>
      <c r="F338" s="3" t="s">
        <v>23</v>
      </c>
      <c r="G338" s="3" t="s">
        <v>15</v>
      </c>
    </row>
    <row r="339" spans="1:7" ht="13.2" x14ac:dyDescent="0.25">
      <c r="A339" s="2">
        <v>45507</v>
      </c>
      <c r="B339" s="3" t="s">
        <v>121</v>
      </c>
      <c r="C339" s="3" t="s">
        <v>122</v>
      </c>
      <c r="D339" s="3"/>
      <c r="E339" s="3" t="s">
        <v>42</v>
      </c>
      <c r="F339" s="3" t="s">
        <v>14</v>
      </c>
      <c r="G339" s="3" t="s">
        <v>15</v>
      </c>
    </row>
    <row r="340" spans="1:7" ht="13.2" x14ac:dyDescent="0.25">
      <c r="A340" s="2">
        <v>45508</v>
      </c>
      <c r="B340" s="3" t="s">
        <v>11</v>
      </c>
      <c r="C340" s="3" t="s">
        <v>12</v>
      </c>
      <c r="D340" s="3"/>
      <c r="E340" s="3" t="s">
        <v>13</v>
      </c>
      <c r="F340" s="3" t="s">
        <v>14</v>
      </c>
      <c r="G340" s="3" t="s">
        <v>15</v>
      </c>
    </row>
    <row r="341" spans="1:7" ht="13.2" x14ac:dyDescent="0.25">
      <c r="A341" s="2">
        <v>45510</v>
      </c>
      <c r="B341" s="3" t="s">
        <v>11</v>
      </c>
      <c r="C341" s="3" t="s">
        <v>12</v>
      </c>
      <c r="D341" s="3"/>
      <c r="E341" s="3" t="s">
        <v>13</v>
      </c>
      <c r="F341" s="3" t="s">
        <v>14</v>
      </c>
      <c r="G341" s="3" t="s">
        <v>15</v>
      </c>
    </row>
    <row r="342" spans="1:7" ht="13.2" x14ac:dyDescent="0.25">
      <c r="A342" s="2">
        <v>45510</v>
      </c>
      <c r="B342" s="3" t="s">
        <v>7</v>
      </c>
      <c r="C342" s="3"/>
      <c r="D342" s="3" t="s">
        <v>8</v>
      </c>
      <c r="E342" s="3" t="s">
        <v>75</v>
      </c>
      <c r="F342" s="3" t="s">
        <v>9</v>
      </c>
      <c r="G342" s="3" t="s">
        <v>10</v>
      </c>
    </row>
    <row r="343" spans="1:7" ht="13.2" x14ac:dyDescent="0.25">
      <c r="A343" s="2">
        <v>45511</v>
      </c>
      <c r="B343" s="3" t="s">
        <v>11</v>
      </c>
      <c r="C343" s="3" t="s">
        <v>12</v>
      </c>
      <c r="D343" s="3"/>
      <c r="E343" s="3" t="s">
        <v>13</v>
      </c>
      <c r="F343" s="3" t="s">
        <v>14</v>
      </c>
      <c r="G343" s="3" t="s">
        <v>15</v>
      </c>
    </row>
    <row r="344" spans="1:7" ht="13.2" x14ac:dyDescent="0.25">
      <c r="A344" s="2">
        <v>45513</v>
      </c>
      <c r="B344" s="3" t="s">
        <v>16</v>
      </c>
      <c r="C344" s="3" t="s">
        <v>17</v>
      </c>
      <c r="D344" s="3"/>
      <c r="E344" s="3" t="s">
        <v>18</v>
      </c>
      <c r="F344" s="3" t="s">
        <v>19</v>
      </c>
      <c r="G344" s="3" t="s">
        <v>15</v>
      </c>
    </row>
    <row r="345" spans="1:7" ht="13.2" x14ac:dyDescent="0.25">
      <c r="A345" s="2">
        <v>45513</v>
      </c>
      <c r="B345" s="3" t="s">
        <v>20</v>
      </c>
      <c r="C345" s="3" t="s">
        <v>21</v>
      </c>
      <c r="D345" s="3"/>
      <c r="E345" s="3" t="s">
        <v>22</v>
      </c>
      <c r="F345" s="3" t="s">
        <v>23</v>
      </c>
      <c r="G345" s="3" t="s">
        <v>15</v>
      </c>
    </row>
    <row r="346" spans="1:7" ht="13.2" x14ac:dyDescent="0.25">
      <c r="A346" s="2">
        <v>45513</v>
      </c>
      <c r="B346" s="3" t="s">
        <v>11</v>
      </c>
      <c r="C346" s="3" t="s">
        <v>12</v>
      </c>
      <c r="D346" s="3"/>
      <c r="E346" s="3" t="s">
        <v>13</v>
      </c>
      <c r="F346" s="3" t="s">
        <v>14</v>
      </c>
      <c r="G346" s="3" t="s">
        <v>15</v>
      </c>
    </row>
    <row r="347" spans="1:7" ht="13.2" x14ac:dyDescent="0.25">
      <c r="A347" s="2">
        <v>45513</v>
      </c>
      <c r="B347" s="3" t="s">
        <v>11</v>
      </c>
      <c r="C347" s="3" t="s">
        <v>12</v>
      </c>
      <c r="D347" s="3"/>
      <c r="E347" s="3" t="s">
        <v>13</v>
      </c>
      <c r="F347" s="3" t="s">
        <v>14</v>
      </c>
      <c r="G347" s="3" t="s">
        <v>15</v>
      </c>
    </row>
    <row r="348" spans="1:7" ht="13.2" x14ac:dyDescent="0.25">
      <c r="A348" s="2">
        <v>45514</v>
      </c>
      <c r="B348" s="3" t="s">
        <v>11</v>
      </c>
      <c r="C348" s="3" t="s">
        <v>12</v>
      </c>
      <c r="D348" s="3"/>
      <c r="E348" s="3" t="s">
        <v>13</v>
      </c>
      <c r="F348" s="3" t="s">
        <v>14</v>
      </c>
      <c r="G348" s="3" t="s">
        <v>15</v>
      </c>
    </row>
    <row r="349" spans="1:7" ht="13.2" x14ac:dyDescent="0.25">
      <c r="A349" s="2">
        <v>45515</v>
      </c>
      <c r="B349" s="3" t="s">
        <v>11</v>
      </c>
      <c r="C349" s="3" t="s">
        <v>12</v>
      </c>
      <c r="D349" s="3"/>
      <c r="E349" s="3" t="s">
        <v>13</v>
      </c>
      <c r="F349" s="3" t="s">
        <v>14</v>
      </c>
      <c r="G349" s="3" t="s">
        <v>15</v>
      </c>
    </row>
    <row r="350" spans="1:7" ht="13.2" x14ac:dyDescent="0.25">
      <c r="A350" s="2">
        <v>45515</v>
      </c>
      <c r="B350" s="3" t="s">
        <v>24</v>
      </c>
      <c r="C350" s="3" t="s">
        <v>95</v>
      </c>
      <c r="D350" s="3"/>
      <c r="E350" s="3" t="s">
        <v>26</v>
      </c>
      <c r="F350" s="3" t="s">
        <v>19</v>
      </c>
      <c r="G350" s="3" t="s">
        <v>15</v>
      </c>
    </row>
    <row r="351" spans="1:7" ht="13.2" x14ac:dyDescent="0.25">
      <c r="A351" s="2">
        <v>45518</v>
      </c>
      <c r="B351" s="3" t="s">
        <v>27</v>
      </c>
      <c r="C351" s="3" t="s">
        <v>197</v>
      </c>
      <c r="D351" s="3"/>
      <c r="E351" s="3" t="s">
        <v>29</v>
      </c>
      <c r="F351" s="3" t="s">
        <v>19</v>
      </c>
      <c r="G351" s="3" t="s">
        <v>15</v>
      </c>
    </row>
    <row r="352" spans="1:7" ht="13.2" x14ac:dyDescent="0.25">
      <c r="A352" s="2">
        <v>45518</v>
      </c>
      <c r="B352" s="3" t="s">
        <v>11</v>
      </c>
      <c r="C352" s="3" t="s">
        <v>12</v>
      </c>
      <c r="D352" s="3"/>
      <c r="E352" s="3" t="s">
        <v>13</v>
      </c>
      <c r="F352" s="3" t="s">
        <v>14</v>
      </c>
      <c r="G352" s="3" t="s">
        <v>15</v>
      </c>
    </row>
    <row r="353" spans="1:7" ht="13.2" x14ac:dyDescent="0.25">
      <c r="A353" s="2">
        <v>45519</v>
      </c>
      <c r="B353" s="3" t="s">
        <v>11</v>
      </c>
      <c r="C353" s="3" t="s">
        <v>12</v>
      </c>
      <c r="D353" s="3"/>
      <c r="E353" s="3" t="s">
        <v>13</v>
      </c>
      <c r="F353" s="3" t="s">
        <v>14</v>
      </c>
      <c r="G353" s="3" t="s">
        <v>15</v>
      </c>
    </row>
    <row r="354" spans="1:7" ht="13.2" x14ac:dyDescent="0.25">
      <c r="A354" s="2">
        <v>45520</v>
      </c>
      <c r="B354" s="3" t="s">
        <v>30</v>
      </c>
      <c r="C354" s="3" t="s">
        <v>198</v>
      </c>
      <c r="D354" s="3"/>
      <c r="E354" s="3" t="s">
        <v>67</v>
      </c>
      <c r="F354" s="3" t="s">
        <v>23</v>
      </c>
      <c r="G354" s="3" t="s">
        <v>15</v>
      </c>
    </row>
    <row r="355" spans="1:7" ht="13.2" x14ac:dyDescent="0.25">
      <c r="A355" s="2">
        <v>45520</v>
      </c>
      <c r="B355" s="3" t="s">
        <v>11</v>
      </c>
      <c r="C355" s="3" t="s">
        <v>12</v>
      </c>
      <c r="D355" s="3"/>
      <c r="E355" s="3" t="s">
        <v>13</v>
      </c>
      <c r="F355" s="3" t="s">
        <v>14</v>
      </c>
      <c r="G355" s="3" t="s">
        <v>15</v>
      </c>
    </row>
    <row r="356" spans="1:7" ht="13.2" x14ac:dyDescent="0.25">
      <c r="A356" s="2">
        <v>45521</v>
      </c>
      <c r="B356" s="3" t="s">
        <v>11</v>
      </c>
      <c r="C356" s="3" t="s">
        <v>12</v>
      </c>
      <c r="D356" s="3"/>
      <c r="E356" s="3" t="s">
        <v>13</v>
      </c>
      <c r="F356" s="3" t="s">
        <v>14</v>
      </c>
      <c r="G356" s="3" t="s">
        <v>15</v>
      </c>
    </row>
    <row r="357" spans="1:7" ht="13.2" x14ac:dyDescent="0.25">
      <c r="A357" s="2">
        <v>45522</v>
      </c>
      <c r="B357" s="3" t="s">
        <v>24</v>
      </c>
      <c r="C357" s="3" t="s">
        <v>199</v>
      </c>
      <c r="D357" s="3"/>
      <c r="E357" s="3" t="s">
        <v>26</v>
      </c>
      <c r="F357" s="3" t="s">
        <v>19</v>
      </c>
      <c r="G357" s="3" t="s">
        <v>15</v>
      </c>
    </row>
    <row r="358" spans="1:7" ht="13.2" x14ac:dyDescent="0.25">
      <c r="A358" s="2">
        <v>45522</v>
      </c>
      <c r="B358" s="3" t="s">
        <v>11</v>
      </c>
      <c r="C358" s="3" t="s">
        <v>12</v>
      </c>
      <c r="D358" s="3"/>
      <c r="E358" s="3" t="s">
        <v>13</v>
      </c>
      <c r="F358" s="3" t="s">
        <v>14</v>
      </c>
      <c r="G358" s="3" t="s">
        <v>15</v>
      </c>
    </row>
    <row r="359" spans="1:7" ht="13.2" x14ac:dyDescent="0.25">
      <c r="A359" s="2">
        <v>45523</v>
      </c>
      <c r="B359" s="3" t="s">
        <v>11</v>
      </c>
      <c r="C359" s="3" t="s">
        <v>12</v>
      </c>
      <c r="D359" s="3"/>
      <c r="E359" s="3" t="s">
        <v>13</v>
      </c>
      <c r="F359" s="3" t="s">
        <v>14</v>
      </c>
      <c r="G359" s="3" t="s">
        <v>15</v>
      </c>
    </row>
    <row r="360" spans="1:7" ht="13.2" x14ac:dyDescent="0.25">
      <c r="A360" s="2">
        <v>45523</v>
      </c>
      <c r="B360" s="3" t="s">
        <v>33</v>
      </c>
      <c r="C360" s="3" t="s">
        <v>110</v>
      </c>
      <c r="D360" s="3"/>
      <c r="E360" s="3" t="s">
        <v>35</v>
      </c>
      <c r="F360" s="3" t="s">
        <v>36</v>
      </c>
      <c r="G360" s="3" t="s">
        <v>15</v>
      </c>
    </row>
    <row r="361" spans="1:7" ht="13.2" x14ac:dyDescent="0.25">
      <c r="A361" s="2">
        <v>45523</v>
      </c>
      <c r="B361" s="3" t="s">
        <v>200</v>
      </c>
      <c r="C361" s="3" t="s">
        <v>201</v>
      </c>
      <c r="D361" s="3"/>
      <c r="E361" s="3" t="s">
        <v>39</v>
      </c>
      <c r="F361" s="3" t="s">
        <v>36</v>
      </c>
      <c r="G361" s="3" t="s">
        <v>15</v>
      </c>
    </row>
    <row r="362" spans="1:7" ht="13.2" x14ac:dyDescent="0.25">
      <c r="A362" s="2">
        <v>45523</v>
      </c>
      <c r="B362" s="3" t="s">
        <v>40</v>
      </c>
      <c r="C362" s="3" t="s">
        <v>202</v>
      </c>
      <c r="D362" s="3"/>
      <c r="E362" s="3" t="s">
        <v>42</v>
      </c>
      <c r="F362" s="3" t="s">
        <v>14</v>
      </c>
      <c r="G362" s="3" t="s">
        <v>15</v>
      </c>
    </row>
    <row r="363" spans="1:7" ht="13.2" x14ac:dyDescent="0.25">
      <c r="A363" s="2">
        <v>45524</v>
      </c>
      <c r="B363" s="3" t="s">
        <v>43</v>
      </c>
      <c r="C363" s="3" t="s">
        <v>203</v>
      </c>
      <c r="D363" s="3"/>
      <c r="E363" s="3" t="s">
        <v>45</v>
      </c>
      <c r="F363" s="3" t="s">
        <v>23</v>
      </c>
      <c r="G363" s="3" t="s">
        <v>15</v>
      </c>
    </row>
    <row r="364" spans="1:7" ht="13.2" x14ac:dyDescent="0.25">
      <c r="A364" s="2">
        <v>45525</v>
      </c>
      <c r="B364" s="3" t="s">
        <v>46</v>
      </c>
      <c r="C364" s="3"/>
      <c r="D364" s="3" t="s">
        <v>85</v>
      </c>
      <c r="E364" s="3" t="s">
        <v>48</v>
      </c>
      <c r="F364" s="3" t="s">
        <v>49</v>
      </c>
      <c r="G364" s="3" t="s">
        <v>10</v>
      </c>
    </row>
    <row r="365" spans="1:7" ht="13.2" x14ac:dyDescent="0.25">
      <c r="A365" s="2">
        <v>45525</v>
      </c>
      <c r="B365" s="3" t="s">
        <v>11</v>
      </c>
      <c r="C365" s="3" t="s">
        <v>12</v>
      </c>
      <c r="D365" s="3"/>
      <c r="E365" s="3" t="s">
        <v>13</v>
      </c>
      <c r="F365" s="3" t="s">
        <v>14</v>
      </c>
      <c r="G365" s="3" t="s">
        <v>15</v>
      </c>
    </row>
    <row r="366" spans="1:7" ht="13.2" x14ac:dyDescent="0.25">
      <c r="A366" s="2">
        <v>45526</v>
      </c>
      <c r="B366" s="3" t="s">
        <v>11</v>
      </c>
      <c r="C366" s="3" t="s">
        <v>12</v>
      </c>
      <c r="D366" s="3"/>
      <c r="E366" s="3" t="s">
        <v>13</v>
      </c>
      <c r="F366" s="3" t="s">
        <v>14</v>
      </c>
      <c r="G366" s="3" t="s">
        <v>15</v>
      </c>
    </row>
    <row r="367" spans="1:7" ht="13.2" x14ac:dyDescent="0.25">
      <c r="A367" s="2">
        <v>45526</v>
      </c>
      <c r="B367" s="3" t="s">
        <v>51</v>
      </c>
      <c r="C367" s="3" t="s">
        <v>34</v>
      </c>
      <c r="D367" s="3"/>
      <c r="E367" s="3" t="s">
        <v>51</v>
      </c>
      <c r="F367" s="3" t="s">
        <v>19</v>
      </c>
      <c r="G367" s="3" t="s">
        <v>15</v>
      </c>
    </row>
    <row r="368" spans="1:7" ht="13.2" x14ac:dyDescent="0.25">
      <c r="A368" s="2">
        <v>45527</v>
      </c>
      <c r="B368" s="3" t="s">
        <v>52</v>
      </c>
      <c r="C368" s="3" t="s">
        <v>99</v>
      </c>
      <c r="D368" s="3"/>
      <c r="E368" s="3" t="s">
        <v>54</v>
      </c>
      <c r="F368" s="3" t="s">
        <v>36</v>
      </c>
      <c r="G368" s="3" t="s">
        <v>15</v>
      </c>
    </row>
    <row r="369" spans="1:7" ht="13.2" x14ac:dyDescent="0.25">
      <c r="A369" s="2">
        <v>45527</v>
      </c>
      <c r="B369" s="3" t="s">
        <v>55</v>
      </c>
      <c r="C369" s="3" t="s">
        <v>87</v>
      </c>
      <c r="D369" s="3"/>
      <c r="E369" s="3" t="s">
        <v>35</v>
      </c>
      <c r="F369" s="3" t="s">
        <v>36</v>
      </c>
      <c r="G369" s="3" t="s">
        <v>15</v>
      </c>
    </row>
    <row r="370" spans="1:7" ht="13.2" x14ac:dyDescent="0.25">
      <c r="A370" s="2">
        <v>45527</v>
      </c>
      <c r="B370" s="3" t="s">
        <v>11</v>
      </c>
      <c r="C370" s="3" t="s">
        <v>12</v>
      </c>
      <c r="D370" s="3"/>
      <c r="E370" s="3" t="s">
        <v>13</v>
      </c>
      <c r="F370" s="3" t="s">
        <v>14</v>
      </c>
      <c r="G370" s="3" t="s">
        <v>15</v>
      </c>
    </row>
    <row r="371" spans="1:7" ht="13.2" x14ac:dyDescent="0.25">
      <c r="A371" s="2">
        <v>45528</v>
      </c>
      <c r="B371" s="3" t="s">
        <v>11</v>
      </c>
      <c r="C371" s="3" t="s">
        <v>12</v>
      </c>
      <c r="D371" s="3"/>
      <c r="E371" s="3" t="s">
        <v>13</v>
      </c>
      <c r="F371" s="3" t="s">
        <v>14</v>
      </c>
      <c r="G371" s="3" t="s">
        <v>15</v>
      </c>
    </row>
    <row r="372" spans="1:7" ht="13.2" x14ac:dyDescent="0.25">
      <c r="A372" s="2">
        <v>45529</v>
      </c>
      <c r="B372" s="3" t="s">
        <v>11</v>
      </c>
      <c r="C372" s="3" t="s">
        <v>12</v>
      </c>
      <c r="D372" s="3"/>
      <c r="E372" s="3" t="s">
        <v>13</v>
      </c>
      <c r="F372" s="3" t="s">
        <v>14</v>
      </c>
      <c r="G372" s="3" t="s">
        <v>15</v>
      </c>
    </row>
    <row r="373" spans="1:7" ht="13.2" x14ac:dyDescent="0.25">
      <c r="A373" s="2">
        <v>45529</v>
      </c>
      <c r="B373" s="3" t="s">
        <v>24</v>
      </c>
      <c r="C373" s="3" t="s">
        <v>204</v>
      </c>
      <c r="D373" s="3"/>
      <c r="E373" s="3" t="s">
        <v>26</v>
      </c>
      <c r="F373" s="3" t="s">
        <v>19</v>
      </c>
      <c r="G373" s="3" t="s">
        <v>15</v>
      </c>
    </row>
    <row r="374" spans="1:7" ht="13.2" x14ac:dyDescent="0.25">
      <c r="A374" s="2">
        <v>45530</v>
      </c>
      <c r="B374" s="3" t="s">
        <v>58</v>
      </c>
      <c r="C374" s="3" t="s">
        <v>205</v>
      </c>
      <c r="D374" s="3"/>
      <c r="E374" s="3" t="s">
        <v>42</v>
      </c>
      <c r="F374" s="3" t="s">
        <v>14</v>
      </c>
      <c r="G374" s="3" t="s">
        <v>15</v>
      </c>
    </row>
    <row r="375" spans="1:7" ht="13.2" x14ac:dyDescent="0.25">
      <c r="A375" s="2">
        <v>45531</v>
      </c>
      <c r="B375" s="3" t="s">
        <v>60</v>
      </c>
      <c r="C375" s="3" t="s">
        <v>206</v>
      </c>
      <c r="D375" s="3"/>
      <c r="E375" s="3" t="s">
        <v>42</v>
      </c>
      <c r="F375" s="3" t="s">
        <v>14</v>
      </c>
      <c r="G375" s="3" t="s">
        <v>15</v>
      </c>
    </row>
    <row r="376" spans="1:7" ht="13.2" x14ac:dyDescent="0.25">
      <c r="A376" s="2">
        <v>45532</v>
      </c>
      <c r="B376" s="3" t="s">
        <v>62</v>
      </c>
      <c r="C376" s="3" t="s">
        <v>63</v>
      </c>
      <c r="D376" s="3"/>
      <c r="E376" s="3" t="s">
        <v>64</v>
      </c>
      <c r="F376" s="3" t="s">
        <v>65</v>
      </c>
      <c r="G376" s="3" t="s">
        <v>15</v>
      </c>
    </row>
    <row r="377" spans="1:7" ht="13.2" x14ac:dyDescent="0.25">
      <c r="A377" s="2">
        <v>45532</v>
      </c>
      <c r="B377" s="3" t="s">
        <v>30</v>
      </c>
      <c r="C377" s="3" t="s">
        <v>207</v>
      </c>
      <c r="D377" s="3"/>
      <c r="E377" s="3" t="s">
        <v>67</v>
      </c>
      <c r="F377" s="3" t="s">
        <v>23</v>
      </c>
      <c r="G377" s="3" t="s">
        <v>15</v>
      </c>
    </row>
    <row r="378" spans="1:7" ht="13.2" x14ac:dyDescent="0.25">
      <c r="A378" s="2">
        <v>45532</v>
      </c>
      <c r="B378" s="3" t="s">
        <v>11</v>
      </c>
      <c r="C378" s="3" t="s">
        <v>12</v>
      </c>
      <c r="D378" s="3"/>
      <c r="E378" s="3" t="s">
        <v>13</v>
      </c>
      <c r="F378" s="3" t="s">
        <v>14</v>
      </c>
      <c r="G378" s="3" t="s">
        <v>15</v>
      </c>
    </row>
    <row r="379" spans="1:7" ht="13.2" x14ac:dyDescent="0.25">
      <c r="A379" s="2">
        <v>45533</v>
      </c>
      <c r="B379" s="3" t="s">
        <v>11</v>
      </c>
      <c r="C379" s="3" t="s">
        <v>12</v>
      </c>
      <c r="D379" s="3"/>
      <c r="E379" s="3" t="s">
        <v>13</v>
      </c>
      <c r="F379" s="3" t="s">
        <v>14</v>
      </c>
      <c r="G379" s="3" t="s">
        <v>15</v>
      </c>
    </row>
    <row r="380" spans="1:7" ht="13.2" x14ac:dyDescent="0.25">
      <c r="A380" s="2">
        <v>45534</v>
      </c>
      <c r="B380" s="3" t="s">
        <v>11</v>
      </c>
      <c r="C380" s="3" t="s">
        <v>12</v>
      </c>
      <c r="D380" s="3"/>
      <c r="E380" s="3" t="s">
        <v>13</v>
      </c>
      <c r="F380" s="3" t="s">
        <v>14</v>
      </c>
      <c r="G380" s="3" t="s">
        <v>15</v>
      </c>
    </row>
    <row r="381" spans="1:7" ht="13.2" x14ac:dyDescent="0.25">
      <c r="A381" s="2">
        <v>45535</v>
      </c>
      <c r="B381" s="3" t="s">
        <v>11</v>
      </c>
      <c r="C381" s="3" t="s">
        <v>12</v>
      </c>
      <c r="D381" s="3"/>
      <c r="E381" s="3" t="s">
        <v>13</v>
      </c>
      <c r="F381" s="3" t="s">
        <v>14</v>
      </c>
      <c r="G381" s="3" t="s">
        <v>15</v>
      </c>
    </row>
    <row r="382" spans="1:7" ht="13.2" x14ac:dyDescent="0.25">
      <c r="A382" s="2">
        <v>45536</v>
      </c>
      <c r="B382" s="3" t="s">
        <v>11</v>
      </c>
      <c r="C382" s="3" t="s">
        <v>12</v>
      </c>
      <c r="D382" s="3"/>
      <c r="E382" s="3" t="s">
        <v>13</v>
      </c>
      <c r="F382" s="3" t="s">
        <v>14</v>
      </c>
      <c r="G382" s="3" t="s">
        <v>15</v>
      </c>
    </row>
    <row r="383" spans="1:7" ht="13.2" x14ac:dyDescent="0.25">
      <c r="A383" s="2">
        <v>45536</v>
      </c>
      <c r="B383" s="3" t="s">
        <v>24</v>
      </c>
      <c r="C383" s="3" t="s">
        <v>208</v>
      </c>
      <c r="D383" s="3"/>
      <c r="E383" s="3" t="s">
        <v>26</v>
      </c>
      <c r="F383" s="3" t="s">
        <v>19</v>
      </c>
      <c r="G383" s="3" t="s">
        <v>15</v>
      </c>
    </row>
    <row r="384" spans="1:7" ht="13.2" x14ac:dyDescent="0.25">
      <c r="A384" s="2">
        <v>45537</v>
      </c>
      <c r="B384" s="3" t="s">
        <v>69</v>
      </c>
      <c r="C384" s="3" t="s">
        <v>209</v>
      </c>
      <c r="D384" s="3"/>
      <c r="E384" s="3" t="s">
        <v>39</v>
      </c>
      <c r="F384" s="3" t="s">
        <v>36</v>
      </c>
      <c r="G384" s="3" t="s">
        <v>15</v>
      </c>
    </row>
    <row r="385" spans="1:7" ht="13.2" x14ac:dyDescent="0.25">
      <c r="A385" s="2">
        <v>45537</v>
      </c>
      <c r="B385" s="3" t="s">
        <v>71</v>
      </c>
      <c r="C385" s="3" t="s">
        <v>210</v>
      </c>
      <c r="D385" s="3"/>
      <c r="E385" s="3" t="s">
        <v>35</v>
      </c>
      <c r="F385" s="3" t="s">
        <v>36</v>
      </c>
      <c r="G385" s="3" t="s">
        <v>15</v>
      </c>
    </row>
    <row r="386" spans="1:7" ht="13.2" x14ac:dyDescent="0.25">
      <c r="A386" s="2">
        <v>45538</v>
      </c>
      <c r="B386" s="3" t="s">
        <v>37</v>
      </c>
      <c r="C386" s="3" t="s">
        <v>211</v>
      </c>
      <c r="D386" s="3"/>
      <c r="E386" s="3" t="s">
        <v>39</v>
      </c>
      <c r="F386" s="3" t="s">
        <v>36</v>
      </c>
      <c r="G386" s="3" t="s">
        <v>15</v>
      </c>
    </row>
    <row r="387" spans="1:7" ht="13.2" x14ac:dyDescent="0.25">
      <c r="A387" s="2">
        <v>45538</v>
      </c>
      <c r="B387" s="3" t="s">
        <v>43</v>
      </c>
      <c r="C387" s="3" t="s">
        <v>212</v>
      </c>
      <c r="D387" s="3"/>
      <c r="E387" s="3" t="s">
        <v>45</v>
      </c>
      <c r="F387" s="3" t="s">
        <v>23</v>
      </c>
      <c r="G387" s="3" t="s">
        <v>15</v>
      </c>
    </row>
    <row r="388" spans="1:7" ht="13.2" x14ac:dyDescent="0.25">
      <c r="A388" s="2">
        <v>45538</v>
      </c>
      <c r="B388" s="3" t="s">
        <v>121</v>
      </c>
      <c r="C388" s="3" t="s">
        <v>122</v>
      </c>
      <c r="D388" s="3"/>
      <c r="E388" s="3" t="s">
        <v>42</v>
      </c>
      <c r="F388" s="3" t="s">
        <v>14</v>
      </c>
      <c r="G388" s="3" t="s">
        <v>15</v>
      </c>
    </row>
    <row r="389" spans="1:7" ht="13.2" x14ac:dyDescent="0.25">
      <c r="A389" s="2">
        <v>45539</v>
      </c>
      <c r="B389" s="3" t="s">
        <v>11</v>
      </c>
      <c r="C389" s="3" t="s">
        <v>12</v>
      </c>
      <c r="D389" s="3"/>
      <c r="E389" s="3" t="s">
        <v>13</v>
      </c>
      <c r="F389" s="3" t="s">
        <v>14</v>
      </c>
      <c r="G389" s="3" t="s">
        <v>15</v>
      </c>
    </row>
    <row r="390" spans="1:7" ht="13.2" x14ac:dyDescent="0.25">
      <c r="A390" s="2">
        <v>45541</v>
      </c>
      <c r="B390" s="3" t="s">
        <v>11</v>
      </c>
      <c r="C390" s="3" t="s">
        <v>12</v>
      </c>
      <c r="D390" s="3"/>
      <c r="E390" s="3" t="s">
        <v>13</v>
      </c>
      <c r="F390" s="3" t="s">
        <v>14</v>
      </c>
      <c r="G390" s="3" t="s">
        <v>15</v>
      </c>
    </row>
    <row r="391" spans="1:7" ht="13.2" x14ac:dyDescent="0.25">
      <c r="A391" s="2">
        <v>45541</v>
      </c>
      <c r="B391" s="3" t="s">
        <v>7</v>
      </c>
      <c r="C391" s="3"/>
      <c r="D391" s="3" t="s">
        <v>8</v>
      </c>
      <c r="E391" s="3" t="s">
        <v>75</v>
      </c>
      <c r="F391" s="3" t="s">
        <v>9</v>
      </c>
      <c r="G391" s="3" t="s">
        <v>10</v>
      </c>
    </row>
    <row r="392" spans="1:7" ht="13.2" x14ac:dyDescent="0.25">
      <c r="A392" s="2">
        <v>45542</v>
      </c>
      <c r="B392" s="3" t="s">
        <v>11</v>
      </c>
      <c r="C392" s="3" t="s">
        <v>12</v>
      </c>
      <c r="D392" s="3"/>
      <c r="E392" s="3" t="s">
        <v>13</v>
      </c>
      <c r="F392" s="3" t="s">
        <v>14</v>
      </c>
      <c r="G392" s="3" t="s">
        <v>15</v>
      </c>
    </row>
    <row r="393" spans="1:7" ht="13.2" x14ac:dyDescent="0.25">
      <c r="A393" s="2">
        <v>45544</v>
      </c>
      <c r="B393" s="3" t="s">
        <v>16</v>
      </c>
      <c r="C393" s="3" t="s">
        <v>17</v>
      </c>
      <c r="D393" s="3"/>
      <c r="E393" s="3" t="s">
        <v>18</v>
      </c>
      <c r="F393" s="3" t="s">
        <v>19</v>
      </c>
      <c r="G393" s="3" t="s">
        <v>15</v>
      </c>
    </row>
    <row r="394" spans="1:7" ht="13.2" x14ac:dyDescent="0.25">
      <c r="A394" s="2">
        <v>45544</v>
      </c>
      <c r="B394" s="3" t="s">
        <v>20</v>
      </c>
      <c r="C394" s="3" t="s">
        <v>21</v>
      </c>
      <c r="D394" s="3"/>
      <c r="E394" s="3" t="s">
        <v>22</v>
      </c>
      <c r="F394" s="3" t="s">
        <v>23</v>
      </c>
      <c r="G394" s="3" t="s">
        <v>15</v>
      </c>
    </row>
    <row r="395" spans="1:7" ht="13.2" x14ac:dyDescent="0.25">
      <c r="A395" s="2">
        <v>45544</v>
      </c>
      <c r="B395" s="3" t="s">
        <v>11</v>
      </c>
      <c r="C395" s="3" t="s">
        <v>12</v>
      </c>
      <c r="D395" s="3"/>
      <c r="E395" s="3" t="s">
        <v>13</v>
      </c>
      <c r="F395" s="3" t="s">
        <v>14</v>
      </c>
      <c r="G395" s="3" t="s">
        <v>15</v>
      </c>
    </row>
    <row r="396" spans="1:7" ht="13.2" x14ac:dyDescent="0.25">
      <c r="A396" s="2">
        <v>45544</v>
      </c>
      <c r="B396" s="3" t="s">
        <v>11</v>
      </c>
      <c r="C396" s="3" t="s">
        <v>12</v>
      </c>
      <c r="D396" s="3"/>
      <c r="E396" s="3" t="s">
        <v>13</v>
      </c>
      <c r="F396" s="3" t="s">
        <v>14</v>
      </c>
      <c r="G396" s="3" t="s">
        <v>15</v>
      </c>
    </row>
    <row r="397" spans="1:7" ht="13.2" x14ac:dyDescent="0.25">
      <c r="A397" s="2">
        <v>45545</v>
      </c>
      <c r="B397" s="3" t="s">
        <v>11</v>
      </c>
      <c r="C397" s="3" t="s">
        <v>12</v>
      </c>
      <c r="D397" s="3"/>
      <c r="E397" s="3" t="s">
        <v>13</v>
      </c>
      <c r="F397" s="3" t="s">
        <v>14</v>
      </c>
      <c r="G397" s="3" t="s">
        <v>15</v>
      </c>
    </row>
    <row r="398" spans="1:7" ht="13.2" x14ac:dyDescent="0.25">
      <c r="A398" s="2">
        <v>45546</v>
      </c>
      <c r="B398" s="3" t="s">
        <v>11</v>
      </c>
      <c r="C398" s="3" t="s">
        <v>12</v>
      </c>
      <c r="D398" s="3"/>
      <c r="E398" s="3" t="s">
        <v>13</v>
      </c>
      <c r="F398" s="3" t="s">
        <v>14</v>
      </c>
      <c r="G398" s="3" t="s">
        <v>15</v>
      </c>
    </row>
    <row r="399" spans="1:7" ht="13.2" x14ac:dyDescent="0.25">
      <c r="A399" s="2">
        <v>45546</v>
      </c>
      <c r="B399" s="3" t="s">
        <v>24</v>
      </c>
      <c r="C399" s="3" t="s">
        <v>213</v>
      </c>
      <c r="D399" s="3"/>
      <c r="E399" s="3" t="s">
        <v>26</v>
      </c>
      <c r="F399" s="3" t="s">
        <v>19</v>
      </c>
      <c r="G399" s="3" t="s">
        <v>15</v>
      </c>
    </row>
    <row r="400" spans="1:7" ht="13.2" x14ac:dyDescent="0.25">
      <c r="A400" s="2">
        <v>45549</v>
      </c>
      <c r="B400" s="3" t="s">
        <v>27</v>
      </c>
      <c r="C400" s="3" t="s">
        <v>214</v>
      </c>
      <c r="D400" s="3"/>
      <c r="E400" s="3" t="s">
        <v>29</v>
      </c>
      <c r="F400" s="3" t="s">
        <v>19</v>
      </c>
      <c r="G400" s="3" t="s">
        <v>15</v>
      </c>
    </row>
    <row r="401" spans="1:7" ht="13.2" x14ac:dyDescent="0.25">
      <c r="A401" s="2">
        <v>45549</v>
      </c>
      <c r="B401" s="3" t="s">
        <v>11</v>
      </c>
      <c r="C401" s="3" t="s">
        <v>12</v>
      </c>
      <c r="D401" s="3"/>
      <c r="E401" s="3" t="s">
        <v>13</v>
      </c>
      <c r="F401" s="3" t="s">
        <v>14</v>
      </c>
      <c r="G401" s="3" t="s">
        <v>15</v>
      </c>
    </row>
    <row r="402" spans="1:7" ht="13.2" x14ac:dyDescent="0.25">
      <c r="A402" s="2">
        <v>45550</v>
      </c>
      <c r="B402" s="3" t="s">
        <v>11</v>
      </c>
      <c r="C402" s="3" t="s">
        <v>12</v>
      </c>
      <c r="D402" s="3"/>
      <c r="E402" s="3" t="s">
        <v>13</v>
      </c>
      <c r="F402" s="3" t="s">
        <v>14</v>
      </c>
      <c r="G402" s="3" t="s">
        <v>15</v>
      </c>
    </row>
    <row r="403" spans="1:7" ht="13.2" x14ac:dyDescent="0.25">
      <c r="A403" s="2">
        <v>45551</v>
      </c>
      <c r="B403" s="3" t="s">
        <v>30</v>
      </c>
      <c r="C403" s="3" t="s">
        <v>215</v>
      </c>
      <c r="D403" s="3"/>
      <c r="E403" s="3" t="s">
        <v>67</v>
      </c>
      <c r="F403" s="3" t="s">
        <v>23</v>
      </c>
      <c r="G403" s="3" t="s">
        <v>15</v>
      </c>
    </row>
    <row r="404" spans="1:7" ht="13.2" x14ac:dyDescent="0.25">
      <c r="A404" s="2">
        <v>45551</v>
      </c>
      <c r="B404" s="3" t="s">
        <v>11</v>
      </c>
      <c r="C404" s="3" t="s">
        <v>12</v>
      </c>
      <c r="D404" s="3"/>
      <c r="E404" s="3" t="s">
        <v>13</v>
      </c>
      <c r="F404" s="3" t="s">
        <v>14</v>
      </c>
      <c r="G404" s="3" t="s">
        <v>15</v>
      </c>
    </row>
    <row r="405" spans="1:7" ht="13.2" x14ac:dyDescent="0.25">
      <c r="A405" s="2">
        <v>45552</v>
      </c>
      <c r="B405" s="3" t="s">
        <v>11</v>
      </c>
      <c r="C405" s="3" t="s">
        <v>12</v>
      </c>
      <c r="D405" s="3"/>
      <c r="E405" s="3" t="s">
        <v>13</v>
      </c>
      <c r="F405" s="3" t="s">
        <v>14</v>
      </c>
      <c r="G405" s="3" t="s">
        <v>15</v>
      </c>
    </row>
    <row r="406" spans="1:7" ht="13.2" x14ac:dyDescent="0.25">
      <c r="A406" s="2">
        <v>45553</v>
      </c>
      <c r="B406" s="3" t="s">
        <v>24</v>
      </c>
      <c r="C406" s="3" t="s">
        <v>216</v>
      </c>
      <c r="D406" s="3"/>
      <c r="E406" s="3" t="s">
        <v>26</v>
      </c>
      <c r="F406" s="3" t="s">
        <v>19</v>
      </c>
      <c r="G406" s="3" t="s">
        <v>15</v>
      </c>
    </row>
    <row r="407" spans="1:7" ht="13.2" x14ac:dyDescent="0.25">
      <c r="A407" s="2">
        <v>45553</v>
      </c>
      <c r="B407" s="3" t="s">
        <v>11</v>
      </c>
      <c r="C407" s="3" t="s">
        <v>12</v>
      </c>
      <c r="D407" s="3"/>
      <c r="E407" s="3" t="s">
        <v>13</v>
      </c>
      <c r="F407" s="3" t="s">
        <v>14</v>
      </c>
      <c r="G407" s="3" t="s">
        <v>15</v>
      </c>
    </row>
    <row r="408" spans="1:7" ht="13.2" x14ac:dyDescent="0.25">
      <c r="A408" s="2">
        <v>45554</v>
      </c>
      <c r="B408" s="3" t="s">
        <v>11</v>
      </c>
      <c r="C408" s="3" t="s">
        <v>12</v>
      </c>
      <c r="D408" s="3"/>
      <c r="E408" s="3" t="s">
        <v>13</v>
      </c>
      <c r="F408" s="3" t="s">
        <v>14</v>
      </c>
      <c r="G408" s="3" t="s">
        <v>15</v>
      </c>
    </row>
    <row r="409" spans="1:7" ht="13.2" x14ac:dyDescent="0.25">
      <c r="A409" s="2">
        <v>45554</v>
      </c>
      <c r="B409" s="3" t="s">
        <v>33</v>
      </c>
      <c r="C409" s="3" t="s">
        <v>217</v>
      </c>
      <c r="D409" s="3"/>
      <c r="E409" s="3" t="s">
        <v>35</v>
      </c>
      <c r="F409" s="3" t="s">
        <v>36</v>
      </c>
      <c r="G409" s="3" t="s">
        <v>15</v>
      </c>
    </row>
    <row r="410" spans="1:7" ht="13.2" x14ac:dyDescent="0.25">
      <c r="A410" s="2">
        <v>45554</v>
      </c>
      <c r="B410" s="3" t="s">
        <v>81</v>
      </c>
      <c r="C410" s="3" t="s">
        <v>218</v>
      </c>
      <c r="D410" s="3"/>
      <c r="E410" s="3" t="s">
        <v>39</v>
      </c>
      <c r="F410" s="3" t="s">
        <v>36</v>
      </c>
      <c r="G410" s="3" t="s">
        <v>15</v>
      </c>
    </row>
    <row r="411" spans="1:7" ht="13.2" x14ac:dyDescent="0.25">
      <c r="A411" s="2">
        <v>45554</v>
      </c>
      <c r="B411" s="3" t="s">
        <v>40</v>
      </c>
      <c r="C411" s="3" t="s">
        <v>219</v>
      </c>
      <c r="D411" s="3"/>
      <c r="E411" s="3" t="s">
        <v>42</v>
      </c>
      <c r="F411" s="3" t="s">
        <v>14</v>
      </c>
      <c r="G411" s="3" t="s">
        <v>15</v>
      </c>
    </row>
    <row r="412" spans="1:7" ht="13.2" x14ac:dyDescent="0.25">
      <c r="A412" s="2">
        <v>45555</v>
      </c>
      <c r="B412" s="3" t="s">
        <v>43</v>
      </c>
      <c r="C412" s="3" t="s">
        <v>220</v>
      </c>
      <c r="D412" s="3"/>
      <c r="E412" s="3" t="s">
        <v>45</v>
      </c>
      <c r="F412" s="3" t="s">
        <v>23</v>
      </c>
      <c r="G412" s="3" t="s">
        <v>15</v>
      </c>
    </row>
    <row r="413" spans="1:7" ht="13.2" x14ac:dyDescent="0.25">
      <c r="A413" s="2">
        <v>45556</v>
      </c>
      <c r="B413" s="3" t="s">
        <v>46</v>
      </c>
      <c r="C413" s="3"/>
      <c r="D413" s="3" t="s">
        <v>167</v>
      </c>
      <c r="E413" s="3" t="s">
        <v>48</v>
      </c>
      <c r="F413" s="3" t="s">
        <v>49</v>
      </c>
      <c r="G413" s="3" t="s">
        <v>10</v>
      </c>
    </row>
    <row r="414" spans="1:7" ht="13.2" x14ac:dyDescent="0.25">
      <c r="A414" s="2">
        <v>45556</v>
      </c>
      <c r="B414" s="3" t="s">
        <v>11</v>
      </c>
      <c r="C414" s="3" t="s">
        <v>12</v>
      </c>
      <c r="D414" s="3"/>
      <c r="E414" s="3" t="s">
        <v>13</v>
      </c>
      <c r="F414" s="3" t="s">
        <v>14</v>
      </c>
      <c r="G414" s="3" t="s">
        <v>15</v>
      </c>
    </row>
    <row r="415" spans="1:7" ht="13.2" x14ac:dyDescent="0.25">
      <c r="A415" s="2">
        <v>45557</v>
      </c>
      <c r="B415" s="3" t="s">
        <v>11</v>
      </c>
      <c r="C415" s="3" t="s">
        <v>12</v>
      </c>
      <c r="D415" s="3"/>
      <c r="E415" s="3" t="s">
        <v>13</v>
      </c>
      <c r="F415" s="3" t="s">
        <v>14</v>
      </c>
      <c r="G415" s="3" t="s">
        <v>15</v>
      </c>
    </row>
    <row r="416" spans="1:7" ht="13.2" x14ac:dyDescent="0.25">
      <c r="A416" s="2">
        <v>45557</v>
      </c>
      <c r="B416" s="3" t="s">
        <v>51</v>
      </c>
      <c r="C416" s="3" t="s">
        <v>34</v>
      </c>
      <c r="D416" s="3"/>
      <c r="E416" s="3" t="s">
        <v>51</v>
      </c>
      <c r="F416" s="3" t="s">
        <v>19</v>
      </c>
      <c r="G416" s="3" t="s">
        <v>15</v>
      </c>
    </row>
    <row r="417" spans="1:7" ht="13.2" x14ac:dyDescent="0.25">
      <c r="A417" s="2">
        <v>45558</v>
      </c>
      <c r="B417" s="3" t="s">
        <v>52</v>
      </c>
      <c r="C417" s="3" t="s">
        <v>83</v>
      </c>
      <c r="D417" s="3"/>
      <c r="E417" s="3" t="s">
        <v>54</v>
      </c>
      <c r="F417" s="3" t="s">
        <v>36</v>
      </c>
      <c r="G417" s="3" t="s">
        <v>15</v>
      </c>
    </row>
    <row r="418" spans="1:7" ht="13.2" x14ac:dyDescent="0.25">
      <c r="A418" s="2">
        <v>45558</v>
      </c>
      <c r="B418" s="3" t="s">
        <v>55</v>
      </c>
      <c r="C418" s="3" t="s">
        <v>87</v>
      </c>
      <c r="D418" s="3"/>
      <c r="E418" s="3" t="s">
        <v>35</v>
      </c>
      <c r="F418" s="3" t="s">
        <v>36</v>
      </c>
      <c r="G418" s="3" t="s">
        <v>15</v>
      </c>
    </row>
    <row r="419" spans="1:7" ht="13.2" x14ac:dyDescent="0.25">
      <c r="A419" s="2">
        <v>45558</v>
      </c>
      <c r="B419" s="3" t="s">
        <v>11</v>
      </c>
      <c r="C419" s="3" t="s">
        <v>12</v>
      </c>
      <c r="D419" s="3"/>
      <c r="E419" s="3" t="s">
        <v>13</v>
      </c>
      <c r="F419" s="3" t="s">
        <v>14</v>
      </c>
      <c r="G419" s="3" t="s">
        <v>15</v>
      </c>
    </row>
    <row r="420" spans="1:7" ht="13.2" x14ac:dyDescent="0.25">
      <c r="A420" s="2">
        <v>45559</v>
      </c>
      <c r="B420" s="3" t="s">
        <v>11</v>
      </c>
      <c r="C420" s="3" t="s">
        <v>12</v>
      </c>
      <c r="D420" s="3"/>
      <c r="E420" s="3" t="s">
        <v>13</v>
      </c>
      <c r="F420" s="3" t="s">
        <v>14</v>
      </c>
      <c r="G420" s="3" t="s">
        <v>15</v>
      </c>
    </row>
    <row r="421" spans="1:7" ht="13.2" x14ac:dyDescent="0.25">
      <c r="A421" s="2">
        <v>45560</v>
      </c>
      <c r="B421" s="3" t="s">
        <v>11</v>
      </c>
      <c r="C421" s="3" t="s">
        <v>12</v>
      </c>
      <c r="D421" s="3"/>
      <c r="E421" s="3" t="s">
        <v>13</v>
      </c>
      <c r="F421" s="3" t="s">
        <v>14</v>
      </c>
      <c r="G421" s="3" t="s">
        <v>15</v>
      </c>
    </row>
    <row r="422" spans="1:7" ht="13.2" x14ac:dyDescent="0.25">
      <c r="A422" s="2">
        <v>45560</v>
      </c>
      <c r="B422" s="3" t="s">
        <v>24</v>
      </c>
      <c r="C422" s="3" t="s">
        <v>221</v>
      </c>
      <c r="D422" s="3"/>
      <c r="E422" s="3" t="s">
        <v>26</v>
      </c>
      <c r="F422" s="3" t="s">
        <v>19</v>
      </c>
      <c r="G422" s="3" t="s">
        <v>15</v>
      </c>
    </row>
    <row r="423" spans="1:7" ht="13.2" x14ac:dyDescent="0.25">
      <c r="A423" s="2">
        <v>45561</v>
      </c>
      <c r="B423" s="3" t="s">
        <v>58</v>
      </c>
      <c r="C423" s="3" t="s">
        <v>222</v>
      </c>
      <c r="D423" s="3"/>
      <c r="E423" s="3" t="s">
        <v>42</v>
      </c>
      <c r="F423" s="3" t="s">
        <v>14</v>
      </c>
      <c r="G423" s="3" t="s">
        <v>15</v>
      </c>
    </row>
    <row r="424" spans="1:7" ht="13.2" x14ac:dyDescent="0.25">
      <c r="A424" s="2">
        <v>45562</v>
      </c>
      <c r="B424" s="3" t="s">
        <v>60</v>
      </c>
      <c r="C424" s="3" t="s">
        <v>223</v>
      </c>
      <c r="D424" s="3"/>
      <c r="E424" s="3" t="s">
        <v>42</v>
      </c>
      <c r="F424" s="3" t="s">
        <v>14</v>
      </c>
      <c r="G424" s="3" t="s">
        <v>15</v>
      </c>
    </row>
    <row r="425" spans="1:7" ht="13.2" x14ac:dyDescent="0.25">
      <c r="A425" s="2">
        <v>45563</v>
      </c>
      <c r="B425" s="3" t="s">
        <v>62</v>
      </c>
      <c r="C425" s="3" t="s">
        <v>63</v>
      </c>
      <c r="D425" s="3"/>
      <c r="E425" s="3" t="s">
        <v>64</v>
      </c>
      <c r="F425" s="3" t="s">
        <v>65</v>
      </c>
      <c r="G425" s="3" t="s">
        <v>15</v>
      </c>
    </row>
    <row r="426" spans="1:7" ht="13.2" x14ac:dyDescent="0.25">
      <c r="A426" s="2">
        <v>45563</v>
      </c>
      <c r="B426" s="3" t="s">
        <v>30</v>
      </c>
      <c r="C426" s="3" t="s">
        <v>224</v>
      </c>
      <c r="D426" s="3"/>
      <c r="E426" s="3" t="s">
        <v>67</v>
      </c>
      <c r="F426" s="3" t="s">
        <v>23</v>
      </c>
      <c r="G426" s="3" t="s">
        <v>15</v>
      </c>
    </row>
    <row r="427" spans="1:7" ht="13.2" x14ac:dyDescent="0.25">
      <c r="A427" s="2">
        <v>45563</v>
      </c>
      <c r="B427" s="3" t="s">
        <v>11</v>
      </c>
      <c r="C427" s="3" t="s">
        <v>12</v>
      </c>
      <c r="D427" s="3"/>
      <c r="E427" s="3" t="s">
        <v>13</v>
      </c>
      <c r="F427" s="3" t="s">
        <v>14</v>
      </c>
      <c r="G427" s="3" t="s">
        <v>15</v>
      </c>
    </row>
    <row r="428" spans="1:7" ht="13.2" x14ac:dyDescent="0.25">
      <c r="A428" s="2">
        <v>45564</v>
      </c>
      <c r="B428" s="3" t="s">
        <v>11</v>
      </c>
      <c r="C428" s="3" t="s">
        <v>12</v>
      </c>
      <c r="D428" s="3"/>
      <c r="E428" s="3" t="s">
        <v>13</v>
      </c>
      <c r="F428" s="3" t="s">
        <v>14</v>
      </c>
      <c r="G428" s="3" t="s">
        <v>15</v>
      </c>
    </row>
    <row r="429" spans="1:7" ht="13.2" x14ac:dyDescent="0.25">
      <c r="A429" s="2">
        <v>45565</v>
      </c>
      <c r="B429" s="3" t="s">
        <v>11</v>
      </c>
      <c r="C429" s="3" t="s">
        <v>12</v>
      </c>
      <c r="D429" s="3"/>
      <c r="E429" s="3" t="s">
        <v>13</v>
      </c>
      <c r="F429" s="3" t="s">
        <v>14</v>
      </c>
      <c r="G429" s="3" t="s">
        <v>15</v>
      </c>
    </row>
    <row r="430" spans="1:7" ht="13.2" x14ac:dyDescent="0.25">
      <c r="A430" s="2">
        <v>45566</v>
      </c>
      <c r="B430" s="3" t="s">
        <v>11</v>
      </c>
      <c r="C430" s="3" t="s">
        <v>12</v>
      </c>
      <c r="D430" s="3"/>
      <c r="E430" s="3" t="s">
        <v>13</v>
      </c>
      <c r="F430" s="3" t="s">
        <v>14</v>
      </c>
      <c r="G430" s="3" t="s">
        <v>15</v>
      </c>
    </row>
    <row r="431" spans="1:7" ht="13.2" x14ac:dyDescent="0.25">
      <c r="A431" s="2">
        <v>45567</v>
      </c>
      <c r="B431" s="3" t="s">
        <v>11</v>
      </c>
      <c r="C431" s="3" t="s">
        <v>12</v>
      </c>
      <c r="D431" s="3"/>
      <c r="E431" s="3" t="s">
        <v>13</v>
      </c>
      <c r="F431" s="3" t="s">
        <v>14</v>
      </c>
      <c r="G431" s="3" t="s">
        <v>15</v>
      </c>
    </row>
    <row r="432" spans="1:7" ht="13.2" x14ac:dyDescent="0.25">
      <c r="A432" s="2">
        <v>45567</v>
      </c>
      <c r="B432" s="3" t="s">
        <v>24</v>
      </c>
      <c r="C432" s="3" t="s">
        <v>225</v>
      </c>
      <c r="D432" s="3"/>
      <c r="E432" s="3" t="s">
        <v>26</v>
      </c>
      <c r="F432" s="3" t="s">
        <v>19</v>
      </c>
      <c r="G432" s="3" t="s">
        <v>15</v>
      </c>
    </row>
    <row r="433" spans="1:7" ht="13.2" x14ac:dyDescent="0.25">
      <c r="A433" s="2">
        <v>45568</v>
      </c>
      <c r="B433" s="3" t="s">
        <v>69</v>
      </c>
      <c r="C433" s="3" t="s">
        <v>226</v>
      </c>
      <c r="D433" s="3"/>
      <c r="E433" s="3" t="s">
        <v>39</v>
      </c>
      <c r="F433" s="3" t="s">
        <v>36</v>
      </c>
      <c r="G433" s="3" t="s">
        <v>15</v>
      </c>
    </row>
    <row r="434" spans="1:7" ht="13.2" x14ac:dyDescent="0.25">
      <c r="A434" s="2">
        <v>45568</v>
      </c>
      <c r="B434" s="3" t="s">
        <v>94</v>
      </c>
      <c r="C434" s="3" t="s">
        <v>72</v>
      </c>
      <c r="D434" s="3"/>
      <c r="E434" s="3" t="s">
        <v>39</v>
      </c>
      <c r="F434" s="3" t="s">
        <v>36</v>
      </c>
      <c r="G434" s="3" t="s">
        <v>15</v>
      </c>
    </row>
    <row r="435" spans="1:7" ht="13.2" x14ac:dyDescent="0.25">
      <c r="A435" s="2">
        <v>45569</v>
      </c>
      <c r="B435" s="3" t="s">
        <v>37</v>
      </c>
      <c r="C435" s="3" t="s">
        <v>227</v>
      </c>
      <c r="D435" s="3"/>
      <c r="E435" s="3" t="s">
        <v>39</v>
      </c>
      <c r="F435" s="3" t="s">
        <v>36</v>
      </c>
      <c r="G435" s="3" t="s">
        <v>15</v>
      </c>
    </row>
    <row r="436" spans="1:7" ht="13.2" x14ac:dyDescent="0.25">
      <c r="A436" s="2">
        <v>45569</v>
      </c>
      <c r="B436" s="3" t="s">
        <v>43</v>
      </c>
      <c r="C436" s="3" t="s">
        <v>228</v>
      </c>
      <c r="D436" s="3"/>
      <c r="E436" s="3" t="s">
        <v>45</v>
      </c>
      <c r="F436" s="3" t="s">
        <v>23</v>
      </c>
      <c r="G436" s="3" t="s">
        <v>15</v>
      </c>
    </row>
    <row r="437" spans="1:7" ht="13.2" x14ac:dyDescent="0.25">
      <c r="A437" s="2">
        <v>45569</v>
      </c>
      <c r="B437" s="3" t="s">
        <v>121</v>
      </c>
      <c r="C437" s="3" t="s">
        <v>122</v>
      </c>
      <c r="D437" s="3"/>
      <c r="E437" s="3" t="s">
        <v>42</v>
      </c>
      <c r="F437" s="3" t="s">
        <v>14</v>
      </c>
      <c r="G437" s="3" t="s">
        <v>15</v>
      </c>
    </row>
    <row r="438" spans="1:7" ht="13.2" x14ac:dyDescent="0.25">
      <c r="A438" s="2">
        <v>45570</v>
      </c>
      <c r="B438" s="3" t="s">
        <v>11</v>
      </c>
      <c r="C438" s="3" t="s">
        <v>12</v>
      </c>
      <c r="D438" s="3"/>
      <c r="E438" s="3" t="s">
        <v>13</v>
      </c>
      <c r="F438" s="3" t="s">
        <v>14</v>
      </c>
      <c r="G438" s="3" t="s">
        <v>15</v>
      </c>
    </row>
    <row r="439" spans="1:7" ht="13.2" x14ac:dyDescent="0.25">
      <c r="A439" s="2">
        <v>45572</v>
      </c>
      <c r="B439" s="3" t="s">
        <v>11</v>
      </c>
      <c r="C439" s="3" t="s">
        <v>12</v>
      </c>
      <c r="D439" s="3"/>
      <c r="E439" s="3" t="s">
        <v>13</v>
      </c>
      <c r="F439" s="3" t="s">
        <v>14</v>
      </c>
      <c r="G439" s="3" t="s">
        <v>15</v>
      </c>
    </row>
    <row r="440" spans="1:7" ht="13.2" x14ac:dyDescent="0.25">
      <c r="A440" s="2">
        <v>45572</v>
      </c>
      <c r="B440" s="3" t="s">
        <v>7</v>
      </c>
      <c r="C440" s="3"/>
      <c r="D440" s="3" t="s">
        <v>8</v>
      </c>
      <c r="E440" s="3" t="s">
        <v>75</v>
      </c>
      <c r="F440" s="3" t="s">
        <v>9</v>
      </c>
      <c r="G440" s="3" t="s">
        <v>10</v>
      </c>
    </row>
    <row r="441" spans="1:7" ht="13.2" x14ac:dyDescent="0.25">
      <c r="A441" s="2">
        <v>45573</v>
      </c>
      <c r="B441" s="3" t="s">
        <v>11</v>
      </c>
      <c r="C441" s="3" t="s">
        <v>12</v>
      </c>
      <c r="D441" s="3"/>
      <c r="E441" s="3" t="s">
        <v>13</v>
      </c>
      <c r="F441" s="3" t="s">
        <v>14</v>
      </c>
      <c r="G441" s="3" t="s">
        <v>15</v>
      </c>
    </row>
    <row r="442" spans="1:7" ht="13.2" x14ac:dyDescent="0.25">
      <c r="A442" s="2">
        <v>45575</v>
      </c>
      <c r="B442" s="3" t="s">
        <v>16</v>
      </c>
      <c r="C442" s="3" t="s">
        <v>17</v>
      </c>
      <c r="D442" s="3"/>
      <c r="E442" s="3" t="s">
        <v>18</v>
      </c>
      <c r="F442" s="3" t="s">
        <v>19</v>
      </c>
      <c r="G442" s="3" t="s">
        <v>15</v>
      </c>
    </row>
    <row r="443" spans="1:7" ht="13.2" x14ac:dyDescent="0.25">
      <c r="A443" s="2">
        <v>45575</v>
      </c>
      <c r="B443" s="3" t="s">
        <v>20</v>
      </c>
      <c r="C443" s="3" t="s">
        <v>21</v>
      </c>
      <c r="D443" s="3"/>
      <c r="E443" s="3" t="s">
        <v>22</v>
      </c>
      <c r="F443" s="3" t="s">
        <v>23</v>
      </c>
      <c r="G443" s="3" t="s">
        <v>15</v>
      </c>
    </row>
    <row r="444" spans="1:7" ht="13.2" x14ac:dyDescent="0.25">
      <c r="A444" s="2">
        <v>45575</v>
      </c>
      <c r="B444" s="3" t="s">
        <v>11</v>
      </c>
      <c r="C444" s="3" t="s">
        <v>12</v>
      </c>
      <c r="D444" s="3"/>
      <c r="E444" s="3" t="s">
        <v>13</v>
      </c>
      <c r="F444" s="3" t="s">
        <v>14</v>
      </c>
      <c r="G444" s="3" t="s">
        <v>15</v>
      </c>
    </row>
    <row r="445" spans="1:7" ht="13.2" x14ac:dyDescent="0.25">
      <c r="A445" s="2">
        <v>45575</v>
      </c>
      <c r="B445" s="3" t="s">
        <v>11</v>
      </c>
      <c r="C445" s="3" t="s">
        <v>12</v>
      </c>
      <c r="D445" s="3"/>
      <c r="E445" s="3" t="s">
        <v>13</v>
      </c>
      <c r="F445" s="3" t="s">
        <v>14</v>
      </c>
      <c r="G445" s="3" t="s">
        <v>15</v>
      </c>
    </row>
    <row r="446" spans="1:7" ht="13.2" x14ac:dyDescent="0.25">
      <c r="A446" s="2">
        <v>45576</v>
      </c>
      <c r="B446" s="3" t="s">
        <v>11</v>
      </c>
      <c r="C446" s="3" t="s">
        <v>12</v>
      </c>
      <c r="D446" s="3"/>
      <c r="E446" s="3" t="s">
        <v>13</v>
      </c>
      <c r="F446" s="3" t="s">
        <v>14</v>
      </c>
      <c r="G446" s="3" t="s">
        <v>15</v>
      </c>
    </row>
    <row r="447" spans="1:7" ht="13.2" x14ac:dyDescent="0.25">
      <c r="A447" s="2">
        <v>45577</v>
      </c>
      <c r="B447" s="3" t="s">
        <v>11</v>
      </c>
      <c r="C447" s="3" t="s">
        <v>12</v>
      </c>
      <c r="D447" s="3"/>
      <c r="E447" s="3" t="s">
        <v>13</v>
      </c>
      <c r="F447" s="3" t="s">
        <v>14</v>
      </c>
      <c r="G447" s="3" t="s">
        <v>15</v>
      </c>
    </row>
    <row r="448" spans="1:7" ht="13.2" x14ac:dyDescent="0.25">
      <c r="A448" s="2">
        <v>45577</v>
      </c>
      <c r="B448" s="3" t="s">
        <v>24</v>
      </c>
      <c r="C448" s="3" t="s">
        <v>229</v>
      </c>
      <c r="D448" s="3"/>
      <c r="E448" s="3" t="s">
        <v>26</v>
      </c>
      <c r="F448" s="3" t="s">
        <v>19</v>
      </c>
      <c r="G448" s="3" t="s">
        <v>15</v>
      </c>
    </row>
    <row r="449" spans="1:7" ht="13.2" x14ac:dyDescent="0.25">
      <c r="A449" s="2">
        <v>45580</v>
      </c>
      <c r="B449" s="3" t="s">
        <v>27</v>
      </c>
      <c r="C449" s="3" t="s">
        <v>230</v>
      </c>
      <c r="D449" s="3"/>
      <c r="E449" s="3" t="s">
        <v>29</v>
      </c>
      <c r="F449" s="3" t="s">
        <v>19</v>
      </c>
      <c r="G449" s="3" t="s">
        <v>15</v>
      </c>
    </row>
    <row r="450" spans="1:7" ht="13.2" x14ac:dyDescent="0.25">
      <c r="A450" s="2">
        <v>45580</v>
      </c>
      <c r="B450" s="3" t="s">
        <v>11</v>
      </c>
      <c r="C450" s="3" t="s">
        <v>12</v>
      </c>
      <c r="D450" s="3"/>
      <c r="E450" s="3" t="s">
        <v>13</v>
      </c>
      <c r="F450" s="3" t="s">
        <v>14</v>
      </c>
      <c r="G450" s="3" t="s">
        <v>15</v>
      </c>
    </row>
    <row r="451" spans="1:7" ht="13.2" x14ac:dyDescent="0.25">
      <c r="A451" s="2">
        <v>45581</v>
      </c>
      <c r="B451" s="3" t="s">
        <v>11</v>
      </c>
      <c r="C451" s="3" t="s">
        <v>12</v>
      </c>
      <c r="D451" s="3"/>
      <c r="E451" s="3" t="s">
        <v>13</v>
      </c>
      <c r="F451" s="3" t="s">
        <v>14</v>
      </c>
      <c r="G451" s="3" t="s">
        <v>15</v>
      </c>
    </row>
    <row r="452" spans="1:7" ht="13.2" x14ac:dyDescent="0.25">
      <c r="A452" s="2">
        <v>45582</v>
      </c>
      <c r="B452" s="3" t="s">
        <v>30</v>
      </c>
      <c r="C452" s="3" t="s">
        <v>231</v>
      </c>
      <c r="D452" s="3"/>
      <c r="E452" s="3" t="s">
        <v>67</v>
      </c>
      <c r="F452" s="3" t="s">
        <v>23</v>
      </c>
      <c r="G452" s="3" t="s">
        <v>15</v>
      </c>
    </row>
    <row r="453" spans="1:7" ht="13.2" x14ac:dyDescent="0.25">
      <c r="A453" s="2">
        <v>45582</v>
      </c>
      <c r="B453" s="3" t="s">
        <v>11</v>
      </c>
      <c r="C453" s="3" t="s">
        <v>12</v>
      </c>
      <c r="D453" s="3"/>
      <c r="E453" s="3" t="s">
        <v>13</v>
      </c>
      <c r="F453" s="3" t="s">
        <v>14</v>
      </c>
      <c r="G453" s="3" t="s">
        <v>15</v>
      </c>
    </row>
    <row r="454" spans="1:7" ht="13.2" x14ac:dyDescent="0.25">
      <c r="A454" s="2">
        <v>45583</v>
      </c>
      <c r="B454" s="3" t="s">
        <v>11</v>
      </c>
      <c r="C454" s="3" t="s">
        <v>12</v>
      </c>
      <c r="D454" s="3"/>
      <c r="E454" s="3" t="s">
        <v>13</v>
      </c>
      <c r="F454" s="3" t="s">
        <v>14</v>
      </c>
      <c r="G454" s="3" t="s">
        <v>15</v>
      </c>
    </row>
    <row r="455" spans="1:7" ht="13.2" x14ac:dyDescent="0.25">
      <c r="A455" s="2">
        <v>45584</v>
      </c>
      <c r="B455" s="3" t="s">
        <v>24</v>
      </c>
      <c r="C455" s="3" t="s">
        <v>232</v>
      </c>
      <c r="D455" s="3"/>
      <c r="E455" s="3" t="s">
        <v>26</v>
      </c>
      <c r="F455" s="3" t="s">
        <v>19</v>
      </c>
      <c r="G455" s="3" t="s">
        <v>15</v>
      </c>
    </row>
    <row r="456" spans="1:7" ht="13.2" x14ac:dyDescent="0.25">
      <c r="A456" s="2">
        <v>45584</v>
      </c>
      <c r="B456" s="3" t="s">
        <v>11</v>
      </c>
      <c r="C456" s="3" t="s">
        <v>12</v>
      </c>
      <c r="D456" s="3"/>
      <c r="E456" s="3" t="s">
        <v>13</v>
      </c>
      <c r="F456" s="3" t="s">
        <v>14</v>
      </c>
      <c r="G456" s="3" t="s">
        <v>15</v>
      </c>
    </row>
    <row r="457" spans="1:7" ht="13.2" x14ac:dyDescent="0.25">
      <c r="A457" s="2">
        <v>45585</v>
      </c>
      <c r="B457" s="3" t="s">
        <v>11</v>
      </c>
      <c r="C457" s="3" t="s">
        <v>12</v>
      </c>
      <c r="D457" s="3"/>
      <c r="E457" s="3" t="s">
        <v>13</v>
      </c>
      <c r="F457" s="3" t="s">
        <v>14</v>
      </c>
      <c r="G457" s="3" t="s">
        <v>15</v>
      </c>
    </row>
    <row r="458" spans="1:7" ht="13.2" x14ac:dyDescent="0.25">
      <c r="A458" s="2">
        <v>45585</v>
      </c>
      <c r="B458" s="3" t="s">
        <v>33</v>
      </c>
      <c r="C458" s="3" t="s">
        <v>233</v>
      </c>
      <c r="D458" s="3"/>
      <c r="E458" s="3" t="s">
        <v>35</v>
      </c>
      <c r="F458" s="3" t="s">
        <v>36</v>
      </c>
      <c r="G458" s="3" t="s">
        <v>15</v>
      </c>
    </row>
    <row r="459" spans="1:7" ht="13.2" x14ac:dyDescent="0.25">
      <c r="A459" s="2">
        <v>45585</v>
      </c>
      <c r="B459" s="3" t="s">
        <v>81</v>
      </c>
      <c r="C459" s="3" t="s">
        <v>234</v>
      </c>
      <c r="D459" s="3"/>
      <c r="E459" s="3" t="s">
        <v>39</v>
      </c>
      <c r="F459" s="3" t="s">
        <v>36</v>
      </c>
      <c r="G459" s="3" t="s">
        <v>15</v>
      </c>
    </row>
    <row r="460" spans="1:7" ht="13.2" x14ac:dyDescent="0.25">
      <c r="A460" s="2">
        <v>45585</v>
      </c>
      <c r="B460" s="3" t="s">
        <v>40</v>
      </c>
      <c r="C460" s="3" t="s">
        <v>235</v>
      </c>
      <c r="D460" s="3"/>
      <c r="E460" s="3" t="s">
        <v>42</v>
      </c>
      <c r="F460" s="3" t="s">
        <v>14</v>
      </c>
      <c r="G460" s="3" t="s">
        <v>15</v>
      </c>
    </row>
    <row r="461" spans="1:7" ht="13.2" x14ac:dyDescent="0.25">
      <c r="A461" s="2">
        <v>45586</v>
      </c>
      <c r="B461" s="3" t="s">
        <v>43</v>
      </c>
      <c r="C461" s="3" t="s">
        <v>236</v>
      </c>
      <c r="D461" s="3"/>
      <c r="E461" s="3" t="s">
        <v>45</v>
      </c>
      <c r="F461" s="3" t="s">
        <v>23</v>
      </c>
      <c r="G461" s="3" t="s">
        <v>15</v>
      </c>
    </row>
    <row r="462" spans="1:7" ht="13.2" x14ac:dyDescent="0.25">
      <c r="A462" s="2">
        <v>45587</v>
      </c>
      <c r="B462" s="3" t="s">
        <v>46</v>
      </c>
      <c r="C462" s="3"/>
      <c r="D462" s="3" t="s">
        <v>167</v>
      </c>
      <c r="E462" s="3" t="s">
        <v>48</v>
      </c>
      <c r="F462" s="3" t="s">
        <v>49</v>
      </c>
      <c r="G462" s="3" t="s">
        <v>10</v>
      </c>
    </row>
    <row r="463" spans="1:7" ht="13.2" x14ac:dyDescent="0.25">
      <c r="A463" s="2">
        <v>45587</v>
      </c>
      <c r="B463" s="3" t="s">
        <v>11</v>
      </c>
      <c r="C463" s="3" t="s">
        <v>12</v>
      </c>
      <c r="D463" s="3"/>
      <c r="E463" s="3" t="s">
        <v>13</v>
      </c>
      <c r="F463" s="3" t="s">
        <v>14</v>
      </c>
      <c r="G463" s="3" t="s">
        <v>15</v>
      </c>
    </row>
    <row r="464" spans="1:7" ht="13.2" x14ac:dyDescent="0.25">
      <c r="A464" s="2">
        <v>45588</v>
      </c>
      <c r="B464" s="3" t="s">
        <v>11</v>
      </c>
      <c r="C464" s="3" t="s">
        <v>12</v>
      </c>
      <c r="D464" s="3"/>
      <c r="E464" s="3" t="s">
        <v>13</v>
      </c>
      <c r="F464" s="3" t="s">
        <v>14</v>
      </c>
      <c r="G464" s="3" t="s">
        <v>15</v>
      </c>
    </row>
    <row r="465" spans="1:7" ht="13.2" x14ac:dyDescent="0.25">
      <c r="A465" s="2">
        <v>45588</v>
      </c>
      <c r="B465" s="3" t="s">
        <v>106</v>
      </c>
      <c r="C465" s="3" t="s">
        <v>107</v>
      </c>
      <c r="D465" s="3"/>
      <c r="E465" s="3" t="s">
        <v>108</v>
      </c>
      <c r="F465" s="3" t="s">
        <v>109</v>
      </c>
      <c r="G465" s="3" t="s">
        <v>15</v>
      </c>
    </row>
    <row r="466" spans="1:7" ht="13.2" x14ac:dyDescent="0.25">
      <c r="A466" s="2">
        <v>45588</v>
      </c>
      <c r="B466" s="3" t="s">
        <v>51</v>
      </c>
      <c r="C466" s="3" t="s">
        <v>34</v>
      </c>
      <c r="D466" s="3"/>
      <c r="E466" s="3" t="s">
        <v>51</v>
      </c>
      <c r="F466" s="3" t="s">
        <v>19</v>
      </c>
      <c r="G466" s="3" t="s">
        <v>15</v>
      </c>
    </row>
    <row r="467" spans="1:7" ht="13.2" x14ac:dyDescent="0.25">
      <c r="A467" s="2">
        <v>45589</v>
      </c>
      <c r="B467" s="3" t="s">
        <v>52</v>
      </c>
      <c r="C467" s="3" t="s">
        <v>142</v>
      </c>
      <c r="D467" s="3"/>
      <c r="E467" s="3" t="s">
        <v>54</v>
      </c>
      <c r="F467" s="3" t="s">
        <v>36</v>
      </c>
      <c r="G467" s="3" t="s">
        <v>15</v>
      </c>
    </row>
    <row r="468" spans="1:7" ht="13.2" x14ac:dyDescent="0.25">
      <c r="A468" s="2">
        <v>45589</v>
      </c>
      <c r="B468" s="3" t="s">
        <v>55</v>
      </c>
      <c r="C468" s="3" t="s">
        <v>87</v>
      </c>
      <c r="D468" s="3"/>
      <c r="E468" s="3" t="s">
        <v>35</v>
      </c>
      <c r="F468" s="3" t="s">
        <v>36</v>
      </c>
      <c r="G468" s="3" t="s">
        <v>15</v>
      </c>
    </row>
    <row r="469" spans="1:7" ht="13.2" x14ac:dyDescent="0.25">
      <c r="A469" s="2">
        <v>45589</v>
      </c>
      <c r="B469" s="3" t="s">
        <v>11</v>
      </c>
      <c r="C469" s="3" t="s">
        <v>12</v>
      </c>
      <c r="D469" s="3"/>
      <c r="E469" s="3" t="s">
        <v>13</v>
      </c>
      <c r="F469" s="3" t="s">
        <v>14</v>
      </c>
      <c r="G469" s="3" t="s">
        <v>15</v>
      </c>
    </row>
    <row r="470" spans="1:7" ht="13.2" x14ac:dyDescent="0.25">
      <c r="A470" s="2">
        <v>45590</v>
      </c>
      <c r="B470" s="3" t="s">
        <v>11</v>
      </c>
      <c r="C470" s="3" t="s">
        <v>12</v>
      </c>
      <c r="D470" s="3"/>
      <c r="E470" s="3" t="s">
        <v>13</v>
      </c>
      <c r="F470" s="3" t="s">
        <v>14</v>
      </c>
      <c r="G470" s="3" t="s">
        <v>15</v>
      </c>
    </row>
    <row r="471" spans="1:7" ht="13.2" x14ac:dyDescent="0.25">
      <c r="A471" s="2">
        <v>45591</v>
      </c>
      <c r="B471" s="3" t="s">
        <v>11</v>
      </c>
      <c r="C471" s="3" t="s">
        <v>12</v>
      </c>
      <c r="D471" s="3"/>
      <c r="E471" s="3" t="s">
        <v>13</v>
      </c>
      <c r="F471" s="3" t="s">
        <v>14</v>
      </c>
      <c r="G471" s="3" t="s">
        <v>15</v>
      </c>
    </row>
    <row r="472" spans="1:7" ht="13.2" x14ac:dyDescent="0.25">
      <c r="A472" s="2">
        <v>45591</v>
      </c>
      <c r="B472" s="3" t="s">
        <v>24</v>
      </c>
      <c r="C472" s="3" t="s">
        <v>237</v>
      </c>
      <c r="D472" s="3"/>
      <c r="E472" s="3" t="s">
        <v>26</v>
      </c>
      <c r="F472" s="3" t="s">
        <v>19</v>
      </c>
      <c r="G472" s="3" t="s">
        <v>15</v>
      </c>
    </row>
    <row r="473" spans="1:7" ht="13.2" x14ac:dyDescent="0.25">
      <c r="A473" s="2">
        <v>45592</v>
      </c>
      <c r="B473" s="3" t="s">
        <v>58</v>
      </c>
      <c r="C473" s="3" t="s">
        <v>238</v>
      </c>
      <c r="D473" s="3"/>
      <c r="E473" s="3" t="s">
        <v>42</v>
      </c>
      <c r="F473" s="3" t="s">
        <v>14</v>
      </c>
      <c r="G473" s="3" t="s">
        <v>15</v>
      </c>
    </row>
    <row r="474" spans="1:7" ht="13.2" x14ac:dyDescent="0.25">
      <c r="A474" s="2">
        <v>45593</v>
      </c>
      <c r="B474" s="3" t="s">
        <v>60</v>
      </c>
      <c r="C474" s="3" t="s">
        <v>239</v>
      </c>
      <c r="D474" s="3"/>
      <c r="E474" s="3" t="s">
        <v>42</v>
      </c>
      <c r="F474" s="3" t="s">
        <v>14</v>
      </c>
      <c r="G474" s="3" t="s">
        <v>15</v>
      </c>
    </row>
    <row r="475" spans="1:7" ht="13.2" x14ac:dyDescent="0.25">
      <c r="A475" s="2">
        <v>45594</v>
      </c>
      <c r="B475" s="3" t="s">
        <v>62</v>
      </c>
      <c r="C475" s="3" t="s">
        <v>63</v>
      </c>
      <c r="D475" s="3"/>
      <c r="E475" s="3" t="s">
        <v>64</v>
      </c>
      <c r="F475" s="3" t="s">
        <v>65</v>
      </c>
      <c r="G475" s="3" t="s">
        <v>15</v>
      </c>
    </row>
    <row r="476" spans="1:7" ht="13.2" x14ac:dyDescent="0.25">
      <c r="A476" s="2">
        <v>45594</v>
      </c>
      <c r="B476" s="3" t="s">
        <v>30</v>
      </c>
      <c r="C476" s="3" t="s">
        <v>240</v>
      </c>
      <c r="D476" s="3"/>
      <c r="E476" s="3" t="s">
        <v>67</v>
      </c>
      <c r="F476" s="3" t="s">
        <v>23</v>
      </c>
      <c r="G476" s="3" t="s">
        <v>15</v>
      </c>
    </row>
    <row r="477" spans="1:7" ht="13.2" x14ac:dyDescent="0.25">
      <c r="A477" s="2">
        <v>45594</v>
      </c>
      <c r="B477" s="3" t="s">
        <v>11</v>
      </c>
      <c r="C477" s="3" t="s">
        <v>12</v>
      </c>
      <c r="D477" s="3"/>
      <c r="E477" s="3" t="s">
        <v>13</v>
      </c>
      <c r="F477" s="3" t="s">
        <v>14</v>
      </c>
      <c r="G477" s="3" t="s">
        <v>15</v>
      </c>
    </row>
    <row r="478" spans="1:7" ht="13.2" x14ac:dyDescent="0.25">
      <c r="A478" s="2">
        <v>45595</v>
      </c>
      <c r="B478" s="3" t="s">
        <v>11</v>
      </c>
      <c r="C478" s="3" t="s">
        <v>12</v>
      </c>
      <c r="D478" s="3"/>
      <c r="E478" s="3" t="s">
        <v>13</v>
      </c>
      <c r="F478" s="3" t="s">
        <v>14</v>
      </c>
      <c r="G478" s="3" t="s">
        <v>15</v>
      </c>
    </row>
    <row r="479" spans="1:7" ht="13.2" x14ac:dyDescent="0.25">
      <c r="A479" s="2">
        <v>45596</v>
      </c>
      <c r="B479" s="3" t="s">
        <v>11</v>
      </c>
      <c r="C479" s="3" t="s">
        <v>12</v>
      </c>
      <c r="D479" s="3"/>
      <c r="E479" s="3" t="s">
        <v>13</v>
      </c>
      <c r="F479" s="3" t="s">
        <v>14</v>
      </c>
      <c r="G479" s="3" t="s">
        <v>15</v>
      </c>
    </row>
    <row r="480" spans="1:7" ht="13.2" x14ac:dyDescent="0.25">
      <c r="A480" s="2">
        <v>45597</v>
      </c>
      <c r="B480" s="3" t="s">
        <v>11</v>
      </c>
      <c r="C480" s="3" t="s">
        <v>12</v>
      </c>
      <c r="D480" s="3"/>
      <c r="E480" s="3" t="s">
        <v>13</v>
      </c>
      <c r="F480" s="3" t="s">
        <v>14</v>
      </c>
      <c r="G480" s="3" t="s">
        <v>15</v>
      </c>
    </row>
    <row r="481" spans="1:7" ht="13.2" x14ac:dyDescent="0.25">
      <c r="A481" s="2">
        <v>45598</v>
      </c>
      <c r="B481" s="3" t="s">
        <v>11</v>
      </c>
      <c r="C481" s="3" t="s">
        <v>12</v>
      </c>
      <c r="D481" s="3"/>
      <c r="E481" s="3" t="s">
        <v>13</v>
      </c>
      <c r="F481" s="3" t="s">
        <v>14</v>
      </c>
      <c r="G481" s="3" t="s">
        <v>15</v>
      </c>
    </row>
    <row r="482" spans="1:7" ht="13.2" x14ac:dyDescent="0.25">
      <c r="A482" s="2">
        <v>45598</v>
      </c>
      <c r="B482" s="3" t="s">
        <v>24</v>
      </c>
      <c r="C482" s="3" t="s">
        <v>241</v>
      </c>
      <c r="D482" s="3"/>
      <c r="E482" s="3" t="s">
        <v>26</v>
      </c>
      <c r="F482" s="3" t="s">
        <v>19</v>
      </c>
      <c r="G482" s="3" t="s">
        <v>15</v>
      </c>
    </row>
    <row r="483" spans="1:7" ht="13.2" x14ac:dyDescent="0.25">
      <c r="A483" s="2">
        <v>45599</v>
      </c>
      <c r="B483" s="3" t="s">
        <v>69</v>
      </c>
      <c r="C483" s="3" t="s">
        <v>242</v>
      </c>
      <c r="D483" s="3"/>
      <c r="E483" s="3" t="s">
        <v>39</v>
      </c>
      <c r="F483" s="3" t="s">
        <v>36</v>
      </c>
      <c r="G483" s="3" t="s">
        <v>15</v>
      </c>
    </row>
    <row r="484" spans="1:7" ht="13.2" x14ac:dyDescent="0.25">
      <c r="A484" s="2">
        <v>45599</v>
      </c>
      <c r="B484" s="3" t="s">
        <v>71</v>
      </c>
      <c r="C484" s="3" t="s">
        <v>243</v>
      </c>
      <c r="D484" s="3"/>
      <c r="E484" s="3" t="s">
        <v>35</v>
      </c>
      <c r="F484" s="3" t="s">
        <v>36</v>
      </c>
      <c r="G484" s="3" t="s">
        <v>15</v>
      </c>
    </row>
    <row r="485" spans="1:7" ht="13.2" x14ac:dyDescent="0.25">
      <c r="A485" s="2">
        <v>45600</v>
      </c>
      <c r="B485" s="3" t="s">
        <v>244</v>
      </c>
      <c r="C485" s="3" t="s">
        <v>245</v>
      </c>
      <c r="D485" s="3"/>
      <c r="E485" s="3" t="s">
        <v>39</v>
      </c>
      <c r="F485" s="3" t="s">
        <v>36</v>
      </c>
      <c r="G485" s="3" t="s">
        <v>15</v>
      </c>
    </row>
    <row r="486" spans="1:7" ht="13.2" x14ac:dyDescent="0.25">
      <c r="A486" s="2">
        <v>45600</v>
      </c>
      <c r="B486" s="3" t="s">
        <v>43</v>
      </c>
      <c r="C486" s="3" t="s">
        <v>246</v>
      </c>
      <c r="D486" s="3"/>
      <c r="E486" s="3" t="s">
        <v>45</v>
      </c>
      <c r="F486" s="3" t="s">
        <v>23</v>
      </c>
      <c r="G486" s="3" t="s">
        <v>15</v>
      </c>
    </row>
    <row r="487" spans="1:7" ht="13.2" x14ac:dyDescent="0.25">
      <c r="A487" s="2">
        <v>45600</v>
      </c>
      <c r="B487" s="3" t="s">
        <v>121</v>
      </c>
      <c r="C487" s="3" t="s">
        <v>122</v>
      </c>
      <c r="D487" s="3"/>
      <c r="E487" s="3" t="s">
        <v>42</v>
      </c>
      <c r="F487" s="3" t="s">
        <v>14</v>
      </c>
      <c r="G487" s="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1080A-C9B9-467D-B0D1-103568CA999F}">
  <dimension ref="A1:I487"/>
  <sheetViews>
    <sheetView workbookViewId="0">
      <selection activeCell="M8" sqref="M8"/>
    </sheetView>
  </sheetViews>
  <sheetFormatPr defaultRowHeight="13.2" x14ac:dyDescent="0.25"/>
  <cols>
    <col min="1" max="1" width="10.33203125" bestFit="1" customWidth="1"/>
    <col min="2" max="2" width="24.88671875" bestFit="1" customWidth="1"/>
    <col min="3" max="3" width="10.109375" bestFit="1" customWidth="1"/>
    <col min="4" max="4" width="11.109375" bestFit="1" customWidth="1"/>
    <col min="5" max="5" width="16.21875" bestFit="1" customWidth="1"/>
    <col min="6" max="6" width="14.109375" bestFit="1" customWidth="1"/>
    <col min="7" max="7" width="13.88671875" bestFit="1" customWidth="1"/>
  </cols>
  <sheetData>
    <row r="1" spans="1:9" x14ac:dyDescent="0.25">
      <c r="A1" s="1" t="s">
        <v>0</v>
      </c>
      <c r="B1" s="4" t="s">
        <v>1</v>
      </c>
      <c r="C1" s="6" t="s">
        <v>2</v>
      </c>
      <c r="D1" s="6" t="s">
        <v>3</v>
      </c>
      <c r="E1" s="1" t="s">
        <v>4</v>
      </c>
      <c r="F1" s="1" t="s">
        <v>5</v>
      </c>
      <c r="G1" s="1" t="s">
        <v>6</v>
      </c>
      <c r="H1" s="6" t="s">
        <v>252</v>
      </c>
      <c r="I1" s="6" t="s">
        <v>264</v>
      </c>
    </row>
    <row r="2" spans="1:9" x14ac:dyDescent="0.25">
      <c r="A2" s="2">
        <v>45300</v>
      </c>
      <c r="B2" s="5" t="s">
        <v>7</v>
      </c>
      <c r="C2">
        <f>ROUND(IF(ISBLANK('original data'!C2),0,'original data'!C2),0)</f>
        <v>0</v>
      </c>
      <c r="D2">
        <f>ROUND(IF(ISBLANK('original data'!D2),0,'original data'!D2),0)</f>
        <v>120000</v>
      </c>
      <c r="E2" s="3" t="s">
        <v>7</v>
      </c>
      <c r="F2" s="3" t="s">
        <v>9</v>
      </c>
      <c r="G2" s="3" t="s">
        <v>10</v>
      </c>
      <c r="H2" t="str">
        <f>TEXT(A2,"MMMM")</f>
        <v>January</v>
      </c>
      <c r="I2">
        <f>WEEKNUM(A2)</f>
        <v>2</v>
      </c>
    </row>
    <row r="3" spans="1:9" x14ac:dyDescent="0.25">
      <c r="A3" s="2">
        <v>45300</v>
      </c>
      <c r="B3" s="5" t="s">
        <v>11</v>
      </c>
      <c r="C3">
        <f>ROUND(IF(ISBLANK('original data'!C3),0,'original data'!C3),0)</f>
        <v>120</v>
      </c>
      <c r="D3">
        <f>ROUND(IF(ISBLANK('original data'!D3),0,'original data'!D3),0)</f>
        <v>0</v>
      </c>
      <c r="E3" s="3" t="s">
        <v>13</v>
      </c>
      <c r="F3" s="3" t="s">
        <v>14</v>
      </c>
      <c r="G3" s="3" t="s">
        <v>15</v>
      </c>
      <c r="H3" t="str">
        <f t="shared" ref="H3:H66" si="0">TEXT(A3,"MMMM")</f>
        <v>January</v>
      </c>
      <c r="I3">
        <f t="shared" ref="I3:I66" si="1">WEEKNUM(A3)</f>
        <v>2</v>
      </c>
    </row>
    <row r="4" spans="1:9" x14ac:dyDescent="0.25">
      <c r="A4" s="2">
        <v>45301</v>
      </c>
      <c r="B4" s="5" t="s">
        <v>16</v>
      </c>
      <c r="C4">
        <f>ROUND(IF(ISBLANK('original data'!C4),0,'original data'!C4),0)</f>
        <v>21600</v>
      </c>
      <c r="D4">
        <f>ROUND(IF(ISBLANK('original data'!D4),0,'original data'!D4),0)</f>
        <v>0</v>
      </c>
      <c r="E4" s="3" t="s">
        <v>18</v>
      </c>
      <c r="F4" s="3" t="s">
        <v>19</v>
      </c>
      <c r="G4" s="3" t="s">
        <v>15</v>
      </c>
      <c r="H4" t="str">
        <f t="shared" si="0"/>
        <v>January</v>
      </c>
      <c r="I4">
        <f t="shared" si="1"/>
        <v>2</v>
      </c>
    </row>
    <row r="5" spans="1:9" x14ac:dyDescent="0.25">
      <c r="A5" s="2">
        <v>45301</v>
      </c>
      <c r="B5" s="5" t="s">
        <v>20</v>
      </c>
      <c r="C5">
        <f>ROUND(IF(ISBLANK('original data'!C5),0,'original data'!C5),0)</f>
        <v>3600</v>
      </c>
      <c r="D5">
        <f>ROUND(IF(ISBLANK('original data'!D5),0,'original data'!D5),0)</f>
        <v>0</v>
      </c>
      <c r="E5" s="3" t="s">
        <v>22</v>
      </c>
      <c r="F5" s="3" t="s">
        <v>23</v>
      </c>
      <c r="G5" s="3" t="s">
        <v>15</v>
      </c>
      <c r="H5" t="str">
        <f t="shared" si="0"/>
        <v>January</v>
      </c>
      <c r="I5">
        <f t="shared" si="1"/>
        <v>2</v>
      </c>
    </row>
    <row r="6" spans="1:9" x14ac:dyDescent="0.25">
      <c r="A6" s="2">
        <v>45301</v>
      </c>
      <c r="B6" s="5" t="s">
        <v>11</v>
      </c>
      <c r="C6">
        <f>ROUND(IF(ISBLANK('original data'!C6),0,'original data'!C6),0)</f>
        <v>120</v>
      </c>
      <c r="D6">
        <f>ROUND(IF(ISBLANK('original data'!D6),0,'original data'!D6),0)</f>
        <v>0</v>
      </c>
      <c r="E6" s="3" t="s">
        <v>13</v>
      </c>
      <c r="F6" s="3" t="s">
        <v>14</v>
      </c>
      <c r="G6" s="3" t="s">
        <v>15</v>
      </c>
      <c r="H6" t="str">
        <f t="shared" si="0"/>
        <v>January</v>
      </c>
      <c r="I6">
        <f t="shared" si="1"/>
        <v>2</v>
      </c>
    </row>
    <row r="7" spans="1:9" x14ac:dyDescent="0.25">
      <c r="A7" s="2">
        <v>45302</v>
      </c>
      <c r="B7" s="5" t="s">
        <v>11</v>
      </c>
      <c r="C7">
        <f>ROUND(IF(ISBLANK('original data'!C7),0,'original data'!C7),0)</f>
        <v>120</v>
      </c>
      <c r="D7">
        <f>ROUND(IF(ISBLANK('original data'!D7),0,'original data'!D7),0)</f>
        <v>0</v>
      </c>
      <c r="E7" s="3" t="s">
        <v>13</v>
      </c>
      <c r="F7" s="3" t="s">
        <v>14</v>
      </c>
      <c r="G7" s="3" t="s">
        <v>15</v>
      </c>
      <c r="H7" t="str">
        <f t="shared" si="0"/>
        <v>January</v>
      </c>
      <c r="I7">
        <f t="shared" si="1"/>
        <v>2</v>
      </c>
    </row>
    <row r="8" spans="1:9" x14ac:dyDescent="0.25">
      <c r="A8" s="2">
        <v>45303</v>
      </c>
      <c r="B8" s="5" t="s">
        <v>11</v>
      </c>
      <c r="C8">
        <f>ROUND(IF(ISBLANK('original data'!C8),0,'original data'!C8),0)</f>
        <v>120</v>
      </c>
      <c r="D8">
        <f>ROUND(IF(ISBLANK('original data'!D8),0,'original data'!D8),0)</f>
        <v>0</v>
      </c>
      <c r="E8" s="3" t="s">
        <v>13</v>
      </c>
      <c r="F8" s="3" t="s">
        <v>14</v>
      </c>
      <c r="G8" s="3" t="s">
        <v>15</v>
      </c>
      <c r="H8" t="str">
        <f t="shared" si="0"/>
        <v>January</v>
      </c>
      <c r="I8">
        <f t="shared" si="1"/>
        <v>2</v>
      </c>
    </row>
    <row r="9" spans="1:9" x14ac:dyDescent="0.25">
      <c r="A9" s="2">
        <v>45304</v>
      </c>
      <c r="B9" s="5" t="s">
        <v>11</v>
      </c>
      <c r="C9">
        <f>ROUND(IF(ISBLANK('original data'!C9),0,'original data'!C9),0)</f>
        <v>120</v>
      </c>
      <c r="D9">
        <f>ROUND(IF(ISBLANK('original data'!D9),0,'original data'!D9),0)</f>
        <v>0</v>
      </c>
      <c r="E9" s="3" t="s">
        <v>13</v>
      </c>
      <c r="F9" s="3" t="s">
        <v>14</v>
      </c>
      <c r="G9" s="3" t="s">
        <v>15</v>
      </c>
      <c r="H9" t="str">
        <f t="shared" si="0"/>
        <v>January</v>
      </c>
      <c r="I9">
        <f t="shared" si="1"/>
        <v>2</v>
      </c>
    </row>
    <row r="10" spans="1:9" x14ac:dyDescent="0.25">
      <c r="A10" s="2">
        <v>45304</v>
      </c>
      <c r="B10" s="5" t="s">
        <v>24</v>
      </c>
      <c r="C10">
        <f>ROUND(IF(ISBLANK('original data'!C10),0,'original data'!C10),0)</f>
        <v>3720</v>
      </c>
      <c r="D10">
        <f>ROUND(IF(ISBLANK('original data'!D10),0,'original data'!D10),0)</f>
        <v>0</v>
      </c>
      <c r="E10" s="3" t="s">
        <v>26</v>
      </c>
      <c r="F10" s="3" t="s">
        <v>19</v>
      </c>
      <c r="G10" s="3" t="s">
        <v>15</v>
      </c>
      <c r="H10" t="str">
        <f t="shared" si="0"/>
        <v>January</v>
      </c>
      <c r="I10">
        <f t="shared" si="1"/>
        <v>2</v>
      </c>
    </row>
    <row r="11" spans="1:9" x14ac:dyDescent="0.25">
      <c r="A11" s="2">
        <v>45307</v>
      </c>
      <c r="B11" s="5" t="s">
        <v>27</v>
      </c>
      <c r="C11">
        <f>ROUND(IF(ISBLANK('original data'!C11),0,'original data'!C11),0)</f>
        <v>1200</v>
      </c>
      <c r="D11">
        <f>ROUND(IF(ISBLANK('original data'!D11),0,'original data'!D11),0)</f>
        <v>0</v>
      </c>
      <c r="E11" s="3" t="s">
        <v>29</v>
      </c>
      <c r="F11" s="3" t="s">
        <v>19</v>
      </c>
      <c r="G11" s="3" t="s">
        <v>15</v>
      </c>
      <c r="H11" t="str">
        <f t="shared" si="0"/>
        <v>January</v>
      </c>
      <c r="I11">
        <f t="shared" si="1"/>
        <v>3</v>
      </c>
    </row>
    <row r="12" spans="1:9" x14ac:dyDescent="0.25">
      <c r="A12" s="2">
        <v>45307</v>
      </c>
      <c r="B12" s="5" t="s">
        <v>11</v>
      </c>
      <c r="C12">
        <f>ROUND(IF(ISBLANK('original data'!C12),0,'original data'!C12),0)</f>
        <v>120</v>
      </c>
      <c r="D12">
        <f>ROUND(IF(ISBLANK('original data'!D12),0,'original data'!D12),0)</f>
        <v>0</v>
      </c>
      <c r="E12" s="3" t="s">
        <v>13</v>
      </c>
      <c r="F12" s="3" t="s">
        <v>14</v>
      </c>
      <c r="G12" s="3" t="s">
        <v>15</v>
      </c>
      <c r="H12" t="str">
        <f t="shared" si="0"/>
        <v>January</v>
      </c>
      <c r="I12">
        <f t="shared" si="1"/>
        <v>3</v>
      </c>
    </row>
    <row r="13" spans="1:9" x14ac:dyDescent="0.25">
      <c r="A13" s="2">
        <v>45308</v>
      </c>
      <c r="B13" s="5" t="s">
        <v>11</v>
      </c>
      <c r="C13">
        <f>ROUND(IF(ISBLANK('original data'!C13),0,'original data'!C13),0)</f>
        <v>120</v>
      </c>
      <c r="D13">
        <f>ROUND(IF(ISBLANK('original data'!D13),0,'original data'!D13),0)</f>
        <v>0</v>
      </c>
      <c r="E13" s="3" t="s">
        <v>13</v>
      </c>
      <c r="F13" s="3" t="s">
        <v>14</v>
      </c>
      <c r="G13" s="3" t="s">
        <v>15</v>
      </c>
      <c r="H13" t="str">
        <f t="shared" si="0"/>
        <v>January</v>
      </c>
      <c r="I13">
        <f t="shared" si="1"/>
        <v>3</v>
      </c>
    </row>
    <row r="14" spans="1:9" x14ac:dyDescent="0.25">
      <c r="A14" s="2">
        <v>45309</v>
      </c>
      <c r="B14" s="5" t="s">
        <v>30</v>
      </c>
      <c r="C14">
        <f>ROUND(IF(ISBLANK('original data'!C14),0,'original data'!C14),0)</f>
        <v>1848</v>
      </c>
      <c r="D14">
        <f>ROUND(IF(ISBLANK('original data'!D14),0,'original data'!D14),0)</f>
        <v>0</v>
      </c>
      <c r="E14" s="3" t="s">
        <v>13</v>
      </c>
      <c r="F14" s="3" t="s">
        <v>14</v>
      </c>
      <c r="G14" s="3" t="s">
        <v>15</v>
      </c>
      <c r="H14" t="str">
        <f t="shared" si="0"/>
        <v>January</v>
      </c>
      <c r="I14">
        <f t="shared" si="1"/>
        <v>3</v>
      </c>
    </row>
    <row r="15" spans="1:9" x14ac:dyDescent="0.25">
      <c r="A15" s="2">
        <v>45309</v>
      </c>
      <c r="B15" s="5" t="s">
        <v>11</v>
      </c>
      <c r="C15">
        <f>ROUND(IF(ISBLANK('original data'!C15),0,'original data'!C15),0)</f>
        <v>120</v>
      </c>
      <c r="D15">
        <f>ROUND(IF(ISBLANK('original data'!D15),0,'original data'!D15),0)</f>
        <v>0</v>
      </c>
      <c r="E15" s="3" t="s">
        <v>13</v>
      </c>
      <c r="F15" s="3" t="s">
        <v>14</v>
      </c>
      <c r="G15" s="3" t="s">
        <v>15</v>
      </c>
      <c r="H15" t="str">
        <f t="shared" si="0"/>
        <v>January</v>
      </c>
      <c r="I15">
        <f t="shared" si="1"/>
        <v>3</v>
      </c>
    </row>
    <row r="16" spans="1:9" x14ac:dyDescent="0.25">
      <c r="A16" s="2">
        <v>45310</v>
      </c>
      <c r="B16" s="5" t="s">
        <v>11</v>
      </c>
      <c r="C16">
        <f>ROUND(IF(ISBLANK('original data'!C16),0,'original data'!C16),0)</f>
        <v>120</v>
      </c>
      <c r="D16">
        <f>ROUND(IF(ISBLANK('original data'!D16),0,'original data'!D16),0)</f>
        <v>0</v>
      </c>
      <c r="E16" s="3" t="s">
        <v>13</v>
      </c>
      <c r="F16" s="3" t="s">
        <v>14</v>
      </c>
      <c r="G16" s="3" t="s">
        <v>15</v>
      </c>
      <c r="H16" t="str">
        <f t="shared" si="0"/>
        <v>January</v>
      </c>
      <c r="I16">
        <f t="shared" si="1"/>
        <v>3</v>
      </c>
    </row>
    <row r="17" spans="1:9" x14ac:dyDescent="0.25">
      <c r="A17" s="2">
        <v>45311</v>
      </c>
      <c r="B17" s="5" t="s">
        <v>24</v>
      </c>
      <c r="C17">
        <f>ROUND(IF(ISBLANK('original data'!C17),0,'original data'!C17),0)</f>
        <v>3240</v>
      </c>
      <c r="D17">
        <f>ROUND(IF(ISBLANK('original data'!D17),0,'original data'!D17),0)</f>
        <v>0</v>
      </c>
      <c r="E17" s="3" t="s">
        <v>26</v>
      </c>
      <c r="F17" s="3" t="s">
        <v>19</v>
      </c>
      <c r="G17" s="3" t="s">
        <v>15</v>
      </c>
      <c r="H17" t="str">
        <f t="shared" si="0"/>
        <v>January</v>
      </c>
      <c r="I17">
        <f t="shared" si="1"/>
        <v>3</v>
      </c>
    </row>
    <row r="18" spans="1:9" x14ac:dyDescent="0.25">
      <c r="A18" s="2">
        <v>45311</v>
      </c>
      <c r="B18" s="5" t="s">
        <v>11</v>
      </c>
      <c r="C18">
        <f>ROUND(IF(ISBLANK('original data'!C18),0,'original data'!C18),0)</f>
        <v>120</v>
      </c>
      <c r="D18">
        <f>ROUND(IF(ISBLANK('original data'!D18),0,'original data'!D18),0)</f>
        <v>0</v>
      </c>
      <c r="E18" s="3" t="s">
        <v>13</v>
      </c>
      <c r="F18" s="3" t="s">
        <v>14</v>
      </c>
      <c r="G18" s="3" t="s">
        <v>15</v>
      </c>
      <c r="H18" t="str">
        <f t="shared" si="0"/>
        <v>January</v>
      </c>
      <c r="I18">
        <f t="shared" si="1"/>
        <v>3</v>
      </c>
    </row>
    <row r="19" spans="1:9" x14ac:dyDescent="0.25">
      <c r="A19" s="2">
        <v>45312</v>
      </c>
      <c r="B19" s="5" t="s">
        <v>11</v>
      </c>
      <c r="C19">
        <f>ROUND(IF(ISBLANK('original data'!C19),0,'original data'!C19),0)</f>
        <v>120</v>
      </c>
      <c r="D19">
        <f>ROUND(IF(ISBLANK('original data'!D19),0,'original data'!D19),0)</f>
        <v>0</v>
      </c>
      <c r="E19" s="3" t="s">
        <v>13</v>
      </c>
      <c r="F19" s="3" t="s">
        <v>14</v>
      </c>
      <c r="G19" s="3" t="s">
        <v>15</v>
      </c>
      <c r="H19" t="str">
        <f t="shared" si="0"/>
        <v>January</v>
      </c>
      <c r="I19">
        <f t="shared" si="1"/>
        <v>4</v>
      </c>
    </row>
    <row r="20" spans="1:9" x14ac:dyDescent="0.25">
      <c r="A20" s="2">
        <v>45312</v>
      </c>
      <c r="B20" s="5" t="s">
        <v>33</v>
      </c>
      <c r="C20">
        <f>ROUND(IF(ISBLANK('original data'!C20),0,'original data'!C20),0)</f>
        <v>960</v>
      </c>
      <c r="D20">
        <f>ROUND(IF(ISBLANK('original data'!D20),0,'original data'!D20),0)</f>
        <v>0</v>
      </c>
      <c r="E20" s="3" t="s">
        <v>35</v>
      </c>
      <c r="F20" s="3" t="s">
        <v>36</v>
      </c>
      <c r="G20" s="3" t="s">
        <v>15</v>
      </c>
      <c r="H20" t="str">
        <f t="shared" si="0"/>
        <v>January</v>
      </c>
      <c r="I20">
        <f t="shared" si="1"/>
        <v>4</v>
      </c>
    </row>
    <row r="21" spans="1:9" x14ac:dyDescent="0.25">
      <c r="A21" s="2">
        <v>45312</v>
      </c>
      <c r="B21" s="5" t="s">
        <v>37</v>
      </c>
      <c r="C21">
        <f>ROUND(IF(ISBLANK('original data'!C21),0,'original data'!C21),0)</f>
        <v>2352</v>
      </c>
      <c r="D21">
        <f>ROUND(IF(ISBLANK('original data'!D21),0,'original data'!D21),0)</f>
        <v>0</v>
      </c>
      <c r="E21" s="3" t="s">
        <v>39</v>
      </c>
      <c r="F21" s="3" t="s">
        <v>36</v>
      </c>
      <c r="G21" s="3" t="s">
        <v>15</v>
      </c>
      <c r="H21" t="str">
        <f t="shared" si="0"/>
        <v>January</v>
      </c>
      <c r="I21">
        <f t="shared" si="1"/>
        <v>4</v>
      </c>
    </row>
    <row r="22" spans="1:9" x14ac:dyDescent="0.25">
      <c r="A22" s="2">
        <v>45312</v>
      </c>
      <c r="B22" s="5" t="s">
        <v>40</v>
      </c>
      <c r="C22">
        <f>ROUND(IF(ISBLANK('original data'!C22),0,'original data'!C22),0)</f>
        <v>1248</v>
      </c>
      <c r="D22">
        <f>ROUND(IF(ISBLANK('original data'!D22),0,'original data'!D22),0)</f>
        <v>0</v>
      </c>
      <c r="E22" s="3" t="s">
        <v>42</v>
      </c>
      <c r="F22" s="3" t="s">
        <v>14</v>
      </c>
      <c r="G22" s="3" t="s">
        <v>15</v>
      </c>
      <c r="H22" t="str">
        <f t="shared" si="0"/>
        <v>January</v>
      </c>
      <c r="I22">
        <f t="shared" si="1"/>
        <v>4</v>
      </c>
    </row>
    <row r="23" spans="1:9" x14ac:dyDescent="0.25">
      <c r="A23" s="2">
        <v>45313</v>
      </c>
      <c r="B23" s="5" t="s">
        <v>43</v>
      </c>
      <c r="C23">
        <f>ROUND(IF(ISBLANK('original data'!C23),0,'original data'!C23),0)</f>
        <v>672</v>
      </c>
      <c r="D23">
        <f>ROUND(IF(ISBLANK('original data'!D23),0,'original data'!D23),0)</f>
        <v>0</v>
      </c>
      <c r="E23" s="3" t="s">
        <v>45</v>
      </c>
      <c r="F23" s="3" t="s">
        <v>23</v>
      </c>
      <c r="G23" s="3" t="s">
        <v>15</v>
      </c>
      <c r="H23" t="str">
        <f t="shared" si="0"/>
        <v>January</v>
      </c>
      <c r="I23">
        <f t="shared" si="1"/>
        <v>4</v>
      </c>
    </row>
    <row r="24" spans="1:9" x14ac:dyDescent="0.25">
      <c r="A24" s="2">
        <v>45314</v>
      </c>
      <c r="B24" s="5" t="s">
        <v>46</v>
      </c>
      <c r="C24">
        <f>ROUND(IF(ISBLANK('original data'!C24),0,'original data'!C24),0)</f>
        <v>0</v>
      </c>
      <c r="D24">
        <f>ROUND(IF(ISBLANK('original data'!D24),0,'original data'!D24),0)</f>
        <v>108000</v>
      </c>
      <c r="E24" s="3" t="s">
        <v>48</v>
      </c>
      <c r="F24" s="3" t="s">
        <v>49</v>
      </c>
      <c r="G24" s="3" t="s">
        <v>10</v>
      </c>
      <c r="H24" t="str">
        <f t="shared" si="0"/>
        <v>January</v>
      </c>
      <c r="I24">
        <f t="shared" si="1"/>
        <v>4</v>
      </c>
    </row>
    <row r="25" spans="1:9" x14ac:dyDescent="0.25">
      <c r="A25" s="2">
        <v>45314</v>
      </c>
      <c r="B25" s="5" t="s">
        <v>11</v>
      </c>
      <c r="C25">
        <f>ROUND(IF(ISBLANK('original data'!C25),0,'original data'!C25),0)</f>
        <v>120</v>
      </c>
      <c r="D25">
        <f>ROUND(IF(ISBLANK('original data'!D25),0,'original data'!D25),0)</f>
        <v>0</v>
      </c>
      <c r="E25" s="3" t="s">
        <v>13</v>
      </c>
      <c r="F25" s="3" t="s">
        <v>14</v>
      </c>
      <c r="G25" s="3" t="s">
        <v>15</v>
      </c>
      <c r="H25" t="str">
        <f t="shared" si="0"/>
        <v>January</v>
      </c>
      <c r="I25">
        <f t="shared" si="1"/>
        <v>4</v>
      </c>
    </row>
    <row r="26" spans="1:9" x14ac:dyDescent="0.25">
      <c r="A26" s="2">
        <v>45315</v>
      </c>
      <c r="B26" s="5" t="s">
        <v>11</v>
      </c>
      <c r="C26">
        <f>ROUND(IF(ISBLANK('original data'!C26),0,'original data'!C26),0)</f>
        <v>120</v>
      </c>
      <c r="D26">
        <f>ROUND(IF(ISBLANK('original data'!D26),0,'original data'!D26),0)</f>
        <v>0</v>
      </c>
      <c r="E26" s="3" t="s">
        <v>13</v>
      </c>
      <c r="F26" s="3" t="s">
        <v>14</v>
      </c>
      <c r="G26" s="3" t="s">
        <v>15</v>
      </c>
      <c r="H26" t="str">
        <f t="shared" si="0"/>
        <v>January</v>
      </c>
      <c r="I26">
        <f t="shared" si="1"/>
        <v>4</v>
      </c>
    </row>
    <row r="27" spans="1:9" x14ac:dyDescent="0.25">
      <c r="A27" s="2">
        <v>45315</v>
      </c>
      <c r="B27" s="5" t="s">
        <v>46</v>
      </c>
      <c r="C27">
        <f>ROUND(IF(ISBLANK('original data'!C27),0,'original data'!C27),0)</f>
        <v>0</v>
      </c>
      <c r="D27">
        <f>ROUND(IF(ISBLANK('original data'!D27),0,'original data'!D27),0)</f>
        <v>108000</v>
      </c>
      <c r="E27" s="3" t="s">
        <v>50</v>
      </c>
      <c r="F27" s="3" t="s">
        <v>49</v>
      </c>
      <c r="G27" s="3" t="s">
        <v>10</v>
      </c>
      <c r="H27" t="str">
        <f t="shared" si="0"/>
        <v>January</v>
      </c>
      <c r="I27">
        <f t="shared" si="1"/>
        <v>4</v>
      </c>
    </row>
    <row r="28" spans="1:9" x14ac:dyDescent="0.25">
      <c r="A28" s="2">
        <v>45315</v>
      </c>
      <c r="B28" s="5" t="s">
        <v>51</v>
      </c>
      <c r="C28">
        <f>ROUND(IF(ISBLANK('original data'!C28),0,'original data'!C28),0)</f>
        <v>960</v>
      </c>
      <c r="D28">
        <f>ROUND(IF(ISBLANK('original data'!D28),0,'original data'!D28),0)</f>
        <v>0</v>
      </c>
      <c r="E28" s="3" t="s">
        <v>51</v>
      </c>
      <c r="F28" s="3" t="s">
        <v>19</v>
      </c>
      <c r="G28" s="3" t="s">
        <v>15</v>
      </c>
      <c r="H28" t="str">
        <f t="shared" si="0"/>
        <v>January</v>
      </c>
      <c r="I28">
        <f t="shared" si="1"/>
        <v>4</v>
      </c>
    </row>
    <row r="29" spans="1:9" x14ac:dyDescent="0.25">
      <c r="A29" s="2">
        <v>45316</v>
      </c>
      <c r="B29" s="5" t="s">
        <v>52</v>
      </c>
      <c r="C29">
        <f>ROUND(IF(ISBLANK('original data'!C29),0,'original data'!C29),0)</f>
        <v>1080</v>
      </c>
      <c r="D29">
        <f>ROUND(IF(ISBLANK('original data'!D29),0,'original data'!D29),0)</f>
        <v>0</v>
      </c>
      <c r="E29" s="3" t="s">
        <v>54</v>
      </c>
      <c r="F29" s="3" t="s">
        <v>36</v>
      </c>
      <c r="G29" s="3" t="s">
        <v>15</v>
      </c>
      <c r="H29" t="str">
        <f t="shared" si="0"/>
        <v>January</v>
      </c>
      <c r="I29">
        <f t="shared" si="1"/>
        <v>4</v>
      </c>
    </row>
    <row r="30" spans="1:9" x14ac:dyDescent="0.25">
      <c r="A30" s="2">
        <v>45316</v>
      </c>
      <c r="B30" s="5" t="s">
        <v>55</v>
      </c>
      <c r="C30">
        <f>ROUND(IF(ISBLANK('original data'!C30),0,'original data'!C30),0)</f>
        <v>768</v>
      </c>
      <c r="D30">
        <f>ROUND(IF(ISBLANK('original data'!D30),0,'original data'!D30),0)</f>
        <v>0</v>
      </c>
      <c r="E30" s="3" t="s">
        <v>35</v>
      </c>
      <c r="F30" s="3" t="s">
        <v>36</v>
      </c>
      <c r="G30" s="3" t="s">
        <v>15</v>
      </c>
      <c r="H30" t="str">
        <f t="shared" si="0"/>
        <v>January</v>
      </c>
      <c r="I30">
        <f t="shared" si="1"/>
        <v>4</v>
      </c>
    </row>
    <row r="31" spans="1:9" x14ac:dyDescent="0.25">
      <c r="A31" s="2">
        <v>45316</v>
      </c>
      <c r="B31" s="5" t="s">
        <v>11</v>
      </c>
      <c r="C31">
        <f>ROUND(IF(ISBLANK('original data'!C31),0,'original data'!C31),0)</f>
        <v>120</v>
      </c>
      <c r="D31">
        <f>ROUND(IF(ISBLANK('original data'!D31),0,'original data'!D31),0)</f>
        <v>0</v>
      </c>
      <c r="E31" s="3" t="s">
        <v>13</v>
      </c>
      <c r="F31" s="3" t="s">
        <v>14</v>
      </c>
      <c r="G31" s="3" t="s">
        <v>15</v>
      </c>
      <c r="H31" t="str">
        <f t="shared" si="0"/>
        <v>January</v>
      </c>
      <c r="I31">
        <f t="shared" si="1"/>
        <v>4</v>
      </c>
    </row>
    <row r="32" spans="1:9" x14ac:dyDescent="0.25">
      <c r="A32" s="2">
        <v>45317</v>
      </c>
      <c r="B32" s="5" t="s">
        <v>11</v>
      </c>
      <c r="C32">
        <f>ROUND(IF(ISBLANK('original data'!C32),0,'original data'!C32),0)</f>
        <v>120</v>
      </c>
      <c r="D32">
        <f>ROUND(IF(ISBLANK('original data'!D32),0,'original data'!D32),0)</f>
        <v>0</v>
      </c>
      <c r="E32" s="3" t="s">
        <v>13</v>
      </c>
      <c r="F32" s="3" t="s">
        <v>14</v>
      </c>
      <c r="G32" s="3" t="s">
        <v>15</v>
      </c>
      <c r="H32" t="str">
        <f t="shared" si="0"/>
        <v>January</v>
      </c>
      <c r="I32">
        <f t="shared" si="1"/>
        <v>4</v>
      </c>
    </row>
    <row r="33" spans="1:9" x14ac:dyDescent="0.25">
      <c r="A33" s="2">
        <v>45318</v>
      </c>
      <c r="B33" s="5" t="s">
        <v>11</v>
      </c>
      <c r="C33">
        <f>ROUND(IF(ISBLANK('original data'!C33),0,'original data'!C33),0)</f>
        <v>120</v>
      </c>
      <c r="D33">
        <f>ROUND(IF(ISBLANK('original data'!D33),0,'original data'!D33),0)</f>
        <v>0</v>
      </c>
      <c r="E33" s="3" t="s">
        <v>13</v>
      </c>
      <c r="F33" s="3" t="s">
        <v>14</v>
      </c>
      <c r="G33" s="3" t="s">
        <v>15</v>
      </c>
      <c r="H33" t="str">
        <f t="shared" si="0"/>
        <v>January</v>
      </c>
      <c r="I33">
        <f t="shared" si="1"/>
        <v>4</v>
      </c>
    </row>
    <row r="34" spans="1:9" x14ac:dyDescent="0.25">
      <c r="A34" s="2">
        <v>45318</v>
      </c>
      <c r="B34" s="5" t="s">
        <v>24</v>
      </c>
      <c r="C34">
        <f>ROUND(IF(ISBLANK('original data'!C34),0,'original data'!C34),0)</f>
        <v>4080</v>
      </c>
      <c r="D34">
        <f>ROUND(IF(ISBLANK('original data'!D34),0,'original data'!D34),0)</f>
        <v>0</v>
      </c>
      <c r="E34" s="3" t="s">
        <v>26</v>
      </c>
      <c r="F34" s="3" t="s">
        <v>19</v>
      </c>
      <c r="G34" s="3" t="s">
        <v>15</v>
      </c>
      <c r="H34" t="str">
        <f t="shared" si="0"/>
        <v>January</v>
      </c>
      <c r="I34">
        <f t="shared" si="1"/>
        <v>4</v>
      </c>
    </row>
    <row r="35" spans="1:9" x14ac:dyDescent="0.25">
      <c r="A35" s="2">
        <v>45319</v>
      </c>
      <c r="B35" s="5" t="s">
        <v>58</v>
      </c>
      <c r="C35">
        <f>ROUND(IF(ISBLANK('original data'!C35),0,'original data'!C35),0)</f>
        <v>888</v>
      </c>
      <c r="D35">
        <f>ROUND(IF(ISBLANK('original data'!D35),0,'original data'!D35),0)</f>
        <v>0</v>
      </c>
      <c r="E35" s="3" t="s">
        <v>42</v>
      </c>
      <c r="F35" s="3" t="s">
        <v>14</v>
      </c>
      <c r="G35" s="3" t="s">
        <v>15</v>
      </c>
      <c r="H35" t="str">
        <f t="shared" si="0"/>
        <v>January</v>
      </c>
      <c r="I35">
        <f t="shared" si="1"/>
        <v>5</v>
      </c>
    </row>
    <row r="36" spans="1:9" x14ac:dyDescent="0.25">
      <c r="A36" s="2">
        <v>45320</v>
      </c>
      <c r="B36" s="5" t="s">
        <v>60</v>
      </c>
      <c r="C36">
        <f>ROUND(IF(ISBLANK('original data'!C36),0,'original data'!C36),0)</f>
        <v>288</v>
      </c>
      <c r="D36">
        <f>ROUND(IF(ISBLANK('original data'!D36),0,'original data'!D36),0)</f>
        <v>0</v>
      </c>
      <c r="E36" s="3" t="s">
        <v>42</v>
      </c>
      <c r="F36" s="3" t="s">
        <v>14</v>
      </c>
      <c r="G36" s="3" t="s">
        <v>15</v>
      </c>
      <c r="H36" t="str">
        <f t="shared" si="0"/>
        <v>January</v>
      </c>
      <c r="I36">
        <f t="shared" si="1"/>
        <v>5</v>
      </c>
    </row>
    <row r="37" spans="1:9" x14ac:dyDescent="0.25">
      <c r="A37" s="2">
        <v>45321</v>
      </c>
      <c r="B37" s="5" t="s">
        <v>62</v>
      </c>
      <c r="C37">
        <f>ROUND(IF(ISBLANK('original data'!C37),0,'original data'!C37),0)</f>
        <v>1320</v>
      </c>
      <c r="D37">
        <f>ROUND(IF(ISBLANK('original data'!D37),0,'original data'!D37),0)</f>
        <v>0</v>
      </c>
      <c r="E37" s="3" t="s">
        <v>64</v>
      </c>
      <c r="F37" s="3" t="s">
        <v>65</v>
      </c>
      <c r="G37" s="3" t="s">
        <v>15</v>
      </c>
      <c r="H37" t="str">
        <f t="shared" si="0"/>
        <v>January</v>
      </c>
      <c r="I37">
        <f t="shared" si="1"/>
        <v>5</v>
      </c>
    </row>
    <row r="38" spans="1:9" x14ac:dyDescent="0.25">
      <c r="A38" s="2">
        <v>45321</v>
      </c>
      <c r="B38" s="5" t="s">
        <v>30</v>
      </c>
      <c r="C38">
        <f>ROUND(IF(ISBLANK('original data'!C38),0,'original data'!C38),0)</f>
        <v>1512</v>
      </c>
      <c r="D38">
        <f>ROUND(IF(ISBLANK('original data'!D38),0,'original data'!D38),0)</f>
        <v>0</v>
      </c>
      <c r="E38" s="3" t="s">
        <v>67</v>
      </c>
      <c r="F38" s="3" t="s">
        <v>23</v>
      </c>
      <c r="G38" s="3" t="s">
        <v>15</v>
      </c>
      <c r="H38" t="str">
        <f t="shared" si="0"/>
        <v>January</v>
      </c>
      <c r="I38">
        <f t="shared" si="1"/>
        <v>5</v>
      </c>
    </row>
    <row r="39" spans="1:9" x14ac:dyDescent="0.25">
      <c r="A39" s="2">
        <v>45321</v>
      </c>
      <c r="B39" s="5" t="s">
        <v>11</v>
      </c>
      <c r="C39">
        <f>ROUND(IF(ISBLANK('original data'!C39),0,'original data'!C39),0)</f>
        <v>120</v>
      </c>
      <c r="D39">
        <f>ROUND(IF(ISBLANK('original data'!D39),0,'original data'!D39),0)</f>
        <v>0</v>
      </c>
      <c r="E39" s="3" t="s">
        <v>13</v>
      </c>
      <c r="F39" s="3" t="s">
        <v>14</v>
      </c>
      <c r="G39" s="3" t="s">
        <v>15</v>
      </c>
      <c r="H39" t="str">
        <f t="shared" si="0"/>
        <v>January</v>
      </c>
      <c r="I39">
        <f t="shared" si="1"/>
        <v>5</v>
      </c>
    </row>
    <row r="40" spans="1:9" x14ac:dyDescent="0.25">
      <c r="A40" s="2">
        <v>45322</v>
      </c>
      <c r="B40" s="5" t="s">
        <v>11</v>
      </c>
      <c r="C40">
        <f>ROUND(IF(ISBLANK('original data'!C40),0,'original data'!C40),0)</f>
        <v>120</v>
      </c>
      <c r="D40">
        <f>ROUND(IF(ISBLANK('original data'!D40),0,'original data'!D40),0)</f>
        <v>0</v>
      </c>
      <c r="E40" s="3" t="s">
        <v>13</v>
      </c>
      <c r="F40" s="3" t="s">
        <v>14</v>
      </c>
      <c r="G40" s="3" t="s">
        <v>15</v>
      </c>
      <c r="H40" t="str">
        <f t="shared" si="0"/>
        <v>January</v>
      </c>
      <c r="I40">
        <f t="shared" si="1"/>
        <v>5</v>
      </c>
    </row>
    <row r="41" spans="1:9" x14ac:dyDescent="0.25">
      <c r="A41" s="2">
        <v>45323</v>
      </c>
      <c r="B41" s="5" t="s">
        <v>11</v>
      </c>
      <c r="C41">
        <f>ROUND(IF(ISBLANK('original data'!C41),0,'original data'!C41),0)</f>
        <v>120</v>
      </c>
      <c r="D41">
        <f>ROUND(IF(ISBLANK('original data'!D41),0,'original data'!D41),0)</f>
        <v>0</v>
      </c>
      <c r="E41" s="3" t="s">
        <v>13</v>
      </c>
      <c r="F41" s="3" t="s">
        <v>14</v>
      </c>
      <c r="G41" s="3" t="s">
        <v>15</v>
      </c>
      <c r="H41" t="str">
        <f t="shared" si="0"/>
        <v>February</v>
      </c>
      <c r="I41">
        <f t="shared" si="1"/>
        <v>5</v>
      </c>
    </row>
    <row r="42" spans="1:9" x14ac:dyDescent="0.25">
      <c r="A42" s="2">
        <v>45324</v>
      </c>
      <c r="B42" s="5" t="s">
        <v>11</v>
      </c>
      <c r="C42">
        <f>ROUND(IF(ISBLANK('original data'!C42),0,'original data'!C42),0)</f>
        <v>120</v>
      </c>
      <c r="D42">
        <f>ROUND(IF(ISBLANK('original data'!D42),0,'original data'!D42),0)</f>
        <v>0</v>
      </c>
      <c r="E42" s="3" t="s">
        <v>13</v>
      </c>
      <c r="F42" s="3" t="s">
        <v>14</v>
      </c>
      <c r="G42" s="3" t="s">
        <v>15</v>
      </c>
      <c r="H42" t="str">
        <f t="shared" si="0"/>
        <v>February</v>
      </c>
      <c r="I42">
        <f t="shared" si="1"/>
        <v>5</v>
      </c>
    </row>
    <row r="43" spans="1:9" x14ac:dyDescent="0.25">
      <c r="A43" s="2">
        <v>45325</v>
      </c>
      <c r="B43" s="5" t="s">
        <v>11</v>
      </c>
      <c r="C43">
        <f>ROUND(IF(ISBLANK('original data'!C43),0,'original data'!C43),0)</f>
        <v>120</v>
      </c>
      <c r="D43">
        <f>ROUND(IF(ISBLANK('original data'!D43),0,'original data'!D43),0)</f>
        <v>0</v>
      </c>
      <c r="E43" s="3" t="s">
        <v>13</v>
      </c>
      <c r="F43" s="3" t="s">
        <v>14</v>
      </c>
      <c r="G43" s="3" t="s">
        <v>15</v>
      </c>
      <c r="H43" t="str">
        <f t="shared" si="0"/>
        <v>February</v>
      </c>
      <c r="I43">
        <f t="shared" si="1"/>
        <v>5</v>
      </c>
    </row>
    <row r="44" spans="1:9" x14ac:dyDescent="0.25">
      <c r="A44" s="2">
        <v>45325</v>
      </c>
      <c r="B44" s="5" t="s">
        <v>24</v>
      </c>
      <c r="C44">
        <f>ROUND(IF(ISBLANK('original data'!C44),0,'original data'!C44),0)</f>
        <v>3888</v>
      </c>
      <c r="D44">
        <f>ROUND(IF(ISBLANK('original data'!D44),0,'original data'!D44),0)</f>
        <v>0</v>
      </c>
      <c r="E44" s="3" t="s">
        <v>26</v>
      </c>
      <c r="F44" s="3" t="s">
        <v>19</v>
      </c>
      <c r="G44" s="3" t="s">
        <v>15</v>
      </c>
      <c r="H44" t="str">
        <f t="shared" si="0"/>
        <v>February</v>
      </c>
      <c r="I44">
        <f t="shared" si="1"/>
        <v>5</v>
      </c>
    </row>
    <row r="45" spans="1:9" x14ac:dyDescent="0.25">
      <c r="A45" s="2">
        <v>45326</v>
      </c>
      <c r="B45" s="5" t="s">
        <v>69</v>
      </c>
      <c r="C45">
        <f>ROUND(IF(ISBLANK('original data'!C45),0,'original data'!C45),0)</f>
        <v>3000</v>
      </c>
      <c r="D45">
        <f>ROUND(IF(ISBLANK('original data'!D45),0,'original data'!D45),0)</f>
        <v>0</v>
      </c>
      <c r="E45" s="3" t="s">
        <v>39</v>
      </c>
      <c r="F45" s="3" t="s">
        <v>36</v>
      </c>
      <c r="G45" s="3" t="s">
        <v>15</v>
      </c>
      <c r="H45" t="str">
        <f t="shared" si="0"/>
        <v>February</v>
      </c>
      <c r="I45">
        <f t="shared" si="1"/>
        <v>6</v>
      </c>
    </row>
    <row r="46" spans="1:9" x14ac:dyDescent="0.25">
      <c r="A46" s="2">
        <v>45326</v>
      </c>
      <c r="B46" s="5" t="s">
        <v>71</v>
      </c>
      <c r="C46">
        <f>ROUND(IF(ISBLANK('original data'!C46),0,'original data'!C46),0)</f>
        <v>4200</v>
      </c>
      <c r="D46">
        <f>ROUND(IF(ISBLANK('original data'!D46),0,'original data'!D46),0)</f>
        <v>0</v>
      </c>
      <c r="E46" s="3" t="s">
        <v>35</v>
      </c>
      <c r="F46" s="3" t="s">
        <v>36</v>
      </c>
      <c r="G46" s="3" t="s">
        <v>15</v>
      </c>
      <c r="H46" t="str">
        <f t="shared" si="0"/>
        <v>February</v>
      </c>
      <c r="I46">
        <f t="shared" si="1"/>
        <v>6</v>
      </c>
    </row>
    <row r="47" spans="1:9" x14ac:dyDescent="0.25">
      <c r="A47" s="2">
        <v>45327</v>
      </c>
      <c r="B47" s="5" t="s">
        <v>37</v>
      </c>
      <c r="C47">
        <f>ROUND(IF(ISBLANK('original data'!C47),0,'original data'!C47),0)</f>
        <v>3480</v>
      </c>
      <c r="D47">
        <f>ROUND(IF(ISBLANK('original data'!D47),0,'original data'!D47),0)</f>
        <v>0</v>
      </c>
      <c r="E47" s="3" t="s">
        <v>39</v>
      </c>
      <c r="F47" s="3" t="s">
        <v>36</v>
      </c>
      <c r="G47" s="3" t="s">
        <v>15</v>
      </c>
      <c r="H47" t="str">
        <f t="shared" si="0"/>
        <v>February</v>
      </c>
      <c r="I47">
        <f t="shared" si="1"/>
        <v>6</v>
      </c>
    </row>
    <row r="48" spans="1:9" x14ac:dyDescent="0.25">
      <c r="A48" s="2">
        <v>45327</v>
      </c>
      <c r="B48" s="5" t="s">
        <v>43</v>
      </c>
      <c r="C48">
        <f>ROUND(IF(ISBLANK('original data'!C48),0,'original data'!C48),0)</f>
        <v>552</v>
      </c>
      <c r="D48">
        <f>ROUND(IF(ISBLANK('original data'!D48),0,'original data'!D48),0)</f>
        <v>0</v>
      </c>
      <c r="E48" s="3" t="s">
        <v>45</v>
      </c>
      <c r="F48" s="3" t="s">
        <v>23</v>
      </c>
      <c r="G48" s="3" t="s">
        <v>15</v>
      </c>
      <c r="H48" t="str">
        <f t="shared" si="0"/>
        <v>February</v>
      </c>
      <c r="I48">
        <f t="shared" si="1"/>
        <v>6</v>
      </c>
    </row>
    <row r="49" spans="1:9" x14ac:dyDescent="0.25">
      <c r="A49" s="2">
        <v>45328</v>
      </c>
      <c r="B49" s="5" t="s">
        <v>7</v>
      </c>
      <c r="C49">
        <f>ROUND(IF(ISBLANK('original data'!C49),0,'original data'!C49),0)</f>
        <v>0</v>
      </c>
      <c r="D49">
        <f>ROUND(IF(ISBLANK('original data'!D49),0,'original data'!D49),0)</f>
        <v>120000</v>
      </c>
      <c r="E49" s="3" t="s">
        <v>75</v>
      </c>
      <c r="F49" s="3" t="s">
        <v>9</v>
      </c>
      <c r="G49" s="3" t="s">
        <v>10</v>
      </c>
      <c r="H49" t="str">
        <f t="shared" si="0"/>
        <v>February</v>
      </c>
      <c r="I49">
        <f t="shared" si="1"/>
        <v>6</v>
      </c>
    </row>
    <row r="50" spans="1:9" x14ac:dyDescent="0.25">
      <c r="A50" s="2">
        <v>45328</v>
      </c>
      <c r="B50" s="5" t="s">
        <v>11</v>
      </c>
      <c r="C50">
        <f>ROUND(IF(ISBLANK('original data'!C50),0,'original data'!C50),0)</f>
        <v>120</v>
      </c>
      <c r="D50">
        <f>ROUND(IF(ISBLANK('original data'!D50),0,'original data'!D50),0)</f>
        <v>0</v>
      </c>
      <c r="E50" s="3" t="s">
        <v>13</v>
      </c>
      <c r="F50" s="3" t="s">
        <v>14</v>
      </c>
      <c r="G50" s="3" t="s">
        <v>15</v>
      </c>
      <c r="H50" t="str">
        <f t="shared" si="0"/>
        <v>February</v>
      </c>
      <c r="I50">
        <f t="shared" si="1"/>
        <v>6</v>
      </c>
    </row>
    <row r="51" spans="1:9" x14ac:dyDescent="0.25">
      <c r="A51" s="2">
        <v>45329</v>
      </c>
      <c r="B51" s="5" t="s">
        <v>16</v>
      </c>
      <c r="C51">
        <f>ROUND(IF(ISBLANK('original data'!C51),0,'original data'!C51),0)</f>
        <v>21600</v>
      </c>
      <c r="D51">
        <f>ROUND(IF(ISBLANK('original data'!D51),0,'original data'!D51),0)</f>
        <v>0</v>
      </c>
      <c r="E51" s="3" t="s">
        <v>18</v>
      </c>
      <c r="F51" s="3" t="s">
        <v>19</v>
      </c>
      <c r="G51" s="3" t="s">
        <v>15</v>
      </c>
      <c r="H51" t="str">
        <f t="shared" si="0"/>
        <v>February</v>
      </c>
      <c r="I51">
        <f t="shared" si="1"/>
        <v>6</v>
      </c>
    </row>
    <row r="52" spans="1:9" x14ac:dyDescent="0.25">
      <c r="A52" s="2">
        <v>45329</v>
      </c>
      <c r="B52" s="5" t="s">
        <v>20</v>
      </c>
      <c r="C52">
        <f>ROUND(IF(ISBLANK('original data'!C52),0,'original data'!C52),0)</f>
        <v>3600</v>
      </c>
      <c r="D52">
        <f>ROUND(IF(ISBLANK('original data'!D52),0,'original data'!D52),0)</f>
        <v>0</v>
      </c>
      <c r="E52" s="3" t="s">
        <v>22</v>
      </c>
      <c r="F52" s="3" t="s">
        <v>23</v>
      </c>
      <c r="G52" s="3" t="s">
        <v>15</v>
      </c>
      <c r="H52" t="str">
        <f t="shared" si="0"/>
        <v>February</v>
      </c>
      <c r="I52">
        <f t="shared" si="1"/>
        <v>6</v>
      </c>
    </row>
    <row r="53" spans="1:9" x14ac:dyDescent="0.25">
      <c r="A53" s="2">
        <v>45329</v>
      </c>
      <c r="B53" s="5" t="s">
        <v>11</v>
      </c>
      <c r="C53">
        <f>ROUND(IF(ISBLANK('original data'!C53),0,'original data'!C53),0)</f>
        <v>120</v>
      </c>
      <c r="D53">
        <f>ROUND(IF(ISBLANK('original data'!D53),0,'original data'!D53),0)</f>
        <v>0</v>
      </c>
      <c r="E53" s="3" t="s">
        <v>13</v>
      </c>
      <c r="F53" s="3" t="s">
        <v>14</v>
      </c>
      <c r="G53" s="3" t="s">
        <v>15</v>
      </c>
      <c r="H53" t="str">
        <f t="shared" si="0"/>
        <v>February</v>
      </c>
      <c r="I53">
        <f t="shared" si="1"/>
        <v>6</v>
      </c>
    </row>
    <row r="54" spans="1:9" x14ac:dyDescent="0.25">
      <c r="A54" s="2">
        <v>45330</v>
      </c>
      <c r="B54" s="5" t="s">
        <v>11</v>
      </c>
      <c r="C54">
        <f>ROUND(IF(ISBLANK('original data'!C54),0,'original data'!C54),0)</f>
        <v>120</v>
      </c>
      <c r="D54">
        <f>ROUND(IF(ISBLANK('original data'!D54),0,'original data'!D54),0)</f>
        <v>0</v>
      </c>
      <c r="E54" s="3" t="s">
        <v>13</v>
      </c>
      <c r="F54" s="3" t="s">
        <v>14</v>
      </c>
      <c r="G54" s="3" t="s">
        <v>15</v>
      </c>
      <c r="H54" t="str">
        <f t="shared" si="0"/>
        <v>February</v>
      </c>
      <c r="I54">
        <f t="shared" si="1"/>
        <v>6</v>
      </c>
    </row>
    <row r="55" spans="1:9" x14ac:dyDescent="0.25">
      <c r="A55" s="2">
        <v>45331</v>
      </c>
      <c r="B55" s="5" t="s">
        <v>11</v>
      </c>
      <c r="C55">
        <f>ROUND(IF(ISBLANK('original data'!C55),0,'original data'!C55),0)</f>
        <v>120</v>
      </c>
      <c r="D55">
        <f>ROUND(IF(ISBLANK('original data'!D55),0,'original data'!D55),0)</f>
        <v>0</v>
      </c>
      <c r="E55" s="3" t="s">
        <v>13</v>
      </c>
      <c r="F55" s="3" t="s">
        <v>14</v>
      </c>
      <c r="G55" s="3" t="s">
        <v>15</v>
      </c>
      <c r="H55" t="str">
        <f t="shared" si="0"/>
        <v>February</v>
      </c>
      <c r="I55">
        <f t="shared" si="1"/>
        <v>6</v>
      </c>
    </row>
    <row r="56" spans="1:9" x14ac:dyDescent="0.25">
      <c r="A56" s="2">
        <v>45332</v>
      </c>
      <c r="B56" s="5" t="s">
        <v>11</v>
      </c>
      <c r="C56">
        <f>ROUND(IF(ISBLANK('original data'!C56),0,'original data'!C56),0)</f>
        <v>120</v>
      </c>
      <c r="D56">
        <f>ROUND(IF(ISBLANK('original data'!D56),0,'original data'!D56),0)</f>
        <v>0</v>
      </c>
      <c r="E56" s="3" t="s">
        <v>13</v>
      </c>
      <c r="F56" s="3" t="s">
        <v>14</v>
      </c>
      <c r="G56" s="3" t="s">
        <v>15</v>
      </c>
      <c r="H56" t="str">
        <f t="shared" si="0"/>
        <v>February</v>
      </c>
      <c r="I56">
        <f t="shared" si="1"/>
        <v>6</v>
      </c>
    </row>
    <row r="57" spans="1:9" x14ac:dyDescent="0.25">
      <c r="A57" s="2">
        <v>45332</v>
      </c>
      <c r="B57" s="5" t="s">
        <v>24</v>
      </c>
      <c r="C57">
        <f>ROUND(IF(ISBLANK('original data'!C57),0,'original data'!C57),0)</f>
        <v>4920</v>
      </c>
      <c r="D57">
        <f>ROUND(IF(ISBLANK('original data'!D57),0,'original data'!D57),0)</f>
        <v>0</v>
      </c>
      <c r="E57" s="3" t="s">
        <v>26</v>
      </c>
      <c r="F57" s="3" t="s">
        <v>19</v>
      </c>
      <c r="G57" s="3" t="s">
        <v>15</v>
      </c>
      <c r="H57" t="str">
        <f t="shared" si="0"/>
        <v>February</v>
      </c>
      <c r="I57">
        <f t="shared" si="1"/>
        <v>6</v>
      </c>
    </row>
    <row r="58" spans="1:9" x14ac:dyDescent="0.25">
      <c r="A58" s="2">
        <v>45335</v>
      </c>
      <c r="B58" s="5" t="s">
        <v>27</v>
      </c>
      <c r="C58">
        <f>ROUND(IF(ISBLANK('original data'!C58),0,'original data'!C58),0)</f>
        <v>1226</v>
      </c>
      <c r="D58">
        <f>ROUND(IF(ISBLANK('original data'!D58),0,'original data'!D58),0)</f>
        <v>0</v>
      </c>
      <c r="E58" s="3" t="s">
        <v>29</v>
      </c>
      <c r="F58" s="3" t="s">
        <v>19</v>
      </c>
      <c r="G58" s="3" t="s">
        <v>15</v>
      </c>
      <c r="H58" t="str">
        <f t="shared" si="0"/>
        <v>February</v>
      </c>
      <c r="I58">
        <f t="shared" si="1"/>
        <v>7</v>
      </c>
    </row>
    <row r="59" spans="1:9" x14ac:dyDescent="0.25">
      <c r="A59" s="2">
        <v>45335</v>
      </c>
      <c r="B59" s="5" t="s">
        <v>11</v>
      </c>
      <c r="C59">
        <f>ROUND(IF(ISBLANK('original data'!C59),0,'original data'!C59),0)</f>
        <v>120</v>
      </c>
      <c r="D59">
        <f>ROUND(IF(ISBLANK('original data'!D59),0,'original data'!D59),0)</f>
        <v>0</v>
      </c>
      <c r="E59" s="3" t="s">
        <v>13</v>
      </c>
      <c r="F59" s="3" t="s">
        <v>14</v>
      </c>
      <c r="G59" s="3" t="s">
        <v>15</v>
      </c>
      <c r="H59" t="str">
        <f t="shared" si="0"/>
        <v>February</v>
      </c>
      <c r="I59">
        <f t="shared" si="1"/>
        <v>7</v>
      </c>
    </row>
    <row r="60" spans="1:9" x14ac:dyDescent="0.25">
      <c r="A60" s="2">
        <v>45336</v>
      </c>
      <c r="B60" s="5" t="s">
        <v>11</v>
      </c>
      <c r="C60">
        <f>ROUND(IF(ISBLANK('original data'!C60),0,'original data'!C60),0)</f>
        <v>120</v>
      </c>
      <c r="D60">
        <f>ROUND(IF(ISBLANK('original data'!D60),0,'original data'!D60),0)</f>
        <v>0</v>
      </c>
      <c r="E60" s="3" t="s">
        <v>13</v>
      </c>
      <c r="F60" s="3" t="s">
        <v>14</v>
      </c>
      <c r="G60" s="3" t="s">
        <v>15</v>
      </c>
      <c r="H60" t="str">
        <f t="shared" si="0"/>
        <v>February</v>
      </c>
      <c r="I60">
        <f t="shared" si="1"/>
        <v>7</v>
      </c>
    </row>
    <row r="61" spans="1:9" x14ac:dyDescent="0.25">
      <c r="A61" s="2">
        <v>45337</v>
      </c>
      <c r="B61" s="5" t="s">
        <v>30</v>
      </c>
      <c r="C61">
        <f>ROUND(IF(ISBLANK('original data'!C61),0,'original data'!C61),0)</f>
        <v>1872</v>
      </c>
      <c r="D61">
        <f>ROUND(IF(ISBLANK('original data'!D61),0,'original data'!D61),0)</f>
        <v>0</v>
      </c>
      <c r="E61" s="3" t="s">
        <v>67</v>
      </c>
      <c r="F61" s="3" t="s">
        <v>23</v>
      </c>
      <c r="G61" s="3" t="s">
        <v>15</v>
      </c>
      <c r="H61" t="str">
        <f t="shared" si="0"/>
        <v>February</v>
      </c>
      <c r="I61">
        <f t="shared" si="1"/>
        <v>7</v>
      </c>
    </row>
    <row r="62" spans="1:9" x14ac:dyDescent="0.25">
      <c r="A62" s="2">
        <v>45337</v>
      </c>
      <c r="B62" s="5" t="s">
        <v>11</v>
      </c>
      <c r="C62">
        <f>ROUND(IF(ISBLANK('original data'!C62),0,'original data'!C62),0)</f>
        <v>120</v>
      </c>
      <c r="D62">
        <f>ROUND(IF(ISBLANK('original data'!D62),0,'original data'!D62),0)</f>
        <v>0</v>
      </c>
      <c r="E62" s="3" t="s">
        <v>13</v>
      </c>
      <c r="F62" s="3" t="s">
        <v>14</v>
      </c>
      <c r="G62" s="3" t="s">
        <v>15</v>
      </c>
      <c r="H62" t="str">
        <f t="shared" si="0"/>
        <v>February</v>
      </c>
      <c r="I62">
        <f t="shared" si="1"/>
        <v>7</v>
      </c>
    </row>
    <row r="63" spans="1:9" x14ac:dyDescent="0.25">
      <c r="A63" s="2">
        <v>45338</v>
      </c>
      <c r="B63" s="5" t="s">
        <v>11</v>
      </c>
      <c r="C63">
        <f>ROUND(IF(ISBLANK('original data'!C63),0,'original data'!C63),0)</f>
        <v>120</v>
      </c>
      <c r="D63">
        <f>ROUND(IF(ISBLANK('original data'!D63),0,'original data'!D63),0)</f>
        <v>0</v>
      </c>
      <c r="E63" s="3" t="s">
        <v>13</v>
      </c>
      <c r="F63" s="3" t="s">
        <v>14</v>
      </c>
      <c r="G63" s="3" t="s">
        <v>15</v>
      </c>
      <c r="H63" t="str">
        <f t="shared" si="0"/>
        <v>February</v>
      </c>
      <c r="I63">
        <f t="shared" si="1"/>
        <v>7</v>
      </c>
    </row>
    <row r="64" spans="1:9" x14ac:dyDescent="0.25">
      <c r="A64" s="2">
        <v>45339</v>
      </c>
      <c r="B64" s="5" t="s">
        <v>24</v>
      </c>
      <c r="C64">
        <f>ROUND(IF(ISBLANK('original data'!C64),0,'original data'!C64),0)</f>
        <v>3262</v>
      </c>
      <c r="D64">
        <f>ROUND(IF(ISBLANK('original data'!D64),0,'original data'!D64),0)</f>
        <v>0</v>
      </c>
      <c r="E64" s="3" t="s">
        <v>26</v>
      </c>
      <c r="F64" s="3" t="s">
        <v>19</v>
      </c>
      <c r="G64" s="3" t="s">
        <v>15</v>
      </c>
      <c r="H64" t="str">
        <f t="shared" si="0"/>
        <v>February</v>
      </c>
      <c r="I64">
        <f t="shared" si="1"/>
        <v>7</v>
      </c>
    </row>
    <row r="65" spans="1:9" x14ac:dyDescent="0.25">
      <c r="A65" s="2">
        <v>45339</v>
      </c>
      <c r="B65" s="5" t="s">
        <v>11</v>
      </c>
      <c r="C65">
        <f>ROUND(IF(ISBLANK('original data'!C65),0,'original data'!C65),0)</f>
        <v>120</v>
      </c>
      <c r="D65">
        <f>ROUND(IF(ISBLANK('original data'!D65),0,'original data'!D65),0)</f>
        <v>0</v>
      </c>
      <c r="E65" s="3" t="s">
        <v>13</v>
      </c>
      <c r="F65" s="3" t="s">
        <v>14</v>
      </c>
      <c r="G65" s="3" t="s">
        <v>15</v>
      </c>
      <c r="H65" t="str">
        <f t="shared" si="0"/>
        <v>February</v>
      </c>
      <c r="I65">
        <f t="shared" si="1"/>
        <v>7</v>
      </c>
    </row>
    <row r="66" spans="1:9" x14ac:dyDescent="0.25">
      <c r="A66" s="2">
        <v>45340</v>
      </c>
      <c r="B66" s="5" t="s">
        <v>11</v>
      </c>
      <c r="C66">
        <f>ROUND(IF(ISBLANK('original data'!C66),0,'original data'!C66),0)</f>
        <v>120</v>
      </c>
      <c r="D66">
        <f>ROUND(IF(ISBLANK('original data'!D66),0,'original data'!D66),0)</f>
        <v>0</v>
      </c>
      <c r="E66" s="3" t="s">
        <v>13</v>
      </c>
      <c r="F66" s="3" t="s">
        <v>14</v>
      </c>
      <c r="G66" s="3" t="s">
        <v>15</v>
      </c>
      <c r="H66" t="str">
        <f t="shared" si="0"/>
        <v>February</v>
      </c>
      <c r="I66">
        <f t="shared" si="1"/>
        <v>8</v>
      </c>
    </row>
    <row r="67" spans="1:9" x14ac:dyDescent="0.25">
      <c r="A67" s="2">
        <v>45340</v>
      </c>
      <c r="B67" s="5" t="s">
        <v>33</v>
      </c>
      <c r="C67">
        <f>ROUND(IF(ISBLANK('original data'!C67),0,'original data'!C67),0)</f>
        <v>982</v>
      </c>
      <c r="D67">
        <f>ROUND(IF(ISBLANK('original data'!D67),0,'original data'!D67),0)</f>
        <v>0</v>
      </c>
      <c r="E67" s="3" t="s">
        <v>35</v>
      </c>
      <c r="F67" s="3" t="s">
        <v>36</v>
      </c>
      <c r="G67" s="3" t="s">
        <v>15</v>
      </c>
      <c r="H67" t="str">
        <f t="shared" ref="H67:H130" si="2">TEXT(A67,"MMMM")</f>
        <v>February</v>
      </c>
      <c r="I67">
        <f t="shared" ref="I67:I130" si="3">WEEKNUM(A67)</f>
        <v>8</v>
      </c>
    </row>
    <row r="68" spans="1:9" x14ac:dyDescent="0.25">
      <c r="A68" s="2">
        <v>45340</v>
      </c>
      <c r="B68" s="5" t="s">
        <v>81</v>
      </c>
      <c r="C68">
        <f>ROUND(IF(ISBLANK('original data'!C68),0,'original data'!C68),0)</f>
        <v>2376</v>
      </c>
      <c r="D68">
        <f>ROUND(IF(ISBLANK('original data'!D68),0,'original data'!D68),0)</f>
        <v>0</v>
      </c>
      <c r="E68" s="3" t="s">
        <v>39</v>
      </c>
      <c r="F68" s="3" t="s">
        <v>36</v>
      </c>
      <c r="G68" s="3" t="s">
        <v>15</v>
      </c>
      <c r="H68" t="str">
        <f t="shared" si="2"/>
        <v>February</v>
      </c>
      <c r="I68">
        <f t="shared" si="3"/>
        <v>8</v>
      </c>
    </row>
    <row r="69" spans="1:9" x14ac:dyDescent="0.25">
      <c r="A69" s="2">
        <v>45340</v>
      </c>
      <c r="B69" s="5" t="s">
        <v>40</v>
      </c>
      <c r="C69">
        <f>ROUND(IF(ISBLANK('original data'!C69),0,'original data'!C69),0)</f>
        <v>1272</v>
      </c>
      <c r="D69">
        <f>ROUND(IF(ISBLANK('original data'!D69),0,'original data'!D69),0)</f>
        <v>0</v>
      </c>
      <c r="E69" s="3" t="s">
        <v>42</v>
      </c>
      <c r="F69" s="3" t="s">
        <v>14</v>
      </c>
      <c r="G69" s="3" t="s">
        <v>15</v>
      </c>
      <c r="H69" t="str">
        <f t="shared" si="2"/>
        <v>February</v>
      </c>
      <c r="I69">
        <f t="shared" si="3"/>
        <v>8</v>
      </c>
    </row>
    <row r="70" spans="1:9" x14ac:dyDescent="0.25">
      <c r="A70" s="2">
        <v>45341</v>
      </c>
      <c r="B70" s="5" t="s">
        <v>43</v>
      </c>
      <c r="C70">
        <f>ROUND(IF(ISBLANK('original data'!C70),0,'original data'!C70),0)</f>
        <v>694</v>
      </c>
      <c r="D70">
        <f>ROUND(IF(ISBLANK('original data'!D70),0,'original data'!D70),0)</f>
        <v>0</v>
      </c>
      <c r="E70" s="3" t="s">
        <v>45</v>
      </c>
      <c r="F70" s="3" t="s">
        <v>23</v>
      </c>
      <c r="G70" s="3" t="s">
        <v>15</v>
      </c>
      <c r="H70" t="str">
        <f t="shared" si="2"/>
        <v>February</v>
      </c>
      <c r="I70">
        <f t="shared" si="3"/>
        <v>8</v>
      </c>
    </row>
    <row r="71" spans="1:9" x14ac:dyDescent="0.25">
      <c r="A71" s="2">
        <v>45342</v>
      </c>
      <c r="B71" s="5" t="s">
        <v>46</v>
      </c>
      <c r="C71">
        <f>ROUND(IF(ISBLANK('original data'!C71),0,'original data'!C71),0)</f>
        <v>0</v>
      </c>
      <c r="D71">
        <f>ROUND(IF(ISBLANK('original data'!D71),0,'original data'!D71),0)</f>
        <v>19200</v>
      </c>
      <c r="E71" s="3" t="s">
        <v>48</v>
      </c>
      <c r="F71" s="3" t="s">
        <v>49</v>
      </c>
      <c r="G71" s="3" t="s">
        <v>10</v>
      </c>
      <c r="H71" t="str">
        <f t="shared" si="2"/>
        <v>February</v>
      </c>
      <c r="I71">
        <f t="shared" si="3"/>
        <v>8</v>
      </c>
    </row>
    <row r="72" spans="1:9" x14ac:dyDescent="0.25">
      <c r="A72" s="2">
        <v>45342</v>
      </c>
      <c r="B72" s="5" t="s">
        <v>11</v>
      </c>
      <c r="C72">
        <f>ROUND(IF(ISBLANK('original data'!C72),0,'original data'!C72),0)</f>
        <v>120</v>
      </c>
      <c r="D72">
        <f>ROUND(IF(ISBLANK('original data'!D72),0,'original data'!D72),0)</f>
        <v>0</v>
      </c>
      <c r="E72" s="3" t="s">
        <v>13</v>
      </c>
      <c r="F72" s="3" t="s">
        <v>14</v>
      </c>
      <c r="G72" s="3" t="s">
        <v>15</v>
      </c>
      <c r="H72" t="str">
        <f t="shared" si="2"/>
        <v>February</v>
      </c>
      <c r="I72">
        <f t="shared" si="3"/>
        <v>8</v>
      </c>
    </row>
    <row r="73" spans="1:9" x14ac:dyDescent="0.25">
      <c r="A73" s="2">
        <v>45343</v>
      </c>
      <c r="B73" s="5" t="s">
        <v>11</v>
      </c>
      <c r="C73">
        <f>ROUND(IF(ISBLANK('original data'!C73),0,'original data'!C73),0)</f>
        <v>120</v>
      </c>
      <c r="D73">
        <f>ROUND(IF(ISBLANK('original data'!D73),0,'original data'!D73),0)</f>
        <v>0</v>
      </c>
      <c r="E73" s="3" t="s">
        <v>13</v>
      </c>
      <c r="F73" s="3" t="s">
        <v>14</v>
      </c>
      <c r="G73" s="3" t="s">
        <v>15</v>
      </c>
      <c r="H73" t="str">
        <f t="shared" si="2"/>
        <v>February</v>
      </c>
      <c r="I73">
        <f t="shared" si="3"/>
        <v>8</v>
      </c>
    </row>
    <row r="74" spans="1:9" x14ac:dyDescent="0.25">
      <c r="A74" s="2">
        <v>45343</v>
      </c>
      <c r="B74" s="5" t="s">
        <v>51</v>
      </c>
      <c r="C74">
        <f>ROUND(IF(ISBLANK('original data'!C74),0,'original data'!C74),0)</f>
        <v>960</v>
      </c>
      <c r="D74">
        <f>ROUND(IF(ISBLANK('original data'!D74),0,'original data'!D74),0)</f>
        <v>0</v>
      </c>
      <c r="E74" s="3" t="s">
        <v>51</v>
      </c>
      <c r="F74" s="3" t="s">
        <v>19</v>
      </c>
      <c r="G74" s="3" t="s">
        <v>15</v>
      </c>
      <c r="H74" t="str">
        <f t="shared" si="2"/>
        <v>February</v>
      </c>
      <c r="I74">
        <f t="shared" si="3"/>
        <v>8</v>
      </c>
    </row>
    <row r="75" spans="1:9" x14ac:dyDescent="0.25">
      <c r="A75" s="2">
        <v>45344</v>
      </c>
      <c r="B75" s="5" t="s">
        <v>52</v>
      </c>
      <c r="C75">
        <f>ROUND(IF(ISBLANK('original data'!C75),0,'original data'!C75),0)</f>
        <v>1102</v>
      </c>
      <c r="D75">
        <f>ROUND(IF(ISBLANK('original data'!D75),0,'original data'!D75),0)</f>
        <v>0</v>
      </c>
      <c r="E75" s="3" t="s">
        <v>54</v>
      </c>
      <c r="F75" s="3" t="s">
        <v>36</v>
      </c>
      <c r="G75" s="3" t="s">
        <v>15</v>
      </c>
      <c r="H75" t="str">
        <f t="shared" si="2"/>
        <v>February</v>
      </c>
      <c r="I75">
        <f t="shared" si="3"/>
        <v>8</v>
      </c>
    </row>
    <row r="76" spans="1:9" x14ac:dyDescent="0.25">
      <c r="A76" s="2">
        <v>45344</v>
      </c>
      <c r="B76" s="5" t="s">
        <v>55</v>
      </c>
      <c r="C76">
        <f>ROUND(IF(ISBLANK('original data'!C76),0,'original data'!C76),0)</f>
        <v>840</v>
      </c>
      <c r="D76">
        <f>ROUND(IF(ISBLANK('original data'!D76),0,'original data'!D76),0)</f>
        <v>0</v>
      </c>
      <c r="E76" s="3" t="s">
        <v>35</v>
      </c>
      <c r="F76" s="3" t="s">
        <v>36</v>
      </c>
      <c r="G76" s="3" t="s">
        <v>15</v>
      </c>
      <c r="H76" t="str">
        <f t="shared" si="2"/>
        <v>February</v>
      </c>
      <c r="I76">
        <f t="shared" si="3"/>
        <v>8</v>
      </c>
    </row>
    <row r="77" spans="1:9" x14ac:dyDescent="0.25">
      <c r="A77" s="2">
        <v>45344</v>
      </c>
      <c r="B77" s="5" t="s">
        <v>11</v>
      </c>
      <c r="C77">
        <f>ROUND(IF(ISBLANK('original data'!C77),0,'original data'!C77),0)</f>
        <v>120</v>
      </c>
      <c r="D77">
        <f>ROUND(IF(ISBLANK('original data'!D77),0,'original data'!D77),0)</f>
        <v>0</v>
      </c>
      <c r="E77" s="3" t="s">
        <v>13</v>
      </c>
      <c r="F77" s="3" t="s">
        <v>14</v>
      </c>
      <c r="G77" s="3" t="s">
        <v>15</v>
      </c>
      <c r="H77" t="str">
        <f t="shared" si="2"/>
        <v>February</v>
      </c>
      <c r="I77">
        <f t="shared" si="3"/>
        <v>8</v>
      </c>
    </row>
    <row r="78" spans="1:9" x14ac:dyDescent="0.25">
      <c r="A78" s="2">
        <v>45345</v>
      </c>
      <c r="B78" s="5" t="s">
        <v>11</v>
      </c>
      <c r="C78">
        <f>ROUND(IF(ISBLANK('original data'!C78),0,'original data'!C78),0)</f>
        <v>120</v>
      </c>
      <c r="D78">
        <f>ROUND(IF(ISBLANK('original data'!D78),0,'original data'!D78),0)</f>
        <v>0</v>
      </c>
      <c r="E78" s="3" t="s">
        <v>13</v>
      </c>
      <c r="F78" s="3" t="s">
        <v>14</v>
      </c>
      <c r="G78" s="3" t="s">
        <v>15</v>
      </c>
      <c r="H78" t="str">
        <f t="shared" si="2"/>
        <v>February</v>
      </c>
      <c r="I78">
        <f t="shared" si="3"/>
        <v>8</v>
      </c>
    </row>
    <row r="79" spans="1:9" x14ac:dyDescent="0.25">
      <c r="A79" s="2">
        <v>45346</v>
      </c>
      <c r="B79" s="5" t="s">
        <v>11</v>
      </c>
      <c r="C79">
        <f>ROUND(IF(ISBLANK('original data'!C79),0,'original data'!C79),0)</f>
        <v>120</v>
      </c>
      <c r="D79">
        <f>ROUND(IF(ISBLANK('original data'!D79),0,'original data'!D79),0)</f>
        <v>0</v>
      </c>
      <c r="E79" s="3" t="s">
        <v>13</v>
      </c>
      <c r="F79" s="3" t="s">
        <v>14</v>
      </c>
      <c r="G79" s="3" t="s">
        <v>15</v>
      </c>
      <c r="H79" t="str">
        <f t="shared" si="2"/>
        <v>February</v>
      </c>
      <c r="I79">
        <f t="shared" si="3"/>
        <v>8</v>
      </c>
    </row>
    <row r="80" spans="1:9" x14ac:dyDescent="0.25">
      <c r="A80" s="2">
        <v>45346</v>
      </c>
      <c r="B80" s="5" t="s">
        <v>24</v>
      </c>
      <c r="C80">
        <f>ROUND(IF(ISBLANK('original data'!C80),0,'original data'!C80),0)</f>
        <v>4104</v>
      </c>
      <c r="D80">
        <f>ROUND(IF(ISBLANK('original data'!D80),0,'original data'!D80),0)</f>
        <v>0</v>
      </c>
      <c r="E80" s="3" t="s">
        <v>26</v>
      </c>
      <c r="F80" s="3" t="s">
        <v>19</v>
      </c>
      <c r="G80" s="3" t="s">
        <v>15</v>
      </c>
      <c r="H80" t="str">
        <f t="shared" si="2"/>
        <v>February</v>
      </c>
      <c r="I80">
        <f t="shared" si="3"/>
        <v>8</v>
      </c>
    </row>
    <row r="81" spans="1:9" x14ac:dyDescent="0.25">
      <c r="A81" s="2">
        <v>45347</v>
      </c>
      <c r="B81" s="5" t="s">
        <v>58</v>
      </c>
      <c r="C81">
        <f>ROUND(IF(ISBLANK('original data'!C81),0,'original data'!C81),0)</f>
        <v>910</v>
      </c>
      <c r="D81">
        <f>ROUND(IF(ISBLANK('original data'!D81),0,'original data'!D81),0)</f>
        <v>0</v>
      </c>
      <c r="E81" s="3" t="s">
        <v>42</v>
      </c>
      <c r="F81" s="3" t="s">
        <v>14</v>
      </c>
      <c r="G81" s="3" t="s">
        <v>15</v>
      </c>
      <c r="H81" t="str">
        <f t="shared" si="2"/>
        <v>February</v>
      </c>
      <c r="I81">
        <f t="shared" si="3"/>
        <v>9</v>
      </c>
    </row>
    <row r="82" spans="1:9" x14ac:dyDescent="0.25">
      <c r="A82" s="2">
        <v>45348</v>
      </c>
      <c r="B82" s="5" t="s">
        <v>60</v>
      </c>
      <c r="C82">
        <f>ROUND(IF(ISBLANK('original data'!C82),0,'original data'!C82),0)</f>
        <v>310</v>
      </c>
      <c r="D82">
        <f>ROUND(IF(ISBLANK('original data'!D82),0,'original data'!D82),0)</f>
        <v>0</v>
      </c>
      <c r="E82" s="3" t="s">
        <v>42</v>
      </c>
      <c r="F82" s="3" t="s">
        <v>14</v>
      </c>
      <c r="G82" s="3" t="s">
        <v>15</v>
      </c>
      <c r="H82" t="str">
        <f t="shared" si="2"/>
        <v>February</v>
      </c>
      <c r="I82">
        <f t="shared" si="3"/>
        <v>9</v>
      </c>
    </row>
    <row r="83" spans="1:9" x14ac:dyDescent="0.25">
      <c r="A83" s="2">
        <v>45349</v>
      </c>
      <c r="B83" s="5" t="s">
        <v>62</v>
      </c>
      <c r="C83">
        <f>ROUND(IF(ISBLANK('original data'!C83),0,'original data'!C83),0)</f>
        <v>1320</v>
      </c>
      <c r="D83">
        <f>ROUND(IF(ISBLANK('original data'!D83),0,'original data'!D83),0)</f>
        <v>0</v>
      </c>
      <c r="E83" s="3" t="s">
        <v>64</v>
      </c>
      <c r="F83" s="3" t="s">
        <v>65</v>
      </c>
      <c r="G83" s="3" t="s">
        <v>15</v>
      </c>
      <c r="H83" t="str">
        <f t="shared" si="2"/>
        <v>February</v>
      </c>
      <c r="I83">
        <f t="shared" si="3"/>
        <v>9</v>
      </c>
    </row>
    <row r="84" spans="1:9" x14ac:dyDescent="0.25">
      <c r="A84" s="2">
        <v>45349</v>
      </c>
      <c r="B84" s="5" t="s">
        <v>30</v>
      </c>
      <c r="C84">
        <f>ROUND(IF(ISBLANK('original data'!C84),0,'original data'!C84),0)</f>
        <v>1538</v>
      </c>
      <c r="D84">
        <f>ROUND(IF(ISBLANK('original data'!D84),0,'original data'!D84),0)</f>
        <v>0</v>
      </c>
      <c r="E84" s="3" t="s">
        <v>67</v>
      </c>
      <c r="F84" s="3" t="s">
        <v>23</v>
      </c>
      <c r="G84" s="3" t="s">
        <v>15</v>
      </c>
      <c r="H84" t="str">
        <f t="shared" si="2"/>
        <v>February</v>
      </c>
      <c r="I84">
        <f t="shared" si="3"/>
        <v>9</v>
      </c>
    </row>
    <row r="85" spans="1:9" x14ac:dyDescent="0.25">
      <c r="A85" s="2">
        <v>45349</v>
      </c>
      <c r="B85" s="5" t="s">
        <v>11</v>
      </c>
      <c r="C85">
        <f>ROUND(IF(ISBLANK('original data'!C85),0,'original data'!C85),0)</f>
        <v>120</v>
      </c>
      <c r="D85">
        <f>ROUND(IF(ISBLANK('original data'!D85),0,'original data'!D85),0)</f>
        <v>0</v>
      </c>
      <c r="E85" s="3" t="s">
        <v>13</v>
      </c>
      <c r="F85" s="3" t="s">
        <v>14</v>
      </c>
      <c r="G85" s="3" t="s">
        <v>15</v>
      </c>
      <c r="H85" t="str">
        <f t="shared" si="2"/>
        <v>February</v>
      </c>
      <c r="I85">
        <f t="shared" si="3"/>
        <v>9</v>
      </c>
    </row>
    <row r="86" spans="1:9" x14ac:dyDescent="0.25">
      <c r="A86" s="2">
        <v>45350</v>
      </c>
      <c r="B86" s="5" t="s">
        <v>11</v>
      </c>
      <c r="C86">
        <f>ROUND(IF(ISBLANK('original data'!C86),0,'original data'!C86),0)</f>
        <v>120</v>
      </c>
      <c r="D86">
        <f>ROUND(IF(ISBLANK('original data'!D86),0,'original data'!D86),0)</f>
        <v>0</v>
      </c>
      <c r="E86" s="3" t="s">
        <v>13</v>
      </c>
      <c r="F86" s="3" t="s">
        <v>14</v>
      </c>
      <c r="G86" s="3" t="s">
        <v>15</v>
      </c>
      <c r="H86" t="str">
        <f t="shared" si="2"/>
        <v>February</v>
      </c>
      <c r="I86">
        <f t="shared" si="3"/>
        <v>9</v>
      </c>
    </row>
    <row r="87" spans="1:9" x14ac:dyDescent="0.25">
      <c r="A87" s="2">
        <v>45351</v>
      </c>
      <c r="B87" s="5" t="s">
        <v>11</v>
      </c>
      <c r="C87">
        <f>ROUND(IF(ISBLANK('original data'!C87),0,'original data'!C87),0)</f>
        <v>120</v>
      </c>
      <c r="D87">
        <f>ROUND(IF(ISBLANK('original data'!D87),0,'original data'!D87),0)</f>
        <v>0</v>
      </c>
      <c r="E87" s="3" t="s">
        <v>13</v>
      </c>
      <c r="F87" s="3" t="s">
        <v>14</v>
      </c>
      <c r="G87" s="3" t="s">
        <v>15</v>
      </c>
      <c r="H87" t="str">
        <f t="shared" si="2"/>
        <v>February</v>
      </c>
      <c r="I87">
        <f t="shared" si="3"/>
        <v>9</v>
      </c>
    </row>
    <row r="88" spans="1:9" x14ac:dyDescent="0.25">
      <c r="A88" s="2">
        <v>45352</v>
      </c>
      <c r="B88" s="5" t="s">
        <v>11</v>
      </c>
      <c r="C88">
        <f>ROUND(IF(ISBLANK('original data'!C88),0,'original data'!C88),0)</f>
        <v>120</v>
      </c>
      <c r="D88">
        <f>ROUND(IF(ISBLANK('original data'!D88),0,'original data'!D88),0)</f>
        <v>0</v>
      </c>
      <c r="E88" s="3" t="s">
        <v>13</v>
      </c>
      <c r="F88" s="3" t="s">
        <v>14</v>
      </c>
      <c r="G88" s="3" t="s">
        <v>15</v>
      </c>
      <c r="H88" t="str">
        <f t="shared" si="2"/>
        <v>March</v>
      </c>
      <c r="I88">
        <f t="shared" si="3"/>
        <v>9</v>
      </c>
    </row>
    <row r="89" spans="1:9" x14ac:dyDescent="0.25">
      <c r="A89" s="2">
        <v>45353</v>
      </c>
      <c r="B89" s="5" t="s">
        <v>11</v>
      </c>
      <c r="C89">
        <f>ROUND(IF(ISBLANK('original data'!C89),0,'original data'!C89),0)</f>
        <v>120</v>
      </c>
      <c r="D89">
        <f>ROUND(IF(ISBLANK('original data'!D89),0,'original data'!D89),0)</f>
        <v>0</v>
      </c>
      <c r="E89" s="3" t="s">
        <v>13</v>
      </c>
      <c r="F89" s="3" t="s">
        <v>14</v>
      </c>
      <c r="G89" s="3" t="s">
        <v>15</v>
      </c>
      <c r="H89" t="str">
        <f t="shared" si="2"/>
        <v>March</v>
      </c>
      <c r="I89">
        <f t="shared" si="3"/>
        <v>9</v>
      </c>
    </row>
    <row r="90" spans="1:9" x14ac:dyDescent="0.25">
      <c r="A90" s="2">
        <v>45353</v>
      </c>
      <c r="B90" s="5" t="s">
        <v>24</v>
      </c>
      <c r="C90">
        <f>ROUND(IF(ISBLANK('original data'!C90),0,'original data'!C90),0)</f>
        <v>3910</v>
      </c>
      <c r="D90">
        <f>ROUND(IF(ISBLANK('original data'!D90),0,'original data'!D90),0)</f>
        <v>0</v>
      </c>
      <c r="E90" s="3" t="s">
        <v>26</v>
      </c>
      <c r="F90" s="3" t="s">
        <v>19</v>
      </c>
      <c r="G90" s="3" t="s">
        <v>15</v>
      </c>
      <c r="H90" t="str">
        <f t="shared" si="2"/>
        <v>March</v>
      </c>
      <c r="I90">
        <f t="shared" si="3"/>
        <v>9</v>
      </c>
    </row>
    <row r="91" spans="1:9" x14ac:dyDescent="0.25">
      <c r="A91" s="2">
        <v>45354</v>
      </c>
      <c r="B91" s="5" t="s">
        <v>69</v>
      </c>
      <c r="C91">
        <f>ROUND(IF(ISBLANK('original data'!C91),0,'original data'!C91),0)</f>
        <v>3022</v>
      </c>
      <c r="D91">
        <f>ROUND(IF(ISBLANK('original data'!D91),0,'original data'!D91),0)</f>
        <v>0</v>
      </c>
      <c r="E91" s="3" t="s">
        <v>39</v>
      </c>
      <c r="F91" s="3" t="s">
        <v>36</v>
      </c>
      <c r="G91" s="3" t="s">
        <v>15</v>
      </c>
      <c r="H91" t="str">
        <f t="shared" si="2"/>
        <v>March</v>
      </c>
      <c r="I91">
        <f t="shared" si="3"/>
        <v>10</v>
      </c>
    </row>
    <row r="92" spans="1:9" x14ac:dyDescent="0.25">
      <c r="A92" s="2">
        <v>45354</v>
      </c>
      <c r="B92" s="5" t="s">
        <v>94</v>
      </c>
      <c r="C92">
        <f>ROUND(IF(ISBLANK('original data'!C92),0,'original data'!C92),0)</f>
        <v>3288</v>
      </c>
      <c r="D92">
        <f>ROUND(IF(ISBLANK('original data'!D92),0,'original data'!D92),0)</f>
        <v>0</v>
      </c>
      <c r="E92" s="3" t="s">
        <v>39</v>
      </c>
      <c r="F92" s="3" t="s">
        <v>36</v>
      </c>
      <c r="G92" s="3" t="s">
        <v>15</v>
      </c>
      <c r="H92" t="str">
        <f t="shared" si="2"/>
        <v>March</v>
      </c>
      <c r="I92">
        <f t="shared" si="3"/>
        <v>10</v>
      </c>
    </row>
    <row r="93" spans="1:9" x14ac:dyDescent="0.25">
      <c r="A93" s="2">
        <v>45355</v>
      </c>
      <c r="B93" s="5" t="s">
        <v>37</v>
      </c>
      <c r="C93">
        <f>ROUND(IF(ISBLANK('original data'!C93),0,'original data'!C93),0)</f>
        <v>3506</v>
      </c>
      <c r="D93">
        <f>ROUND(IF(ISBLANK('original data'!D93),0,'original data'!D93),0)</f>
        <v>0</v>
      </c>
      <c r="E93" s="3" t="s">
        <v>39</v>
      </c>
      <c r="F93" s="3" t="s">
        <v>36</v>
      </c>
      <c r="G93" s="3" t="s">
        <v>15</v>
      </c>
      <c r="H93" t="str">
        <f t="shared" si="2"/>
        <v>March</v>
      </c>
      <c r="I93">
        <f t="shared" si="3"/>
        <v>10</v>
      </c>
    </row>
    <row r="94" spans="1:9" x14ac:dyDescent="0.25">
      <c r="A94" s="2">
        <v>45355</v>
      </c>
      <c r="B94" s="5" t="s">
        <v>43</v>
      </c>
      <c r="C94">
        <f>ROUND(IF(ISBLANK('original data'!C94),0,'original data'!C94),0)</f>
        <v>578</v>
      </c>
      <c r="D94">
        <f>ROUND(IF(ISBLANK('original data'!D94),0,'original data'!D94),0)</f>
        <v>0</v>
      </c>
      <c r="E94" s="3" t="s">
        <v>45</v>
      </c>
      <c r="F94" s="3" t="s">
        <v>23</v>
      </c>
      <c r="G94" s="3" t="s">
        <v>15</v>
      </c>
      <c r="H94" t="str">
        <f t="shared" si="2"/>
        <v>March</v>
      </c>
      <c r="I94">
        <f t="shared" si="3"/>
        <v>10</v>
      </c>
    </row>
    <row r="95" spans="1:9" x14ac:dyDescent="0.25">
      <c r="A95" s="2">
        <v>45356</v>
      </c>
      <c r="B95" s="5" t="s">
        <v>7</v>
      </c>
      <c r="C95">
        <f>ROUND(IF(ISBLANK('original data'!C95),0,'original data'!C95),0)</f>
        <v>0</v>
      </c>
      <c r="D95">
        <f>ROUND(IF(ISBLANK('original data'!D95),0,'original data'!D95),0)</f>
        <v>120000</v>
      </c>
      <c r="E95" s="3" t="s">
        <v>75</v>
      </c>
      <c r="F95" s="3" t="s">
        <v>9</v>
      </c>
      <c r="G95" s="3" t="s">
        <v>10</v>
      </c>
      <c r="H95" t="str">
        <f t="shared" si="2"/>
        <v>March</v>
      </c>
      <c r="I95">
        <f t="shared" si="3"/>
        <v>10</v>
      </c>
    </row>
    <row r="96" spans="1:9" x14ac:dyDescent="0.25">
      <c r="A96" s="2">
        <v>45356</v>
      </c>
      <c r="B96" s="5" t="s">
        <v>11</v>
      </c>
      <c r="C96">
        <f>ROUND(IF(ISBLANK('original data'!C96),0,'original data'!C96),0)</f>
        <v>120</v>
      </c>
      <c r="D96">
        <f>ROUND(IF(ISBLANK('original data'!D96),0,'original data'!D96),0)</f>
        <v>0</v>
      </c>
      <c r="E96" s="3" t="s">
        <v>13</v>
      </c>
      <c r="F96" s="3" t="s">
        <v>14</v>
      </c>
      <c r="G96" s="3" t="s">
        <v>15</v>
      </c>
      <c r="H96" t="str">
        <f t="shared" si="2"/>
        <v>March</v>
      </c>
      <c r="I96">
        <f t="shared" si="3"/>
        <v>10</v>
      </c>
    </row>
    <row r="97" spans="1:9" x14ac:dyDescent="0.25">
      <c r="A97" s="2">
        <v>45357</v>
      </c>
      <c r="B97" s="5" t="s">
        <v>16</v>
      </c>
      <c r="C97">
        <f>ROUND(IF(ISBLANK('original data'!C97),0,'original data'!C97),0)</f>
        <v>21600</v>
      </c>
      <c r="D97">
        <f>ROUND(IF(ISBLANK('original data'!D97),0,'original data'!D97),0)</f>
        <v>0</v>
      </c>
      <c r="E97" s="3" t="s">
        <v>18</v>
      </c>
      <c r="F97" s="3" t="s">
        <v>19</v>
      </c>
      <c r="G97" s="3" t="s">
        <v>15</v>
      </c>
      <c r="H97" t="str">
        <f t="shared" si="2"/>
        <v>March</v>
      </c>
      <c r="I97">
        <f t="shared" si="3"/>
        <v>10</v>
      </c>
    </row>
    <row r="98" spans="1:9" x14ac:dyDescent="0.25">
      <c r="A98" s="2">
        <v>45357</v>
      </c>
      <c r="B98" s="5" t="s">
        <v>20</v>
      </c>
      <c r="C98">
        <f>ROUND(IF(ISBLANK('original data'!C98),0,'original data'!C98),0)</f>
        <v>3600</v>
      </c>
      <c r="D98">
        <f>ROUND(IF(ISBLANK('original data'!D98),0,'original data'!D98),0)</f>
        <v>0</v>
      </c>
      <c r="E98" s="3" t="s">
        <v>22</v>
      </c>
      <c r="F98" s="3" t="s">
        <v>23</v>
      </c>
      <c r="G98" s="3" t="s">
        <v>15</v>
      </c>
      <c r="H98" t="str">
        <f t="shared" si="2"/>
        <v>March</v>
      </c>
      <c r="I98">
        <f t="shared" si="3"/>
        <v>10</v>
      </c>
    </row>
    <row r="99" spans="1:9" x14ac:dyDescent="0.25">
      <c r="A99" s="2">
        <v>45357</v>
      </c>
      <c r="B99" s="5" t="s">
        <v>11</v>
      </c>
      <c r="C99">
        <f>ROUND(IF(ISBLANK('original data'!C99),0,'original data'!C99),0)</f>
        <v>120</v>
      </c>
      <c r="D99">
        <f>ROUND(IF(ISBLANK('original data'!D99),0,'original data'!D99),0)</f>
        <v>0</v>
      </c>
      <c r="E99" s="3" t="s">
        <v>13</v>
      </c>
      <c r="F99" s="3" t="s">
        <v>14</v>
      </c>
      <c r="G99" s="3" t="s">
        <v>15</v>
      </c>
      <c r="H99" t="str">
        <f t="shared" si="2"/>
        <v>March</v>
      </c>
      <c r="I99">
        <f t="shared" si="3"/>
        <v>10</v>
      </c>
    </row>
    <row r="100" spans="1:9" x14ac:dyDescent="0.25">
      <c r="A100" s="2">
        <v>45358</v>
      </c>
      <c r="B100" s="5" t="s">
        <v>11</v>
      </c>
      <c r="C100">
        <f>ROUND(IF(ISBLANK('original data'!C100),0,'original data'!C100),0)</f>
        <v>120</v>
      </c>
      <c r="D100">
        <f>ROUND(IF(ISBLANK('original data'!D100),0,'original data'!D100),0)</f>
        <v>0</v>
      </c>
      <c r="E100" s="3" t="s">
        <v>13</v>
      </c>
      <c r="F100" s="3" t="s">
        <v>14</v>
      </c>
      <c r="G100" s="3" t="s">
        <v>15</v>
      </c>
      <c r="H100" t="str">
        <f t="shared" si="2"/>
        <v>March</v>
      </c>
      <c r="I100">
        <f t="shared" si="3"/>
        <v>10</v>
      </c>
    </row>
    <row r="101" spans="1:9" x14ac:dyDescent="0.25">
      <c r="A101" s="2">
        <v>45359</v>
      </c>
      <c r="B101" s="5" t="s">
        <v>11</v>
      </c>
      <c r="C101">
        <f>ROUND(IF(ISBLANK('original data'!C101),0,'original data'!C101),0)</f>
        <v>120</v>
      </c>
      <c r="D101">
        <f>ROUND(IF(ISBLANK('original data'!D101),0,'original data'!D101),0)</f>
        <v>0</v>
      </c>
      <c r="E101" s="3" t="s">
        <v>13</v>
      </c>
      <c r="F101" s="3" t="s">
        <v>14</v>
      </c>
      <c r="G101" s="3" t="s">
        <v>15</v>
      </c>
      <c r="H101" t="str">
        <f t="shared" si="2"/>
        <v>March</v>
      </c>
      <c r="I101">
        <f t="shared" si="3"/>
        <v>10</v>
      </c>
    </row>
    <row r="102" spans="1:9" x14ac:dyDescent="0.25">
      <c r="A102" s="2">
        <v>45360</v>
      </c>
      <c r="B102" s="5" t="s">
        <v>11</v>
      </c>
      <c r="C102">
        <f>ROUND(IF(ISBLANK('original data'!C102),0,'original data'!C102),0)</f>
        <v>120</v>
      </c>
      <c r="D102">
        <f>ROUND(IF(ISBLANK('original data'!D102),0,'original data'!D102),0)</f>
        <v>0</v>
      </c>
      <c r="E102" s="3" t="s">
        <v>13</v>
      </c>
      <c r="F102" s="3" t="s">
        <v>14</v>
      </c>
      <c r="G102" s="3" t="s">
        <v>15</v>
      </c>
      <c r="H102" t="str">
        <f t="shared" si="2"/>
        <v>March</v>
      </c>
      <c r="I102">
        <f t="shared" si="3"/>
        <v>10</v>
      </c>
    </row>
    <row r="103" spans="1:9" x14ac:dyDescent="0.25">
      <c r="A103" s="2">
        <v>45360</v>
      </c>
      <c r="B103" s="5" t="s">
        <v>24</v>
      </c>
      <c r="C103">
        <f>ROUND(IF(ISBLANK('original data'!C103),0,'original data'!C103),0)</f>
        <v>3576</v>
      </c>
      <c r="D103">
        <f>ROUND(IF(ISBLANK('original data'!D103),0,'original data'!D103),0)</f>
        <v>0</v>
      </c>
      <c r="E103" s="3" t="s">
        <v>26</v>
      </c>
      <c r="F103" s="3" t="s">
        <v>19</v>
      </c>
      <c r="G103" s="3" t="s">
        <v>15</v>
      </c>
      <c r="H103" t="str">
        <f t="shared" si="2"/>
        <v>March</v>
      </c>
      <c r="I103">
        <f t="shared" si="3"/>
        <v>10</v>
      </c>
    </row>
    <row r="104" spans="1:9" x14ac:dyDescent="0.25">
      <c r="A104" s="2">
        <v>45363</v>
      </c>
      <c r="B104" s="5" t="s">
        <v>27</v>
      </c>
      <c r="C104">
        <f>ROUND(IF(ISBLANK('original data'!C104),0,'original data'!C104),0)</f>
        <v>1250</v>
      </c>
      <c r="D104">
        <f>ROUND(IF(ISBLANK('original data'!D104),0,'original data'!D104),0)</f>
        <v>0</v>
      </c>
      <c r="E104" s="3" t="s">
        <v>29</v>
      </c>
      <c r="F104" s="3" t="s">
        <v>19</v>
      </c>
      <c r="G104" s="3" t="s">
        <v>15</v>
      </c>
      <c r="H104" t="str">
        <f t="shared" si="2"/>
        <v>March</v>
      </c>
      <c r="I104">
        <f t="shared" si="3"/>
        <v>11</v>
      </c>
    </row>
    <row r="105" spans="1:9" x14ac:dyDescent="0.25">
      <c r="A105" s="2">
        <v>45363</v>
      </c>
      <c r="B105" s="5" t="s">
        <v>11</v>
      </c>
      <c r="C105">
        <f>ROUND(IF(ISBLANK('original data'!C105),0,'original data'!C105),0)</f>
        <v>120</v>
      </c>
      <c r="D105">
        <f>ROUND(IF(ISBLANK('original data'!D105),0,'original data'!D105),0)</f>
        <v>0</v>
      </c>
      <c r="E105" s="3" t="s">
        <v>13</v>
      </c>
      <c r="F105" s="3" t="s">
        <v>14</v>
      </c>
      <c r="G105" s="3" t="s">
        <v>15</v>
      </c>
      <c r="H105" t="str">
        <f t="shared" si="2"/>
        <v>March</v>
      </c>
      <c r="I105">
        <f t="shared" si="3"/>
        <v>11</v>
      </c>
    </row>
    <row r="106" spans="1:9" x14ac:dyDescent="0.25">
      <c r="A106" s="2">
        <v>45364</v>
      </c>
      <c r="B106" s="5" t="s">
        <v>11</v>
      </c>
      <c r="C106">
        <f>ROUND(IF(ISBLANK('original data'!C106),0,'original data'!C106),0)</f>
        <v>120</v>
      </c>
      <c r="D106">
        <f>ROUND(IF(ISBLANK('original data'!D106),0,'original data'!D106),0)</f>
        <v>0</v>
      </c>
      <c r="E106" s="3" t="s">
        <v>13</v>
      </c>
      <c r="F106" s="3" t="s">
        <v>14</v>
      </c>
      <c r="G106" s="3" t="s">
        <v>15</v>
      </c>
      <c r="H106" t="str">
        <f t="shared" si="2"/>
        <v>March</v>
      </c>
      <c r="I106">
        <f t="shared" si="3"/>
        <v>11</v>
      </c>
    </row>
    <row r="107" spans="1:9" x14ac:dyDescent="0.25">
      <c r="A107" s="2">
        <v>45365</v>
      </c>
      <c r="B107" s="5" t="s">
        <v>30</v>
      </c>
      <c r="C107">
        <f>ROUND(IF(ISBLANK('original data'!C107),0,'original data'!C107),0)</f>
        <v>1894</v>
      </c>
      <c r="D107">
        <f>ROUND(IF(ISBLANK('original data'!D107),0,'original data'!D107),0)</f>
        <v>0</v>
      </c>
      <c r="E107" s="3" t="s">
        <v>67</v>
      </c>
      <c r="F107" s="3" t="s">
        <v>23</v>
      </c>
      <c r="G107" s="3" t="s">
        <v>15</v>
      </c>
      <c r="H107" t="str">
        <f t="shared" si="2"/>
        <v>March</v>
      </c>
      <c r="I107">
        <f t="shared" si="3"/>
        <v>11</v>
      </c>
    </row>
    <row r="108" spans="1:9" x14ac:dyDescent="0.25">
      <c r="A108" s="2">
        <v>45365</v>
      </c>
      <c r="B108" s="5" t="s">
        <v>11</v>
      </c>
      <c r="C108">
        <f>ROUND(IF(ISBLANK('original data'!C108),0,'original data'!C108),0)</f>
        <v>120</v>
      </c>
      <c r="D108">
        <f>ROUND(IF(ISBLANK('original data'!D108),0,'original data'!D108),0)</f>
        <v>0</v>
      </c>
      <c r="E108" s="3" t="s">
        <v>13</v>
      </c>
      <c r="F108" s="3" t="s">
        <v>14</v>
      </c>
      <c r="G108" s="3" t="s">
        <v>15</v>
      </c>
      <c r="H108" t="str">
        <f t="shared" si="2"/>
        <v>March</v>
      </c>
      <c r="I108">
        <f t="shared" si="3"/>
        <v>11</v>
      </c>
    </row>
    <row r="109" spans="1:9" x14ac:dyDescent="0.25">
      <c r="A109" s="2">
        <v>45366</v>
      </c>
      <c r="B109" s="5" t="s">
        <v>11</v>
      </c>
      <c r="C109">
        <f>ROUND(IF(ISBLANK('original data'!C109),0,'original data'!C109),0)</f>
        <v>120</v>
      </c>
      <c r="D109">
        <f>ROUND(IF(ISBLANK('original data'!D109),0,'original data'!D109),0)</f>
        <v>0</v>
      </c>
      <c r="E109" s="3" t="s">
        <v>13</v>
      </c>
      <c r="F109" s="3" t="s">
        <v>14</v>
      </c>
      <c r="G109" s="3" t="s">
        <v>15</v>
      </c>
      <c r="H109" t="str">
        <f t="shared" si="2"/>
        <v>March</v>
      </c>
      <c r="I109">
        <f t="shared" si="3"/>
        <v>11</v>
      </c>
    </row>
    <row r="110" spans="1:9" x14ac:dyDescent="0.25">
      <c r="A110" s="2">
        <v>45367</v>
      </c>
      <c r="B110" s="5" t="s">
        <v>24</v>
      </c>
      <c r="C110">
        <f>ROUND(IF(ISBLANK('original data'!C110),0,'original data'!C110),0)</f>
        <v>3288</v>
      </c>
      <c r="D110">
        <f>ROUND(IF(ISBLANK('original data'!D110),0,'original data'!D110),0)</f>
        <v>0</v>
      </c>
      <c r="E110" s="3" t="s">
        <v>26</v>
      </c>
      <c r="F110" s="3" t="s">
        <v>19</v>
      </c>
      <c r="G110" s="3" t="s">
        <v>15</v>
      </c>
      <c r="H110" t="str">
        <f t="shared" si="2"/>
        <v>March</v>
      </c>
      <c r="I110">
        <f t="shared" si="3"/>
        <v>11</v>
      </c>
    </row>
    <row r="111" spans="1:9" x14ac:dyDescent="0.25">
      <c r="A111" s="2">
        <v>45367</v>
      </c>
      <c r="B111" s="5" t="s">
        <v>11</v>
      </c>
      <c r="C111">
        <f>ROUND(IF(ISBLANK('original data'!C111),0,'original data'!C111),0)</f>
        <v>120</v>
      </c>
      <c r="D111">
        <f>ROUND(IF(ISBLANK('original data'!D111),0,'original data'!D111),0)</f>
        <v>0</v>
      </c>
      <c r="E111" s="3" t="s">
        <v>13</v>
      </c>
      <c r="F111" s="3" t="s">
        <v>14</v>
      </c>
      <c r="G111" s="3" t="s">
        <v>15</v>
      </c>
      <c r="H111" t="str">
        <f t="shared" si="2"/>
        <v>March</v>
      </c>
      <c r="I111">
        <f t="shared" si="3"/>
        <v>11</v>
      </c>
    </row>
    <row r="112" spans="1:9" x14ac:dyDescent="0.25">
      <c r="A112" s="2">
        <v>45368</v>
      </c>
      <c r="B112" s="5" t="s">
        <v>11</v>
      </c>
      <c r="C112">
        <f>ROUND(IF(ISBLANK('original data'!C112),0,'original data'!C112),0)</f>
        <v>120</v>
      </c>
      <c r="D112">
        <f>ROUND(IF(ISBLANK('original data'!D112),0,'original data'!D112),0)</f>
        <v>0</v>
      </c>
      <c r="E112" s="3" t="s">
        <v>13</v>
      </c>
      <c r="F112" s="3" t="s">
        <v>14</v>
      </c>
      <c r="G112" s="3" t="s">
        <v>15</v>
      </c>
      <c r="H112" t="str">
        <f t="shared" si="2"/>
        <v>March</v>
      </c>
      <c r="I112">
        <f t="shared" si="3"/>
        <v>12</v>
      </c>
    </row>
    <row r="113" spans="1:9" x14ac:dyDescent="0.25">
      <c r="A113" s="2">
        <v>45368</v>
      </c>
      <c r="B113" s="5" t="s">
        <v>33</v>
      </c>
      <c r="C113">
        <f>ROUND(IF(ISBLANK('original data'!C113),0,'original data'!C113),0)</f>
        <v>1003</v>
      </c>
      <c r="D113">
        <f>ROUND(IF(ISBLANK('original data'!D113),0,'original data'!D113),0)</f>
        <v>0</v>
      </c>
      <c r="E113" s="3" t="s">
        <v>35</v>
      </c>
      <c r="F113" s="3" t="s">
        <v>36</v>
      </c>
      <c r="G113" s="3" t="s">
        <v>15</v>
      </c>
      <c r="H113" t="str">
        <f t="shared" si="2"/>
        <v>March</v>
      </c>
      <c r="I113">
        <f t="shared" si="3"/>
        <v>12</v>
      </c>
    </row>
    <row r="114" spans="1:9" x14ac:dyDescent="0.25">
      <c r="A114" s="2">
        <v>45368</v>
      </c>
      <c r="B114" s="5" t="s">
        <v>81</v>
      </c>
      <c r="C114">
        <f>ROUND(IF(ISBLANK('original data'!C114),0,'original data'!C114),0)</f>
        <v>2398</v>
      </c>
      <c r="D114">
        <f>ROUND(IF(ISBLANK('original data'!D114),0,'original data'!D114),0)</f>
        <v>0</v>
      </c>
      <c r="E114" s="3" t="s">
        <v>39</v>
      </c>
      <c r="F114" s="3" t="s">
        <v>36</v>
      </c>
      <c r="G114" s="3" t="s">
        <v>15</v>
      </c>
      <c r="H114" t="str">
        <f t="shared" si="2"/>
        <v>March</v>
      </c>
      <c r="I114">
        <f t="shared" si="3"/>
        <v>12</v>
      </c>
    </row>
    <row r="115" spans="1:9" x14ac:dyDescent="0.25">
      <c r="A115" s="2">
        <v>45368</v>
      </c>
      <c r="B115" s="5" t="s">
        <v>40</v>
      </c>
      <c r="C115">
        <f>ROUND(IF(ISBLANK('original data'!C115),0,'original data'!C115),0)</f>
        <v>1296</v>
      </c>
      <c r="D115">
        <f>ROUND(IF(ISBLANK('original data'!D115),0,'original data'!D115),0)</f>
        <v>0</v>
      </c>
      <c r="E115" s="3" t="s">
        <v>42</v>
      </c>
      <c r="F115" s="3" t="s">
        <v>14</v>
      </c>
      <c r="G115" s="3" t="s">
        <v>15</v>
      </c>
      <c r="H115" t="str">
        <f t="shared" si="2"/>
        <v>March</v>
      </c>
      <c r="I115">
        <f t="shared" si="3"/>
        <v>12</v>
      </c>
    </row>
    <row r="116" spans="1:9" x14ac:dyDescent="0.25">
      <c r="A116" s="2">
        <v>45369</v>
      </c>
      <c r="B116" s="5" t="s">
        <v>43</v>
      </c>
      <c r="C116">
        <f>ROUND(IF(ISBLANK('original data'!C116),0,'original data'!C116),0)</f>
        <v>720</v>
      </c>
      <c r="D116">
        <f>ROUND(IF(ISBLANK('original data'!D116),0,'original data'!D116),0)</f>
        <v>0</v>
      </c>
      <c r="E116" s="3" t="s">
        <v>45</v>
      </c>
      <c r="F116" s="3" t="s">
        <v>23</v>
      </c>
      <c r="G116" s="3" t="s">
        <v>15</v>
      </c>
      <c r="H116" t="str">
        <f t="shared" si="2"/>
        <v>March</v>
      </c>
      <c r="I116">
        <f t="shared" si="3"/>
        <v>12</v>
      </c>
    </row>
    <row r="117" spans="1:9" x14ac:dyDescent="0.25">
      <c r="A117" s="2">
        <v>45370</v>
      </c>
      <c r="B117" s="5" t="s">
        <v>46</v>
      </c>
      <c r="C117">
        <f>ROUND(IF(ISBLANK('original data'!C117),0,'original data'!C117),0)</f>
        <v>0</v>
      </c>
      <c r="D117">
        <f>ROUND(IF(ISBLANK('original data'!D117),0,'original data'!D117),0)</f>
        <v>24000</v>
      </c>
      <c r="E117" s="3" t="s">
        <v>48</v>
      </c>
      <c r="F117" s="3" t="s">
        <v>49</v>
      </c>
      <c r="G117" s="3" t="s">
        <v>10</v>
      </c>
      <c r="H117" t="str">
        <f t="shared" si="2"/>
        <v>March</v>
      </c>
      <c r="I117">
        <f t="shared" si="3"/>
        <v>12</v>
      </c>
    </row>
    <row r="118" spans="1:9" x14ac:dyDescent="0.25">
      <c r="A118" s="2">
        <v>45370</v>
      </c>
      <c r="B118" s="5" t="s">
        <v>11</v>
      </c>
      <c r="C118">
        <f>ROUND(IF(ISBLANK('original data'!C118),0,'original data'!C118),0)</f>
        <v>120</v>
      </c>
      <c r="D118">
        <f>ROUND(IF(ISBLANK('original data'!D118),0,'original data'!D118),0)</f>
        <v>0</v>
      </c>
      <c r="E118" s="3" t="s">
        <v>13</v>
      </c>
      <c r="F118" s="3" t="s">
        <v>14</v>
      </c>
      <c r="G118" s="3" t="s">
        <v>15</v>
      </c>
      <c r="H118" t="str">
        <f t="shared" si="2"/>
        <v>March</v>
      </c>
      <c r="I118">
        <f t="shared" si="3"/>
        <v>12</v>
      </c>
    </row>
    <row r="119" spans="1:9" x14ac:dyDescent="0.25">
      <c r="A119" s="2">
        <v>45371</v>
      </c>
      <c r="B119" s="5" t="s">
        <v>11</v>
      </c>
      <c r="C119">
        <f>ROUND(IF(ISBLANK('original data'!C119),0,'original data'!C119),0)</f>
        <v>120</v>
      </c>
      <c r="D119">
        <f>ROUND(IF(ISBLANK('original data'!D119),0,'original data'!D119),0)</f>
        <v>0</v>
      </c>
      <c r="E119" s="3" t="s">
        <v>13</v>
      </c>
      <c r="F119" s="3" t="s">
        <v>14</v>
      </c>
      <c r="G119" s="3" t="s">
        <v>15</v>
      </c>
      <c r="H119" t="str">
        <f t="shared" si="2"/>
        <v>March</v>
      </c>
      <c r="I119">
        <f t="shared" si="3"/>
        <v>12</v>
      </c>
    </row>
    <row r="120" spans="1:9" x14ac:dyDescent="0.25">
      <c r="A120" s="2">
        <v>45371</v>
      </c>
      <c r="B120" s="5" t="s">
        <v>106</v>
      </c>
      <c r="C120">
        <f>ROUND(IF(ISBLANK('original data'!C120),0,'original data'!C120),0)</f>
        <v>1800</v>
      </c>
      <c r="D120">
        <f>ROUND(IF(ISBLANK('original data'!D120),0,'original data'!D120),0)</f>
        <v>0</v>
      </c>
      <c r="E120" s="3" t="s">
        <v>108</v>
      </c>
      <c r="F120" s="3" t="s">
        <v>109</v>
      </c>
      <c r="G120" s="3" t="s">
        <v>15</v>
      </c>
      <c r="H120" t="str">
        <f t="shared" si="2"/>
        <v>March</v>
      </c>
      <c r="I120">
        <f t="shared" si="3"/>
        <v>12</v>
      </c>
    </row>
    <row r="121" spans="1:9" x14ac:dyDescent="0.25">
      <c r="A121" s="2">
        <v>45371</v>
      </c>
      <c r="B121" s="5" t="s">
        <v>51</v>
      </c>
      <c r="C121">
        <f>ROUND(IF(ISBLANK('original data'!C121),0,'original data'!C121),0)</f>
        <v>960</v>
      </c>
      <c r="D121">
        <f>ROUND(IF(ISBLANK('original data'!D121),0,'original data'!D121),0)</f>
        <v>0</v>
      </c>
      <c r="E121" s="3" t="s">
        <v>51</v>
      </c>
      <c r="F121" s="3" t="s">
        <v>19</v>
      </c>
      <c r="G121" s="3" t="s">
        <v>15</v>
      </c>
      <c r="H121" t="str">
        <f t="shared" si="2"/>
        <v>March</v>
      </c>
      <c r="I121">
        <f t="shared" si="3"/>
        <v>12</v>
      </c>
    </row>
    <row r="122" spans="1:9" x14ac:dyDescent="0.25">
      <c r="A122" s="2">
        <v>45372</v>
      </c>
      <c r="B122" s="5" t="s">
        <v>52</v>
      </c>
      <c r="C122">
        <f>ROUND(IF(ISBLANK('original data'!C122),0,'original data'!C122),0)</f>
        <v>1123</v>
      </c>
      <c r="D122">
        <f>ROUND(IF(ISBLANK('original data'!D122),0,'original data'!D122),0)</f>
        <v>0</v>
      </c>
      <c r="E122" s="3" t="s">
        <v>54</v>
      </c>
      <c r="F122" s="3" t="s">
        <v>36</v>
      </c>
      <c r="G122" s="3" t="s">
        <v>15</v>
      </c>
      <c r="H122" t="str">
        <f t="shared" si="2"/>
        <v>March</v>
      </c>
      <c r="I122">
        <f t="shared" si="3"/>
        <v>12</v>
      </c>
    </row>
    <row r="123" spans="1:9" x14ac:dyDescent="0.25">
      <c r="A123" s="2">
        <v>45372</v>
      </c>
      <c r="B123" s="5" t="s">
        <v>55</v>
      </c>
      <c r="C123">
        <f>ROUND(IF(ISBLANK('original data'!C123),0,'original data'!C123),0)</f>
        <v>840</v>
      </c>
      <c r="D123">
        <f>ROUND(IF(ISBLANK('original data'!D123),0,'original data'!D123),0)</f>
        <v>0</v>
      </c>
      <c r="E123" s="3" t="s">
        <v>35</v>
      </c>
      <c r="F123" s="3" t="s">
        <v>36</v>
      </c>
      <c r="G123" s="3" t="s">
        <v>15</v>
      </c>
      <c r="H123" t="str">
        <f t="shared" si="2"/>
        <v>March</v>
      </c>
      <c r="I123">
        <f t="shared" si="3"/>
        <v>12</v>
      </c>
    </row>
    <row r="124" spans="1:9" x14ac:dyDescent="0.25">
      <c r="A124" s="2">
        <v>45372</v>
      </c>
      <c r="B124" s="5" t="s">
        <v>11</v>
      </c>
      <c r="C124">
        <f>ROUND(IF(ISBLANK('original data'!C124),0,'original data'!C124),0)</f>
        <v>120</v>
      </c>
      <c r="D124">
        <f>ROUND(IF(ISBLANK('original data'!D124),0,'original data'!D124),0)</f>
        <v>0</v>
      </c>
      <c r="E124" s="3" t="s">
        <v>13</v>
      </c>
      <c r="F124" s="3" t="s">
        <v>14</v>
      </c>
      <c r="G124" s="3" t="s">
        <v>15</v>
      </c>
      <c r="H124" t="str">
        <f t="shared" si="2"/>
        <v>March</v>
      </c>
      <c r="I124">
        <f t="shared" si="3"/>
        <v>12</v>
      </c>
    </row>
    <row r="125" spans="1:9" x14ac:dyDescent="0.25">
      <c r="A125" s="2">
        <v>45373</v>
      </c>
      <c r="B125" s="5" t="s">
        <v>11</v>
      </c>
      <c r="C125">
        <f>ROUND(IF(ISBLANK('original data'!C125),0,'original data'!C125),0)</f>
        <v>120</v>
      </c>
      <c r="D125">
        <f>ROUND(IF(ISBLANK('original data'!D125),0,'original data'!D125),0)</f>
        <v>0</v>
      </c>
      <c r="E125" s="3" t="s">
        <v>13</v>
      </c>
      <c r="F125" s="3" t="s">
        <v>14</v>
      </c>
      <c r="G125" s="3" t="s">
        <v>15</v>
      </c>
      <c r="H125" t="str">
        <f t="shared" si="2"/>
        <v>March</v>
      </c>
      <c r="I125">
        <f t="shared" si="3"/>
        <v>12</v>
      </c>
    </row>
    <row r="126" spans="1:9" x14ac:dyDescent="0.25">
      <c r="A126" s="2">
        <v>45374</v>
      </c>
      <c r="B126" s="5" t="s">
        <v>11</v>
      </c>
      <c r="C126">
        <f>ROUND(IF(ISBLANK('original data'!C126),0,'original data'!C126),0)</f>
        <v>120</v>
      </c>
      <c r="D126">
        <f>ROUND(IF(ISBLANK('original data'!D126),0,'original data'!D126),0)</f>
        <v>0</v>
      </c>
      <c r="E126" s="3" t="s">
        <v>13</v>
      </c>
      <c r="F126" s="3" t="s">
        <v>14</v>
      </c>
      <c r="G126" s="3" t="s">
        <v>15</v>
      </c>
      <c r="H126" t="str">
        <f t="shared" si="2"/>
        <v>March</v>
      </c>
      <c r="I126">
        <f t="shared" si="3"/>
        <v>12</v>
      </c>
    </row>
    <row r="127" spans="1:9" x14ac:dyDescent="0.25">
      <c r="A127" s="2">
        <v>45374</v>
      </c>
      <c r="B127" s="5" t="s">
        <v>24</v>
      </c>
      <c r="C127">
        <f>ROUND(IF(ISBLANK('original data'!C127),0,'original data'!C127),0)</f>
        <v>4126</v>
      </c>
      <c r="D127">
        <f>ROUND(IF(ISBLANK('original data'!D127),0,'original data'!D127),0)</f>
        <v>0</v>
      </c>
      <c r="E127" s="3" t="s">
        <v>26</v>
      </c>
      <c r="F127" s="3" t="s">
        <v>19</v>
      </c>
      <c r="G127" s="3" t="s">
        <v>15</v>
      </c>
      <c r="H127" t="str">
        <f t="shared" si="2"/>
        <v>March</v>
      </c>
      <c r="I127">
        <f t="shared" si="3"/>
        <v>12</v>
      </c>
    </row>
    <row r="128" spans="1:9" x14ac:dyDescent="0.25">
      <c r="A128" s="2">
        <v>45375</v>
      </c>
      <c r="B128" s="5" t="s">
        <v>58</v>
      </c>
      <c r="C128">
        <f>ROUND(IF(ISBLANK('original data'!C128),0,'original data'!C128),0)</f>
        <v>936</v>
      </c>
      <c r="D128">
        <f>ROUND(IF(ISBLANK('original data'!D128),0,'original data'!D128),0)</f>
        <v>0</v>
      </c>
      <c r="E128" s="3" t="s">
        <v>42</v>
      </c>
      <c r="F128" s="3" t="s">
        <v>14</v>
      </c>
      <c r="G128" s="3" t="s">
        <v>15</v>
      </c>
      <c r="H128" t="str">
        <f t="shared" si="2"/>
        <v>March</v>
      </c>
      <c r="I128">
        <f t="shared" si="3"/>
        <v>13</v>
      </c>
    </row>
    <row r="129" spans="1:9" x14ac:dyDescent="0.25">
      <c r="A129" s="2">
        <v>45376</v>
      </c>
      <c r="B129" s="5" t="s">
        <v>60</v>
      </c>
      <c r="C129">
        <f>ROUND(IF(ISBLANK('original data'!C129),0,'original data'!C129),0)</f>
        <v>336</v>
      </c>
      <c r="D129">
        <f>ROUND(IF(ISBLANK('original data'!D129),0,'original data'!D129),0)</f>
        <v>0</v>
      </c>
      <c r="E129" s="3" t="s">
        <v>42</v>
      </c>
      <c r="F129" s="3" t="s">
        <v>14</v>
      </c>
      <c r="G129" s="3" t="s">
        <v>15</v>
      </c>
      <c r="H129" t="str">
        <f t="shared" si="2"/>
        <v>March</v>
      </c>
      <c r="I129">
        <f t="shared" si="3"/>
        <v>13</v>
      </c>
    </row>
    <row r="130" spans="1:9" x14ac:dyDescent="0.25">
      <c r="A130" s="2">
        <v>45377</v>
      </c>
      <c r="B130" s="5" t="s">
        <v>62</v>
      </c>
      <c r="C130">
        <f>ROUND(IF(ISBLANK('original data'!C130),0,'original data'!C130),0)</f>
        <v>1320</v>
      </c>
      <c r="D130">
        <f>ROUND(IF(ISBLANK('original data'!D130),0,'original data'!D130),0)</f>
        <v>0</v>
      </c>
      <c r="E130" s="3" t="s">
        <v>64</v>
      </c>
      <c r="F130" s="3" t="s">
        <v>65</v>
      </c>
      <c r="G130" s="3" t="s">
        <v>15</v>
      </c>
      <c r="H130" t="str">
        <f t="shared" si="2"/>
        <v>March</v>
      </c>
      <c r="I130">
        <f t="shared" si="3"/>
        <v>13</v>
      </c>
    </row>
    <row r="131" spans="1:9" x14ac:dyDescent="0.25">
      <c r="A131" s="2">
        <v>45377</v>
      </c>
      <c r="B131" s="5" t="s">
        <v>30</v>
      </c>
      <c r="C131">
        <f>ROUND(IF(ISBLANK('original data'!C131),0,'original data'!C131),0)</f>
        <v>1560</v>
      </c>
      <c r="D131">
        <f>ROUND(IF(ISBLANK('original data'!D131),0,'original data'!D131),0)</f>
        <v>0</v>
      </c>
      <c r="E131" s="3" t="s">
        <v>67</v>
      </c>
      <c r="F131" s="3" t="s">
        <v>23</v>
      </c>
      <c r="G131" s="3" t="s">
        <v>15</v>
      </c>
      <c r="H131" t="str">
        <f t="shared" ref="H131:H194" si="4">TEXT(A131,"MMMM")</f>
        <v>March</v>
      </c>
      <c r="I131">
        <f t="shared" ref="I131:I194" si="5">WEEKNUM(A131)</f>
        <v>13</v>
      </c>
    </row>
    <row r="132" spans="1:9" x14ac:dyDescent="0.25">
      <c r="A132" s="2">
        <v>45377</v>
      </c>
      <c r="B132" s="5" t="s">
        <v>11</v>
      </c>
      <c r="C132">
        <f>ROUND(IF(ISBLANK('original data'!C132),0,'original data'!C132),0)</f>
        <v>120</v>
      </c>
      <c r="D132">
        <f>ROUND(IF(ISBLANK('original data'!D132),0,'original data'!D132),0)</f>
        <v>0</v>
      </c>
      <c r="E132" s="3" t="s">
        <v>13</v>
      </c>
      <c r="F132" s="3" t="s">
        <v>14</v>
      </c>
      <c r="G132" s="3" t="s">
        <v>15</v>
      </c>
      <c r="H132" t="str">
        <f t="shared" si="4"/>
        <v>March</v>
      </c>
      <c r="I132">
        <f t="shared" si="5"/>
        <v>13</v>
      </c>
    </row>
    <row r="133" spans="1:9" x14ac:dyDescent="0.25">
      <c r="A133" s="2">
        <v>45378</v>
      </c>
      <c r="B133" s="5" t="s">
        <v>11</v>
      </c>
      <c r="C133">
        <f>ROUND(IF(ISBLANK('original data'!C133),0,'original data'!C133),0)</f>
        <v>120</v>
      </c>
      <c r="D133">
        <f>ROUND(IF(ISBLANK('original data'!D133),0,'original data'!D133),0)</f>
        <v>0</v>
      </c>
      <c r="E133" s="3" t="s">
        <v>13</v>
      </c>
      <c r="F133" s="3" t="s">
        <v>14</v>
      </c>
      <c r="G133" s="3" t="s">
        <v>15</v>
      </c>
      <c r="H133" t="str">
        <f t="shared" si="4"/>
        <v>March</v>
      </c>
      <c r="I133">
        <f t="shared" si="5"/>
        <v>13</v>
      </c>
    </row>
    <row r="134" spans="1:9" x14ac:dyDescent="0.25">
      <c r="A134" s="2">
        <v>45379</v>
      </c>
      <c r="B134" s="5" t="s">
        <v>11</v>
      </c>
      <c r="C134">
        <f>ROUND(IF(ISBLANK('original data'!C134),0,'original data'!C134),0)</f>
        <v>120</v>
      </c>
      <c r="D134">
        <f>ROUND(IF(ISBLANK('original data'!D134),0,'original data'!D134),0)</f>
        <v>0</v>
      </c>
      <c r="E134" s="3" t="s">
        <v>13</v>
      </c>
      <c r="F134" s="3" t="s">
        <v>14</v>
      </c>
      <c r="G134" s="3" t="s">
        <v>15</v>
      </c>
      <c r="H134" t="str">
        <f t="shared" si="4"/>
        <v>March</v>
      </c>
      <c r="I134">
        <f t="shared" si="5"/>
        <v>13</v>
      </c>
    </row>
    <row r="135" spans="1:9" x14ac:dyDescent="0.25">
      <c r="A135" s="2">
        <v>45380</v>
      </c>
      <c r="B135" s="5" t="s">
        <v>11</v>
      </c>
      <c r="C135">
        <f>ROUND(IF(ISBLANK('original data'!C135),0,'original data'!C135),0)</f>
        <v>120</v>
      </c>
      <c r="D135">
        <f>ROUND(IF(ISBLANK('original data'!D135),0,'original data'!D135),0)</f>
        <v>0</v>
      </c>
      <c r="E135" s="3" t="s">
        <v>13</v>
      </c>
      <c r="F135" s="3" t="s">
        <v>14</v>
      </c>
      <c r="G135" s="3" t="s">
        <v>15</v>
      </c>
      <c r="H135" t="str">
        <f t="shared" si="4"/>
        <v>March</v>
      </c>
      <c r="I135">
        <f t="shared" si="5"/>
        <v>13</v>
      </c>
    </row>
    <row r="136" spans="1:9" x14ac:dyDescent="0.25">
      <c r="A136" s="2">
        <v>45381</v>
      </c>
      <c r="B136" s="5" t="s">
        <v>11</v>
      </c>
      <c r="C136">
        <f>ROUND(IF(ISBLANK('original data'!C136),0,'original data'!C136),0)</f>
        <v>120</v>
      </c>
      <c r="D136">
        <f>ROUND(IF(ISBLANK('original data'!D136),0,'original data'!D136),0)</f>
        <v>0</v>
      </c>
      <c r="E136" s="3" t="s">
        <v>13</v>
      </c>
      <c r="F136" s="3" t="s">
        <v>14</v>
      </c>
      <c r="G136" s="3" t="s">
        <v>15</v>
      </c>
      <c r="H136" t="str">
        <f t="shared" si="4"/>
        <v>March</v>
      </c>
      <c r="I136">
        <f t="shared" si="5"/>
        <v>13</v>
      </c>
    </row>
    <row r="137" spans="1:9" x14ac:dyDescent="0.25">
      <c r="A137" s="2">
        <v>45381</v>
      </c>
      <c r="B137" s="5" t="s">
        <v>24</v>
      </c>
      <c r="C137">
        <f>ROUND(IF(ISBLANK('original data'!C137),0,'original data'!C137),0)</f>
        <v>5016</v>
      </c>
      <c r="D137">
        <f>ROUND(IF(ISBLANK('original data'!D137),0,'original data'!D137),0)</f>
        <v>0</v>
      </c>
      <c r="E137" s="3" t="s">
        <v>26</v>
      </c>
      <c r="F137" s="3" t="s">
        <v>19</v>
      </c>
      <c r="G137" s="3" t="s">
        <v>15</v>
      </c>
      <c r="H137" t="str">
        <f t="shared" si="4"/>
        <v>March</v>
      </c>
      <c r="I137">
        <f t="shared" si="5"/>
        <v>13</v>
      </c>
    </row>
    <row r="138" spans="1:9" x14ac:dyDescent="0.25">
      <c r="A138" s="2">
        <v>45382</v>
      </c>
      <c r="B138" s="5" t="s">
        <v>69</v>
      </c>
      <c r="C138">
        <f>ROUND(IF(ISBLANK('original data'!C138),0,'original data'!C138),0)</f>
        <v>3048</v>
      </c>
      <c r="D138">
        <f>ROUND(IF(ISBLANK('original data'!D138),0,'original data'!D138),0)</f>
        <v>0</v>
      </c>
      <c r="E138" s="3" t="s">
        <v>39</v>
      </c>
      <c r="F138" s="3" t="s">
        <v>36</v>
      </c>
      <c r="G138" s="3" t="s">
        <v>15</v>
      </c>
      <c r="H138" t="str">
        <f t="shared" si="4"/>
        <v>March</v>
      </c>
      <c r="I138">
        <f t="shared" si="5"/>
        <v>14</v>
      </c>
    </row>
    <row r="139" spans="1:9" x14ac:dyDescent="0.25">
      <c r="A139" s="2">
        <v>45382</v>
      </c>
      <c r="B139" s="5" t="s">
        <v>117</v>
      </c>
      <c r="C139">
        <f>ROUND(IF(ISBLANK('original data'!C139),0,'original data'!C139),0)</f>
        <v>4253</v>
      </c>
      <c r="D139">
        <f>ROUND(IF(ISBLANK('original data'!D139),0,'original data'!D139),0)</f>
        <v>0</v>
      </c>
      <c r="E139" s="3" t="s">
        <v>39</v>
      </c>
      <c r="F139" s="3" t="s">
        <v>36</v>
      </c>
      <c r="G139" s="3" t="s">
        <v>15</v>
      </c>
      <c r="H139" t="str">
        <f t="shared" si="4"/>
        <v>March</v>
      </c>
      <c r="I139">
        <f t="shared" si="5"/>
        <v>14</v>
      </c>
    </row>
    <row r="140" spans="1:9" x14ac:dyDescent="0.25">
      <c r="A140" s="2">
        <v>45383</v>
      </c>
      <c r="B140" s="5" t="s">
        <v>37</v>
      </c>
      <c r="C140">
        <f>ROUND(IF(ISBLANK('original data'!C140),0,'original data'!C140),0)</f>
        <v>3530</v>
      </c>
      <c r="D140">
        <f>ROUND(IF(ISBLANK('original data'!D140),0,'original data'!D140),0)</f>
        <v>0</v>
      </c>
      <c r="E140" s="3" t="s">
        <v>39</v>
      </c>
      <c r="F140" s="3" t="s">
        <v>36</v>
      </c>
      <c r="G140" s="3" t="s">
        <v>15</v>
      </c>
      <c r="H140" t="str">
        <f t="shared" si="4"/>
        <v>April</v>
      </c>
      <c r="I140">
        <f t="shared" si="5"/>
        <v>14</v>
      </c>
    </row>
    <row r="141" spans="1:9" x14ac:dyDescent="0.25">
      <c r="A141" s="2">
        <v>45383</v>
      </c>
      <c r="B141" s="5" t="s">
        <v>43</v>
      </c>
      <c r="C141">
        <f>ROUND(IF(ISBLANK('original data'!C141),0,'original data'!C141),0)</f>
        <v>600</v>
      </c>
      <c r="D141">
        <f>ROUND(IF(ISBLANK('original data'!D141),0,'original data'!D141),0)</f>
        <v>0</v>
      </c>
      <c r="E141" s="3" t="s">
        <v>45</v>
      </c>
      <c r="F141" s="3" t="s">
        <v>23</v>
      </c>
      <c r="G141" s="3" t="s">
        <v>15</v>
      </c>
      <c r="H141" t="str">
        <f t="shared" si="4"/>
        <v>April</v>
      </c>
      <c r="I141">
        <f t="shared" si="5"/>
        <v>14</v>
      </c>
    </row>
    <row r="142" spans="1:9" x14ac:dyDescent="0.25">
      <c r="A142" s="2">
        <v>45384</v>
      </c>
      <c r="B142" s="5" t="s">
        <v>121</v>
      </c>
      <c r="C142">
        <f>ROUND(IF(ISBLANK('original data'!C142),0,'original data'!C142),0)</f>
        <v>360</v>
      </c>
      <c r="D142">
        <f>ROUND(IF(ISBLANK('original data'!D142),0,'original data'!D142),0)</f>
        <v>0</v>
      </c>
      <c r="E142" s="3" t="s">
        <v>42</v>
      </c>
      <c r="F142" s="3" t="s">
        <v>14</v>
      </c>
      <c r="G142" s="3" t="s">
        <v>15</v>
      </c>
      <c r="H142" t="str">
        <f t="shared" si="4"/>
        <v>April</v>
      </c>
      <c r="I142">
        <f t="shared" si="5"/>
        <v>14</v>
      </c>
    </row>
    <row r="143" spans="1:9" x14ac:dyDescent="0.25">
      <c r="A143" s="2">
        <v>45385</v>
      </c>
      <c r="B143" s="5" t="s">
        <v>11</v>
      </c>
      <c r="C143">
        <f>ROUND(IF(ISBLANK('original data'!C143),0,'original data'!C143),0)</f>
        <v>120</v>
      </c>
      <c r="D143">
        <f>ROUND(IF(ISBLANK('original data'!D143),0,'original data'!D143),0)</f>
        <v>0</v>
      </c>
      <c r="E143" s="3" t="s">
        <v>13</v>
      </c>
      <c r="F143" s="3" t="s">
        <v>14</v>
      </c>
      <c r="G143" s="3" t="s">
        <v>15</v>
      </c>
      <c r="H143" t="str">
        <f t="shared" si="4"/>
        <v>April</v>
      </c>
      <c r="I143">
        <f t="shared" si="5"/>
        <v>14</v>
      </c>
    </row>
    <row r="144" spans="1:9" x14ac:dyDescent="0.25">
      <c r="A144" s="2">
        <v>45386</v>
      </c>
      <c r="B144" s="5" t="s">
        <v>11</v>
      </c>
      <c r="C144">
        <f>ROUND(IF(ISBLANK('original data'!C144),0,'original data'!C144),0)</f>
        <v>120</v>
      </c>
      <c r="D144">
        <f>ROUND(IF(ISBLANK('original data'!D144),0,'original data'!D144),0)</f>
        <v>0</v>
      </c>
      <c r="E144" s="3" t="s">
        <v>13</v>
      </c>
      <c r="F144" s="3" t="s">
        <v>14</v>
      </c>
      <c r="G144" s="3" t="s">
        <v>15</v>
      </c>
      <c r="H144" t="str">
        <f t="shared" si="4"/>
        <v>April</v>
      </c>
      <c r="I144">
        <f t="shared" si="5"/>
        <v>14</v>
      </c>
    </row>
    <row r="145" spans="1:9" x14ac:dyDescent="0.25">
      <c r="A145" s="2">
        <v>45387</v>
      </c>
      <c r="B145" s="5" t="s">
        <v>7</v>
      </c>
      <c r="C145">
        <f>ROUND(IF(ISBLANK('original data'!C145),0,'original data'!C145),0)</f>
        <v>0</v>
      </c>
      <c r="D145">
        <f>ROUND(IF(ISBLANK('original data'!D145),0,'original data'!D145),0)</f>
        <v>120000</v>
      </c>
      <c r="E145" s="3" t="s">
        <v>75</v>
      </c>
      <c r="F145" s="3" t="s">
        <v>9</v>
      </c>
      <c r="G145" s="3" t="s">
        <v>10</v>
      </c>
      <c r="H145" t="str">
        <f t="shared" si="4"/>
        <v>April</v>
      </c>
      <c r="I145">
        <f t="shared" si="5"/>
        <v>14</v>
      </c>
    </row>
    <row r="146" spans="1:9" x14ac:dyDescent="0.25">
      <c r="A146" s="2">
        <v>45387</v>
      </c>
      <c r="B146" s="5" t="s">
        <v>11</v>
      </c>
      <c r="C146">
        <f>ROUND(IF(ISBLANK('original data'!C146),0,'original data'!C146),0)</f>
        <v>120</v>
      </c>
      <c r="D146">
        <f>ROUND(IF(ISBLANK('original data'!D146),0,'original data'!D146),0)</f>
        <v>0</v>
      </c>
      <c r="E146" s="3" t="s">
        <v>13</v>
      </c>
      <c r="F146" s="3" t="s">
        <v>14</v>
      </c>
      <c r="G146" s="3" t="s">
        <v>15</v>
      </c>
      <c r="H146" t="str">
        <f t="shared" si="4"/>
        <v>April</v>
      </c>
      <c r="I146">
        <f t="shared" si="5"/>
        <v>14</v>
      </c>
    </row>
    <row r="147" spans="1:9" x14ac:dyDescent="0.25">
      <c r="A147" s="2">
        <v>45388</v>
      </c>
      <c r="B147" s="5" t="s">
        <v>16</v>
      </c>
      <c r="C147">
        <f>ROUND(IF(ISBLANK('original data'!C147),0,'original data'!C147),0)</f>
        <v>21600</v>
      </c>
      <c r="D147">
        <f>ROUND(IF(ISBLANK('original data'!D147),0,'original data'!D147),0)</f>
        <v>0</v>
      </c>
      <c r="E147" s="3" t="s">
        <v>18</v>
      </c>
      <c r="F147" s="3" t="s">
        <v>19</v>
      </c>
      <c r="G147" s="3" t="s">
        <v>15</v>
      </c>
      <c r="H147" t="str">
        <f t="shared" si="4"/>
        <v>April</v>
      </c>
      <c r="I147">
        <f t="shared" si="5"/>
        <v>14</v>
      </c>
    </row>
    <row r="148" spans="1:9" x14ac:dyDescent="0.25">
      <c r="A148" s="2">
        <v>45388</v>
      </c>
      <c r="B148" s="5" t="s">
        <v>20</v>
      </c>
      <c r="C148">
        <f>ROUND(IF(ISBLANK('original data'!C148),0,'original data'!C148),0)</f>
        <v>3600</v>
      </c>
      <c r="D148">
        <f>ROUND(IF(ISBLANK('original data'!D148),0,'original data'!D148),0)</f>
        <v>0</v>
      </c>
      <c r="E148" s="3" t="s">
        <v>22</v>
      </c>
      <c r="F148" s="3" t="s">
        <v>23</v>
      </c>
      <c r="G148" s="3" t="s">
        <v>15</v>
      </c>
      <c r="H148" t="str">
        <f t="shared" si="4"/>
        <v>April</v>
      </c>
      <c r="I148">
        <f t="shared" si="5"/>
        <v>14</v>
      </c>
    </row>
    <row r="149" spans="1:9" x14ac:dyDescent="0.25">
      <c r="A149" s="2">
        <v>45388</v>
      </c>
      <c r="B149" s="5" t="s">
        <v>11</v>
      </c>
      <c r="C149">
        <f>ROUND(IF(ISBLANK('original data'!C149),0,'original data'!C149),0)</f>
        <v>120</v>
      </c>
      <c r="D149">
        <f>ROUND(IF(ISBLANK('original data'!D149),0,'original data'!D149),0)</f>
        <v>0</v>
      </c>
      <c r="E149" s="3" t="s">
        <v>13</v>
      </c>
      <c r="F149" s="3" t="s">
        <v>14</v>
      </c>
      <c r="G149" s="3" t="s">
        <v>15</v>
      </c>
      <c r="H149" t="str">
        <f t="shared" si="4"/>
        <v>April</v>
      </c>
      <c r="I149">
        <f t="shared" si="5"/>
        <v>14</v>
      </c>
    </row>
    <row r="150" spans="1:9" x14ac:dyDescent="0.25">
      <c r="A150" s="2">
        <v>45389</v>
      </c>
      <c r="B150" s="5" t="s">
        <v>11</v>
      </c>
      <c r="C150">
        <f>ROUND(IF(ISBLANK('original data'!C150),0,'original data'!C150),0)</f>
        <v>120</v>
      </c>
      <c r="D150">
        <f>ROUND(IF(ISBLANK('original data'!D150),0,'original data'!D150),0)</f>
        <v>0</v>
      </c>
      <c r="E150" s="3" t="s">
        <v>13</v>
      </c>
      <c r="F150" s="3" t="s">
        <v>14</v>
      </c>
      <c r="G150" s="3" t="s">
        <v>15</v>
      </c>
      <c r="H150" t="str">
        <f t="shared" si="4"/>
        <v>April</v>
      </c>
      <c r="I150">
        <f t="shared" si="5"/>
        <v>15</v>
      </c>
    </row>
    <row r="151" spans="1:9" x14ac:dyDescent="0.25">
      <c r="A151" s="2">
        <v>45390</v>
      </c>
      <c r="B151" s="5" t="s">
        <v>11</v>
      </c>
      <c r="C151">
        <f>ROUND(IF(ISBLANK('original data'!C151),0,'original data'!C151),0)</f>
        <v>120</v>
      </c>
      <c r="D151">
        <f>ROUND(IF(ISBLANK('original data'!D151),0,'original data'!D151),0)</f>
        <v>0</v>
      </c>
      <c r="E151" s="3" t="s">
        <v>13</v>
      </c>
      <c r="F151" s="3" t="s">
        <v>14</v>
      </c>
      <c r="G151" s="3" t="s">
        <v>15</v>
      </c>
      <c r="H151" t="str">
        <f t="shared" si="4"/>
        <v>April</v>
      </c>
      <c r="I151">
        <f t="shared" si="5"/>
        <v>15</v>
      </c>
    </row>
    <row r="152" spans="1:9" x14ac:dyDescent="0.25">
      <c r="A152" s="2">
        <v>45391</v>
      </c>
      <c r="B152" s="5" t="s">
        <v>11</v>
      </c>
      <c r="C152">
        <f>ROUND(IF(ISBLANK('original data'!C152),0,'original data'!C152),0)</f>
        <v>120</v>
      </c>
      <c r="D152">
        <f>ROUND(IF(ISBLANK('original data'!D152),0,'original data'!D152),0)</f>
        <v>0</v>
      </c>
      <c r="E152" s="3" t="s">
        <v>13</v>
      </c>
      <c r="F152" s="3" t="s">
        <v>14</v>
      </c>
      <c r="G152" s="3" t="s">
        <v>15</v>
      </c>
      <c r="H152" t="str">
        <f t="shared" si="4"/>
        <v>April</v>
      </c>
      <c r="I152">
        <f t="shared" si="5"/>
        <v>15</v>
      </c>
    </row>
    <row r="153" spans="1:9" x14ac:dyDescent="0.25">
      <c r="A153" s="2">
        <v>45391</v>
      </c>
      <c r="B153" s="5" t="s">
        <v>24</v>
      </c>
      <c r="C153">
        <f>ROUND(IF(ISBLANK('original data'!C153),0,'original data'!C153),0)</f>
        <v>3797</v>
      </c>
      <c r="D153">
        <f>ROUND(IF(ISBLANK('original data'!D153),0,'original data'!D153),0)</f>
        <v>0</v>
      </c>
      <c r="E153" s="3" t="s">
        <v>26</v>
      </c>
      <c r="F153" s="3" t="s">
        <v>19</v>
      </c>
      <c r="G153" s="3" t="s">
        <v>15</v>
      </c>
      <c r="H153" t="str">
        <f t="shared" si="4"/>
        <v>April</v>
      </c>
      <c r="I153">
        <f t="shared" si="5"/>
        <v>15</v>
      </c>
    </row>
    <row r="154" spans="1:9" x14ac:dyDescent="0.25">
      <c r="A154" s="2">
        <v>45394</v>
      </c>
      <c r="B154" s="5" t="s">
        <v>27</v>
      </c>
      <c r="C154">
        <f>ROUND(IF(ISBLANK('original data'!C154),0,'original data'!C154),0)</f>
        <v>1277</v>
      </c>
      <c r="D154">
        <f>ROUND(IF(ISBLANK('original data'!D154),0,'original data'!D154),0)</f>
        <v>0</v>
      </c>
      <c r="E154" s="3" t="s">
        <v>29</v>
      </c>
      <c r="F154" s="3" t="s">
        <v>19</v>
      </c>
      <c r="G154" s="3" t="s">
        <v>15</v>
      </c>
      <c r="H154" t="str">
        <f t="shared" si="4"/>
        <v>April</v>
      </c>
      <c r="I154">
        <f t="shared" si="5"/>
        <v>15</v>
      </c>
    </row>
    <row r="155" spans="1:9" x14ac:dyDescent="0.25">
      <c r="A155" s="2">
        <v>45394</v>
      </c>
      <c r="B155" s="5" t="s">
        <v>11</v>
      </c>
      <c r="C155">
        <f>ROUND(IF(ISBLANK('original data'!C155),0,'original data'!C155),0)</f>
        <v>120</v>
      </c>
      <c r="D155">
        <f>ROUND(IF(ISBLANK('original data'!D155),0,'original data'!D155),0)</f>
        <v>0</v>
      </c>
      <c r="E155" s="3" t="s">
        <v>13</v>
      </c>
      <c r="F155" s="3" t="s">
        <v>14</v>
      </c>
      <c r="G155" s="3" t="s">
        <v>15</v>
      </c>
      <c r="H155" t="str">
        <f t="shared" si="4"/>
        <v>April</v>
      </c>
      <c r="I155">
        <f t="shared" si="5"/>
        <v>15</v>
      </c>
    </row>
    <row r="156" spans="1:9" x14ac:dyDescent="0.25">
      <c r="A156" s="2">
        <v>45395</v>
      </c>
      <c r="B156" s="5" t="s">
        <v>11</v>
      </c>
      <c r="C156">
        <f>ROUND(IF(ISBLANK('original data'!C156),0,'original data'!C156),0)</f>
        <v>120</v>
      </c>
      <c r="D156">
        <f>ROUND(IF(ISBLANK('original data'!D156),0,'original data'!D156),0)</f>
        <v>0</v>
      </c>
      <c r="E156" s="3" t="s">
        <v>13</v>
      </c>
      <c r="F156" s="3" t="s">
        <v>14</v>
      </c>
      <c r="G156" s="3" t="s">
        <v>15</v>
      </c>
      <c r="H156" t="str">
        <f t="shared" si="4"/>
        <v>April</v>
      </c>
      <c r="I156">
        <f t="shared" si="5"/>
        <v>15</v>
      </c>
    </row>
    <row r="157" spans="1:9" x14ac:dyDescent="0.25">
      <c r="A157" s="2">
        <v>45396</v>
      </c>
      <c r="B157" s="5" t="s">
        <v>30</v>
      </c>
      <c r="C157">
        <f>ROUND(IF(ISBLANK('original data'!C157),0,'original data'!C157),0)</f>
        <v>1918</v>
      </c>
      <c r="D157">
        <f>ROUND(IF(ISBLANK('original data'!D157),0,'original data'!D157),0)</f>
        <v>0</v>
      </c>
      <c r="E157" s="3" t="s">
        <v>67</v>
      </c>
      <c r="F157" s="3" t="s">
        <v>23</v>
      </c>
      <c r="G157" s="3" t="s">
        <v>15</v>
      </c>
      <c r="H157" t="str">
        <f t="shared" si="4"/>
        <v>April</v>
      </c>
      <c r="I157">
        <f t="shared" si="5"/>
        <v>16</v>
      </c>
    </row>
    <row r="158" spans="1:9" x14ac:dyDescent="0.25">
      <c r="A158" s="2">
        <v>45396</v>
      </c>
      <c r="B158" s="5" t="s">
        <v>11</v>
      </c>
      <c r="C158">
        <f>ROUND(IF(ISBLANK('original data'!C158),0,'original data'!C158),0)</f>
        <v>120</v>
      </c>
      <c r="D158">
        <f>ROUND(IF(ISBLANK('original data'!D158),0,'original data'!D158),0)</f>
        <v>0</v>
      </c>
      <c r="E158" s="3" t="s">
        <v>13</v>
      </c>
      <c r="F158" s="3" t="s">
        <v>14</v>
      </c>
      <c r="G158" s="3" t="s">
        <v>15</v>
      </c>
      <c r="H158" t="str">
        <f t="shared" si="4"/>
        <v>April</v>
      </c>
      <c r="I158">
        <f t="shared" si="5"/>
        <v>16</v>
      </c>
    </row>
    <row r="159" spans="1:9" x14ac:dyDescent="0.25">
      <c r="A159" s="2">
        <v>45397</v>
      </c>
      <c r="B159" s="5" t="s">
        <v>11</v>
      </c>
      <c r="C159">
        <f>ROUND(IF(ISBLANK('original data'!C159),0,'original data'!C159),0)</f>
        <v>120</v>
      </c>
      <c r="D159">
        <f>ROUND(IF(ISBLANK('original data'!D159),0,'original data'!D159),0)</f>
        <v>0</v>
      </c>
      <c r="E159" s="3" t="s">
        <v>13</v>
      </c>
      <c r="F159" s="3" t="s">
        <v>14</v>
      </c>
      <c r="G159" s="3" t="s">
        <v>15</v>
      </c>
      <c r="H159" t="str">
        <f t="shared" si="4"/>
        <v>April</v>
      </c>
      <c r="I159">
        <f t="shared" si="5"/>
        <v>16</v>
      </c>
    </row>
    <row r="160" spans="1:9" x14ac:dyDescent="0.25">
      <c r="A160" s="2">
        <v>45398</v>
      </c>
      <c r="B160" s="5" t="s">
        <v>24</v>
      </c>
      <c r="C160">
        <f>ROUND(IF(ISBLANK('original data'!C160),0,'original data'!C160),0)</f>
        <v>2352</v>
      </c>
      <c r="D160">
        <f>ROUND(IF(ISBLANK('original data'!D160),0,'original data'!D160),0)</f>
        <v>0</v>
      </c>
      <c r="E160" s="3" t="s">
        <v>26</v>
      </c>
      <c r="F160" s="3" t="s">
        <v>19</v>
      </c>
      <c r="G160" s="3" t="s">
        <v>15</v>
      </c>
      <c r="H160" t="str">
        <f t="shared" si="4"/>
        <v>April</v>
      </c>
      <c r="I160">
        <f t="shared" si="5"/>
        <v>16</v>
      </c>
    </row>
    <row r="161" spans="1:9" x14ac:dyDescent="0.25">
      <c r="A161" s="2">
        <v>45398</v>
      </c>
      <c r="B161" s="5" t="s">
        <v>11</v>
      </c>
      <c r="C161">
        <f>ROUND(IF(ISBLANK('original data'!C161),0,'original data'!C161),0)</f>
        <v>120</v>
      </c>
      <c r="D161">
        <f>ROUND(IF(ISBLANK('original data'!D161),0,'original data'!D161),0)</f>
        <v>0</v>
      </c>
      <c r="E161" s="3" t="s">
        <v>13</v>
      </c>
      <c r="F161" s="3" t="s">
        <v>14</v>
      </c>
      <c r="G161" s="3" t="s">
        <v>15</v>
      </c>
      <c r="H161" t="str">
        <f t="shared" si="4"/>
        <v>April</v>
      </c>
      <c r="I161">
        <f t="shared" si="5"/>
        <v>16</v>
      </c>
    </row>
    <row r="162" spans="1:9" x14ac:dyDescent="0.25">
      <c r="A162" s="2">
        <v>45399</v>
      </c>
      <c r="B162" s="5" t="s">
        <v>11</v>
      </c>
      <c r="C162">
        <f>ROUND(IF(ISBLANK('original data'!C162),0,'original data'!C162),0)</f>
        <v>120</v>
      </c>
      <c r="D162">
        <f>ROUND(IF(ISBLANK('original data'!D162),0,'original data'!D162),0)</f>
        <v>0</v>
      </c>
      <c r="E162" s="3" t="s">
        <v>13</v>
      </c>
      <c r="F162" s="3" t="s">
        <v>14</v>
      </c>
      <c r="G162" s="3" t="s">
        <v>15</v>
      </c>
      <c r="H162" t="str">
        <f t="shared" si="4"/>
        <v>April</v>
      </c>
      <c r="I162">
        <f t="shared" si="5"/>
        <v>16</v>
      </c>
    </row>
    <row r="163" spans="1:9" x14ac:dyDescent="0.25">
      <c r="A163" s="2">
        <v>45399</v>
      </c>
      <c r="B163" s="5" t="s">
        <v>33</v>
      </c>
      <c r="C163">
        <f>ROUND(IF(ISBLANK('original data'!C163),0,'original data'!C163),0)</f>
        <v>1027</v>
      </c>
      <c r="D163">
        <f>ROUND(IF(ISBLANK('original data'!D163),0,'original data'!D163),0)</f>
        <v>0</v>
      </c>
      <c r="E163" s="3" t="s">
        <v>35</v>
      </c>
      <c r="F163" s="3" t="s">
        <v>36</v>
      </c>
      <c r="G163" s="3" t="s">
        <v>15</v>
      </c>
      <c r="H163" t="str">
        <f t="shared" si="4"/>
        <v>April</v>
      </c>
      <c r="I163">
        <f t="shared" si="5"/>
        <v>16</v>
      </c>
    </row>
    <row r="164" spans="1:9" x14ac:dyDescent="0.25">
      <c r="A164" s="2">
        <v>45399</v>
      </c>
      <c r="B164" s="5" t="s">
        <v>81</v>
      </c>
      <c r="C164">
        <f>ROUND(IF(ISBLANK('original data'!C164),0,'original data'!C164),0)</f>
        <v>2422</v>
      </c>
      <c r="D164">
        <f>ROUND(IF(ISBLANK('original data'!D164),0,'original data'!D164),0)</f>
        <v>0</v>
      </c>
      <c r="E164" s="3" t="s">
        <v>39</v>
      </c>
      <c r="F164" s="3" t="s">
        <v>36</v>
      </c>
      <c r="G164" s="3" t="s">
        <v>15</v>
      </c>
      <c r="H164" t="str">
        <f t="shared" si="4"/>
        <v>April</v>
      </c>
      <c r="I164">
        <f t="shared" si="5"/>
        <v>16</v>
      </c>
    </row>
    <row r="165" spans="1:9" x14ac:dyDescent="0.25">
      <c r="A165" s="2">
        <v>45399</v>
      </c>
      <c r="B165" s="5" t="s">
        <v>40</v>
      </c>
      <c r="C165">
        <f>ROUND(IF(ISBLANK('original data'!C165),0,'original data'!C165),0)</f>
        <v>1318</v>
      </c>
      <c r="D165">
        <f>ROUND(IF(ISBLANK('original data'!D165),0,'original data'!D165),0)</f>
        <v>0</v>
      </c>
      <c r="E165" s="3" t="s">
        <v>42</v>
      </c>
      <c r="F165" s="3" t="s">
        <v>14</v>
      </c>
      <c r="G165" s="3" t="s">
        <v>15</v>
      </c>
      <c r="H165" t="str">
        <f t="shared" si="4"/>
        <v>April</v>
      </c>
      <c r="I165">
        <f t="shared" si="5"/>
        <v>16</v>
      </c>
    </row>
    <row r="166" spans="1:9" x14ac:dyDescent="0.25">
      <c r="A166" s="2">
        <v>45400</v>
      </c>
      <c r="B166" s="5" t="s">
        <v>43</v>
      </c>
      <c r="C166">
        <f>ROUND(IF(ISBLANK('original data'!C166),0,'original data'!C166),0)</f>
        <v>744</v>
      </c>
      <c r="D166">
        <f>ROUND(IF(ISBLANK('original data'!D166),0,'original data'!D166),0)</f>
        <v>0</v>
      </c>
      <c r="E166" s="3" t="s">
        <v>45</v>
      </c>
      <c r="F166" s="3" t="s">
        <v>23</v>
      </c>
      <c r="G166" s="3" t="s">
        <v>15</v>
      </c>
      <c r="H166" t="str">
        <f t="shared" si="4"/>
        <v>April</v>
      </c>
      <c r="I166">
        <f t="shared" si="5"/>
        <v>16</v>
      </c>
    </row>
    <row r="167" spans="1:9" x14ac:dyDescent="0.25">
      <c r="A167" s="2">
        <v>45401</v>
      </c>
      <c r="B167" s="5" t="s">
        <v>46</v>
      </c>
      <c r="C167">
        <f>ROUND(IF(ISBLANK('original data'!C167),0,'original data'!C167),0)</f>
        <v>0</v>
      </c>
      <c r="D167">
        <f>ROUND(IF(ISBLANK('original data'!D167),0,'original data'!D167),0)</f>
        <v>56160</v>
      </c>
      <c r="E167" s="3" t="s">
        <v>48</v>
      </c>
      <c r="F167" s="3" t="s">
        <v>49</v>
      </c>
      <c r="G167" s="3" t="s">
        <v>10</v>
      </c>
      <c r="H167" t="str">
        <f t="shared" si="4"/>
        <v>April</v>
      </c>
      <c r="I167">
        <f t="shared" si="5"/>
        <v>16</v>
      </c>
    </row>
    <row r="168" spans="1:9" x14ac:dyDescent="0.25">
      <c r="A168" s="2">
        <v>45401</v>
      </c>
      <c r="B168" s="5" t="s">
        <v>11</v>
      </c>
      <c r="C168">
        <f>ROUND(IF(ISBLANK('original data'!C168),0,'original data'!C168),0)</f>
        <v>120</v>
      </c>
      <c r="D168">
        <f>ROUND(IF(ISBLANK('original data'!D168),0,'original data'!D168),0)</f>
        <v>0</v>
      </c>
      <c r="E168" s="3" t="s">
        <v>13</v>
      </c>
      <c r="F168" s="3" t="s">
        <v>14</v>
      </c>
      <c r="G168" s="3" t="s">
        <v>15</v>
      </c>
      <c r="H168" t="str">
        <f t="shared" si="4"/>
        <v>April</v>
      </c>
      <c r="I168">
        <f t="shared" si="5"/>
        <v>16</v>
      </c>
    </row>
    <row r="169" spans="1:9" x14ac:dyDescent="0.25">
      <c r="A169" s="2">
        <v>45402</v>
      </c>
      <c r="B169" s="5" t="s">
        <v>11</v>
      </c>
      <c r="C169">
        <f>ROUND(IF(ISBLANK('original data'!C169),0,'original data'!C169),0)</f>
        <v>120</v>
      </c>
      <c r="D169">
        <f>ROUND(IF(ISBLANK('original data'!D169),0,'original data'!D169),0)</f>
        <v>0</v>
      </c>
      <c r="E169" s="3" t="s">
        <v>13</v>
      </c>
      <c r="F169" s="3" t="s">
        <v>14</v>
      </c>
      <c r="G169" s="3" t="s">
        <v>15</v>
      </c>
      <c r="H169" t="str">
        <f t="shared" si="4"/>
        <v>April</v>
      </c>
      <c r="I169">
        <f t="shared" si="5"/>
        <v>16</v>
      </c>
    </row>
    <row r="170" spans="1:9" x14ac:dyDescent="0.25">
      <c r="A170" s="2">
        <v>45402</v>
      </c>
      <c r="B170" s="5" t="s">
        <v>51</v>
      </c>
      <c r="C170">
        <f>ROUND(IF(ISBLANK('original data'!C170),0,'original data'!C170),0)</f>
        <v>960</v>
      </c>
      <c r="D170">
        <f>ROUND(IF(ISBLANK('original data'!D170),0,'original data'!D170),0)</f>
        <v>0</v>
      </c>
      <c r="E170" s="3" t="s">
        <v>51</v>
      </c>
      <c r="F170" s="3" t="s">
        <v>19</v>
      </c>
      <c r="G170" s="3" t="s">
        <v>15</v>
      </c>
      <c r="H170" t="str">
        <f t="shared" si="4"/>
        <v>April</v>
      </c>
      <c r="I170">
        <f t="shared" si="5"/>
        <v>16</v>
      </c>
    </row>
    <row r="171" spans="1:9" x14ac:dyDescent="0.25">
      <c r="A171" s="2">
        <v>45403</v>
      </c>
      <c r="B171" s="5" t="s">
        <v>52</v>
      </c>
      <c r="C171">
        <f>ROUND(IF(ISBLANK('original data'!C171),0,'original data'!C171),0)</f>
        <v>1150</v>
      </c>
      <c r="D171">
        <f>ROUND(IF(ISBLANK('original data'!D171),0,'original data'!D171),0)</f>
        <v>0</v>
      </c>
      <c r="E171" s="3" t="s">
        <v>54</v>
      </c>
      <c r="F171" s="3" t="s">
        <v>36</v>
      </c>
      <c r="G171" s="3" t="s">
        <v>15</v>
      </c>
      <c r="H171" t="str">
        <f t="shared" si="4"/>
        <v>April</v>
      </c>
      <c r="I171">
        <f t="shared" si="5"/>
        <v>17</v>
      </c>
    </row>
    <row r="172" spans="1:9" x14ac:dyDescent="0.25">
      <c r="A172" s="2">
        <v>45403</v>
      </c>
      <c r="B172" s="5" t="s">
        <v>55</v>
      </c>
      <c r="C172">
        <f>ROUND(IF(ISBLANK('original data'!C172),0,'original data'!C172),0)</f>
        <v>840</v>
      </c>
      <c r="D172">
        <f>ROUND(IF(ISBLANK('original data'!D172),0,'original data'!D172),0)</f>
        <v>0</v>
      </c>
      <c r="E172" s="3" t="s">
        <v>35</v>
      </c>
      <c r="F172" s="3" t="s">
        <v>36</v>
      </c>
      <c r="G172" s="3" t="s">
        <v>15</v>
      </c>
      <c r="H172" t="str">
        <f t="shared" si="4"/>
        <v>April</v>
      </c>
      <c r="I172">
        <f t="shared" si="5"/>
        <v>17</v>
      </c>
    </row>
    <row r="173" spans="1:9" x14ac:dyDescent="0.25">
      <c r="A173" s="2">
        <v>45403</v>
      </c>
      <c r="B173" s="5" t="s">
        <v>11</v>
      </c>
      <c r="C173">
        <f>ROUND(IF(ISBLANK('original data'!C173),0,'original data'!C173),0)</f>
        <v>120</v>
      </c>
      <c r="D173">
        <f>ROUND(IF(ISBLANK('original data'!D173),0,'original data'!D173),0)</f>
        <v>0</v>
      </c>
      <c r="E173" s="3" t="s">
        <v>13</v>
      </c>
      <c r="F173" s="3" t="s">
        <v>14</v>
      </c>
      <c r="G173" s="3" t="s">
        <v>15</v>
      </c>
      <c r="H173" t="str">
        <f t="shared" si="4"/>
        <v>April</v>
      </c>
      <c r="I173">
        <f t="shared" si="5"/>
        <v>17</v>
      </c>
    </row>
    <row r="174" spans="1:9" x14ac:dyDescent="0.25">
      <c r="A174" s="2">
        <v>45404</v>
      </c>
      <c r="B174" s="5" t="s">
        <v>11</v>
      </c>
      <c r="C174">
        <f>ROUND(IF(ISBLANK('original data'!C174),0,'original data'!C174),0)</f>
        <v>120</v>
      </c>
      <c r="D174">
        <f>ROUND(IF(ISBLANK('original data'!D174),0,'original data'!D174),0)</f>
        <v>0</v>
      </c>
      <c r="E174" s="3" t="s">
        <v>13</v>
      </c>
      <c r="F174" s="3" t="s">
        <v>14</v>
      </c>
      <c r="G174" s="3" t="s">
        <v>15</v>
      </c>
      <c r="H174" t="str">
        <f t="shared" si="4"/>
        <v>April</v>
      </c>
      <c r="I174">
        <f t="shared" si="5"/>
        <v>17</v>
      </c>
    </row>
    <row r="175" spans="1:9" x14ac:dyDescent="0.25">
      <c r="A175" s="2">
        <v>45405</v>
      </c>
      <c r="B175" s="5" t="s">
        <v>11</v>
      </c>
      <c r="C175">
        <f>ROUND(IF(ISBLANK('original data'!C175),0,'original data'!C175),0)</f>
        <v>120</v>
      </c>
      <c r="D175">
        <f>ROUND(IF(ISBLANK('original data'!D175),0,'original data'!D175),0)</f>
        <v>0</v>
      </c>
      <c r="E175" s="3" t="s">
        <v>13</v>
      </c>
      <c r="F175" s="3" t="s">
        <v>14</v>
      </c>
      <c r="G175" s="3" t="s">
        <v>15</v>
      </c>
      <c r="H175" t="str">
        <f t="shared" si="4"/>
        <v>April</v>
      </c>
      <c r="I175">
        <f t="shared" si="5"/>
        <v>17</v>
      </c>
    </row>
    <row r="176" spans="1:9" x14ac:dyDescent="0.25">
      <c r="A176" s="2">
        <v>45405</v>
      </c>
      <c r="B176" s="5" t="s">
        <v>24</v>
      </c>
      <c r="C176">
        <f>ROUND(IF(ISBLANK('original data'!C176),0,'original data'!C176),0)</f>
        <v>4152</v>
      </c>
      <c r="D176">
        <f>ROUND(IF(ISBLANK('original data'!D176),0,'original data'!D176),0)</f>
        <v>0</v>
      </c>
      <c r="E176" s="3" t="s">
        <v>26</v>
      </c>
      <c r="F176" s="3" t="s">
        <v>19</v>
      </c>
      <c r="G176" s="3" t="s">
        <v>15</v>
      </c>
      <c r="H176" t="str">
        <f t="shared" si="4"/>
        <v>April</v>
      </c>
      <c r="I176">
        <f t="shared" si="5"/>
        <v>17</v>
      </c>
    </row>
    <row r="177" spans="1:9" x14ac:dyDescent="0.25">
      <c r="A177" s="2">
        <v>45406</v>
      </c>
      <c r="B177" s="5" t="s">
        <v>58</v>
      </c>
      <c r="C177">
        <f>ROUND(IF(ISBLANK('original data'!C177),0,'original data'!C177),0)</f>
        <v>962</v>
      </c>
      <c r="D177">
        <f>ROUND(IF(ISBLANK('original data'!D177),0,'original data'!D177),0)</f>
        <v>0</v>
      </c>
      <c r="E177" s="3" t="s">
        <v>42</v>
      </c>
      <c r="F177" s="3" t="s">
        <v>14</v>
      </c>
      <c r="G177" s="3" t="s">
        <v>15</v>
      </c>
      <c r="H177" t="str">
        <f t="shared" si="4"/>
        <v>April</v>
      </c>
      <c r="I177">
        <f t="shared" si="5"/>
        <v>17</v>
      </c>
    </row>
    <row r="178" spans="1:9" x14ac:dyDescent="0.25">
      <c r="A178" s="2">
        <v>45407</v>
      </c>
      <c r="B178" s="5" t="s">
        <v>60</v>
      </c>
      <c r="C178">
        <f>ROUND(IF(ISBLANK('original data'!C178),0,'original data'!C178),0)</f>
        <v>362</v>
      </c>
      <c r="D178">
        <f>ROUND(IF(ISBLANK('original data'!D178),0,'original data'!D178),0)</f>
        <v>0</v>
      </c>
      <c r="E178" s="3" t="s">
        <v>42</v>
      </c>
      <c r="F178" s="3" t="s">
        <v>14</v>
      </c>
      <c r="G178" s="3" t="s">
        <v>15</v>
      </c>
      <c r="H178" t="str">
        <f t="shared" si="4"/>
        <v>April</v>
      </c>
      <c r="I178">
        <f t="shared" si="5"/>
        <v>17</v>
      </c>
    </row>
    <row r="179" spans="1:9" x14ac:dyDescent="0.25">
      <c r="A179" s="2">
        <v>45408</v>
      </c>
      <c r="B179" s="5" t="s">
        <v>62</v>
      </c>
      <c r="C179">
        <f>ROUND(IF(ISBLANK('original data'!C179),0,'original data'!C179),0)</f>
        <v>1320</v>
      </c>
      <c r="D179">
        <f>ROUND(IF(ISBLANK('original data'!D179),0,'original data'!D179),0)</f>
        <v>0</v>
      </c>
      <c r="E179" s="3" t="s">
        <v>64</v>
      </c>
      <c r="F179" s="3" t="s">
        <v>65</v>
      </c>
      <c r="G179" s="3" t="s">
        <v>15</v>
      </c>
      <c r="H179" t="str">
        <f t="shared" si="4"/>
        <v>April</v>
      </c>
      <c r="I179">
        <f t="shared" si="5"/>
        <v>17</v>
      </c>
    </row>
    <row r="180" spans="1:9" x14ac:dyDescent="0.25">
      <c r="A180" s="2">
        <v>45408</v>
      </c>
      <c r="B180" s="5" t="s">
        <v>30</v>
      </c>
      <c r="C180">
        <f>ROUND(IF(ISBLANK('original data'!C180),0,'original data'!C180),0)</f>
        <v>1584</v>
      </c>
      <c r="D180">
        <f>ROUND(IF(ISBLANK('original data'!D180),0,'original data'!D180),0)</f>
        <v>0</v>
      </c>
      <c r="E180" s="3" t="s">
        <v>67</v>
      </c>
      <c r="F180" s="3" t="s">
        <v>23</v>
      </c>
      <c r="G180" s="3" t="s">
        <v>15</v>
      </c>
      <c r="H180" t="str">
        <f t="shared" si="4"/>
        <v>April</v>
      </c>
      <c r="I180">
        <f t="shared" si="5"/>
        <v>17</v>
      </c>
    </row>
    <row r="181" spans="1:9" x14ac:dyDescent="0.25">
      <c r="A181" s="2">
        <v>45408</v>
      </c>
      <c r="B181" s="5" t="s">
        <v>11</v>
      </c>
      <c r="C181">
        <f>ROUND(IF(ISBLANK('original data'!C181),0,'original data'!C181),0)</f>
        <v>120</v>
      </c>
      <c r="D181">
        <f>ROUND(IF(ISBLANK('original data'!D181),0,'original data'!D181),0)</f>
        <v>0</v>
      </c>
      <c r="E181" s="3" t="s">
        <v>13</v>
      </c>
      <c r="F181" s="3" t="s">
        <v>14</v>
      </c>
      <c r="G181" s="3" t="s">
        <v>15</v>
      </c>
      <c r="H181" t="str">
        <f t="shared" si="4"/>
        <v>April</v>
      </c>
      <c r="I181">
        <f t="shared" si="5"/>
        <v>17</v>
      </c>
    </row>
    <row r="182" spans="1:9" x14ac:dyDescent="0.25">
      <c r="A182" s="2">
        <v>45409</v>
      </c>
      <c r="B182" s="5" t="s">
        <v>11</v>
      </c>
      <c r="C182">
        <f>ROUND(IF(ISBLANK('original data'!C182),0,'original data'!C182),0)</f>
        <v>120</v>
      </c>
      <c r="D182">
        <f>ROUND(IF(ISBLANK('original data'!D182),0,'original data'!D182),0)</f>
        <v>0</v>
      </c>
      <c r="E182" s="3" t="s">
        <v>13</v>
      </c>
      <c r="F182" s="3" t="s">
        <v>14</v>
      </c>
      <c r="G182" s="3" t="s">
        <v>15</v>
      </c>
      <c r="H182" t="str">
        <f t="shared" si="4"/>
        <v>April</v>
      </c>
      <c r="I182">
        <f t="shared" si="5"/>
        <v>17</v>
      </c>
    </row>
    <row r="183" spans="1:9" x14ac:dyDescent="0.25">
      <c r="A183" s="2">
        <v>45410</v>
      </c>
      <c r="B183" s="5" t="s">
        <v>11</v>
      </c>
      <c r="C183">
        <f>ROUND(IF(ISBLANK('original data'!C183),0,'original data'!C183),0)</f>
        <v>120</v>
      </c>
      <c r="D183">
        <f>ROUND(IF(ISBLANK('original data'!D183),0,'original data'!D183),0)</f>
        <v>0</v>
      </c>
      <c r="E183" s="3" t="s">
        <v>13</v>
      </c>
      <c r="F183" s="3" t="s">
        <v>14</v>
      </c>
      <c r="G183" s="3" t="s">
        <v>15</v>
      </c>
      <c r="H183" t="str">
        <f t="shared" si="4"/>
        <v>April</v>
      </c>
      <c r="I183">
        <f t="shared" si="5"/>
        <v>18</v>
      </c>
    </row>
    <row r="184" spans="1:9" x14ac:dyDescent="0.25">
      <c r="A184" s="2">
        <v>45411</v>
      </c>
      <c r="B184" s="5" t="s">
        <v>11</v>
      </c>
      <c r="C184">
        <f>ROUND(IF(ISBLANK('original data'!C184),0,'original data'!C184),0)</f>
        <v>120</v>
      </c>
      <c r="D184">
        <f>ROUND(IF(ISBLANK('original data'!D184),0,'original data'!D184),0)</f>
        <v>0</v>
      </c>
      <c r="E184" s="3" t="s">
        <v>13</v>
      </c>
      <c r="F184" s="3" t="s">
        <v>14</v>
      </c>
      <c r="G184" s="3" t="s">
        <v>15</v>
      </c>
      <c r="H184" t="str">
        <f t="shared" si="4"/>
        <v>April</v>
      </c>
      <c r="I184">
        <f t="shared" si="5"/>
        <v>18</v>
      </c>
    </row>
    <row r="185" spans="1:9" x14ac:dyDescent="0.25">
      <c r="A185" s="2">
        <v>45412</v>
      </c>
      <c r="B185" s="5" t="s">
        <v>11</v>
      </c>
      <c r="C185">
        <f>ROUND(IF(ISBLANK('original data'!C185),0,'original data'!C185),0)</f>
        <v>120</v>
      </c>
      <c r="D185">
        <f>ROUND(IF(ISBLANK('original data'!D185),0,'original data'!D185),0)</f>
        <v>0</v>
      </c>
      <c r="E185" s="3" t="s">
        <v>13</v>
      </c>
      <c r="F185" s="3" t="s">
        <v>14</v>
      </c>
      <c r="G185" s="3" t="s">
        <v>15</v>
      </c>
      <c r="H185" t="str">
        <f t="shared" si="4"/>
        <v>April</v>
      </c>
      <c r="I185">
        <f t="shared" si="5"/>
        <v>18</v>
      </c>
    </row>
    <row r="186" spans="1:9" x14ac:dyDescent="0.25">
      <c r="A186" s="2">
        <v>45412</v>
      </c>
      <c r="B186" s="5" t="s">
        <v>24</v>
      </c>
      <c r="C186">
        <f>ROUND(IF(ISBLANK('original data'!C186),0,'original data'!C186),0)</f>
        <v>3958</v>
      </c>
      <c r="D186">
        <f>ROUND(IF(ISBLANK('original data'!D186),0,'original data'!D186),0)</f>
        <v>0</v>
      </c>
      <c r="E186" s="3" t="s">
        <v>26</v>
      </c>
      <c r="F186" s="3" t="s">
        <v>19</v>
      </c>
      <c r="G186" s="3" t="s">
        <v>15</v>
      </c>
      <c r="H186" t="str">
        <f t="shared" si="4"/>
        <v>April</v>
      </c>
      <c r="I186">
        <f t="shared" si="5"/>
        <v>18</v>
      </c>
    </row>
    <row r="187" spans="1:9" x14ac:dyDescent="0.25">
      <c r="A187" s="2">
        <v>45413</v>
      </c>
      <c r="B187" s="5" t="s">
        <v>69</v>
      </c>
      <c r="C187">
        <f>ROUND(IF(ISBLANK('original data'!C187),0,'original data'!C187),0)</f>
        <v>3070</v>
      </c>
      <c r="D187">
        <f>ROUND(IF(ISBLANK('original data'!D187),0,'original data'!D187),0)</f>
        <v>0</v>
      </c>
      <c r="E187" s="3" t="s">
        <v>39</v>
      </c>
      <c r="F187" s="3" t="s">
        <v>36</v>
      </c>
      <c r="G187" s="3" t="s">
        <v>15</v>
      </c>
      <c r="H187" t="str">
        <f t="shared" si="4"/>
        <v>May</v>
      </c>
      <c r="I187">
        <f t="shared" si="5"/>
        <v>18</v>
      </c>
    </row>
    <row r="188" spans="1:9" x14ac:dyDescent="0.25">
      <c r="A188" s="2">
        <v>45413</v>
      </c>
      <c r="B188" s="5" t="s">
        <v>138</v>
      </c>
      <c r="C188">
        <f>ROUND(IF(ISBLANK('original data'!C188),0,'original data'!C188),0)</f>
        <v>7200</v>
      </c>
      <c r="D188">
        <f>ROUND(IF(ISBLANK('original data'!D188),0,'original data'!D188),0)</f>
        <v>0</v>
      </c>
      <c r="E188" s="3" t="s">
        <v>35</v>
      </c>
      <c r="F188" s="3" t="s">
        <v>36</v>
      </c>
      <c r="G188" s="3" t="s">
        <v>15</v>
      </c>
      <c r="H188" t="str">
        <f t="shared" si="4"/>
        <v>May</v>
      </c>
      <c r="I188">
        <f t="shared" si="5"/>
        <v>18</v>
      </c>
    </row>
    <row r="189" spans="1:9" x14ac:dyDescent="0.25">
      <c r="A189" s="2">
        <v>45414</v>
      </c>
      <c r="B189" s="5" t="s">
        <v>37</v>
      </c>
      <c r="C189">
        <f>ROUND(IF(ISBLANK('original data'!C189),0,'original data'!C189),0)</f>
        <v>3554</v>
      </c>
      <c r="D189">
        <f>ROUND(IF(ISBLANK('original data'!D189),0,'original data'!D189),0)</f>
        <v>0</v>
      </c>
      <c r="E189" s="3" t="s">
        <v>39</v>
      </c>
      <c r="F189" s="3" t="s">
        <v>36</v>
      </c>
      <c r="G189" s="3" t="s">
        <v>15</v>
      </c>
      <c r="H189" t="str">
        <f t="shared" si="4"/>
        <v>May</v>
      </c>
      <c r="I189">
        <f t="shared" si="5"/>
        <v>18</v>
      </c>
    </row>
    <row r="190" spans="1:9" x14ac:dyDescent="0.25">
      <c r="A190" s="2">
        <v>45414</v>
      </c>
      <c r="B190" s="5" t="s">
        <v>43</v>
      </c>
      <c r="C190">
        <f>ROUND(IF(ISBLANK('original data'!C190),0,'original data'!C190),0)</f>
        <v>626</v>
      </c>
      <c r="D190">
        <f>ROUND(IF(ISBLANK('original data'!D190),0,'original data'!D190),0)</f>
        <v>0</v>
      </c>
      <c r="E190" s="3" t="s">
        <v>45</v>
      </c>
      <c r="F190" s="3" t="s">
        <v>23</v>
      </c>
      <c r="G190" s="3" t="s">
        <v>15</v>
      </c>
      <c r="H190" t="str">
        <f t="shared" si="4"/>
        <v>May</v>
      </c>
      <c r="I190">
        <f t="shared" si="5"/>
        <v>18</v>
      </c>
    </row>
    <row r="191" spans="1:9" x14ac:dyDescent="0.25">
      <c r="A191" s="2">
        <v>45415</v>
      </c>
      <c r="B191" s="5" t="s">
        <v>121</v>
      </c>
      <c r="C191">
        <f>ROUND(IF(ISBLANK('original data'!C191),0,'original data'!C191),0)</f>
        <v>360</v>
      </c>
      <c r="D191">
        <f>ROUND(IF(ISBLANK('original data'!D191),0,'original data'!D191),0)</f>
        <v>0</v>
      </c>
      <c r="E191" s="3" t="s">
        <v>42</v>
      </c>
      <c r="F191" s="3" t="s">
        <v>14</v>
      </c>
      <c r="G191" s="3" t="s">
        <v>15</v>
      </c>
      <c r="H191" t="str">
        <f t="shared" si="4"/>
        <v>May</v>
      </c>
      <c r="I191">
        <f t="shared" si="5"/>
        <v>18</v>
      </c>
    </row>
    <row r="192" spans="1:9" x14ac:dyDescent="0.25">
      <c r="A192" s="2">
        <v>45415</v>
      </c>
      <c r="B192" s="5" t="s">
        <v>11</v>
      </c>
      <c r="C192">
        <f>ROUND(IF(ISBLANK('original data'!C192),0,'original data'!C192),0)</f>
        <v>120</v>
      </c>
      <c r="D192">
        <f>ROUND(IF(ISBLANK('original data'!D192),0,'original data'!D192),0)</f>
        <v>0</v>
      </c>
      <c r="E192" s="3" t="s">
        <v>13</v>
      </c>
      <c r="F192" s="3" t="s">
        <v>14</v>
      </c>
      <c r="G192" s="3" t="s">
        <v>15</v>
      </c>
      <c r="H192" t="str">
        <f t="shared" si="4"/>
        <v>May</v>
      </c>
      <c r="I192">
        <f t="shared" si="5"/>
        <v>18</v>
      </c>
    </row>
    <row r="193" spans="1:9" x14ac:dyDescent="0.25">
      <c r="A193" s="2">
        <v>45416</v>
      </c>
      <c r="B193" s="5" t="s">
        <v>11</v>
      </c>
      <c r="C193">
        <f>ROUND(IF(ISBLANK('original data'!C193),0,'original data'!C193),0)</f>
        <v>120</v>
      </c>
      <c r="D193">
        <f>ROUND(IF(ISBLANK('original data'!D193),0,'original data'!D193),0)</f>
        <v>0</v>
      </c>
      <c r="E193" s="3" t="s">
        <v>13</v>
      </c>
      <c r="F193" s="3" t="s">
        <v>14</v>
      </c>
      <c r="G193" s="3" t="s">
        <v>15</v>
      </c>
      <c r="H193" t="str">
        <f t="shared" si="4"/>
        <v>May</v>
      </c>
      <c r="I193">
        <f t="shared" si="5"/>
        <v>18</v>
      </c>
    </row>
    <row r="194" spans="1:9" x14ac:dyDescent="0.25">
      <c r="A194" s="2">
        <v>45418</v>
      </c>
      <c r="B194" s="5" t="s">
        <v>11</v>
      </c>
      <c r="C194">
        <f>ROUND(IF(ISBLANK('original data'!C194),0,'original data'!C194),0)</f>
        <v>120</v>
      </c>
      <c r="D194">
        <f>ROUND(IF(ISBLANK('original data'!D194),0,'original data'!D194),0)</f>
        <v>0</v>
      </c>
      <c r="E194" s="3" t="s">
        <v>13</v>
      </c>
      <c r="F194" s="3" t="s">
        <v>14</v>
      </c>
      <c r="G194" s="3" t="s">
        <v>15</v>
      </c>
      <c r="H194" t="str">
        <f t="shared" si="4"/>
        <v>May</v>
      </c>
      <c r="I194">
        <f t="shared" si="5"/>
        <v>19</v>
      </c>
    </row>
    <row r="195" spans="1:9" x14ac:dyDescent="0.25">
      <c r="A195" s="2">
        <v>45419</v>
      </c>
      <c r="B195" s="5" t="s">
        <v>7</v>
      </c>
      <c r="C195">
        <f>ROUND(IF(ISBLANK('original data'!C195),0,'original data'!C195),0)</f>
        <v>0</v>
      </c>
      <c r="D195">
        <f>ROUND(IF(ISBLANK('original data'!D195),0,'original data'!D195),0)</f>
        <v>120000</v>
      </c>
      <c r="E195" s="3" t="s">
        <v>75</v>
      </c>
      <c r="F195" s="3" t="s">
        <v>9</v>
      </c>
      <c r="G195" s="3" t="s">
        <v>10</v>
      </c>
      <c r="H195" t="str">
        <f t="shared" ref="H195:H258" si="6">TEXT(A195,"MMMM")</f>
        <v>May</v>
      </c>
      <c r="I195">
        <f t="shared" ref="I195:I258" si="7">WEEKNUM(A195)</f>
        <v>19</v>
      </c>
    </row>
    <row r="196" spans="1:9" x14ac:dyDescent="0.25">
      <c r="A196" s="2">
        <v>45419</v>
      </c>
      <c r="B196" s="5" t="s">
        <v>16</v>
      </c>
      <c r="C196">
        <f>ROUND(IF(ISBLANK('original data'!C196),0,'original data'!C196),0)</f>
        <v>21600</v>
      </c>
      <c r="D196">
        <f>ROUND(IF(ISBLANK('original data'!D196),0,'original data'!D196),0)</f>
        <v>0</v>
      </c>
      <c r="E196" s="3" t="s">
        <v>18</v>
      </c>
      <c r="F196" s="3" t="s">
        <v>19</v>
      </c>
      <c r="G196" s="3" t="s">
        <v>15</v>
      </c>
      <c r="H196" t="str">
        <f t="shared" si="6"/>
        <v>May</v>
      </c>
      <c r="I196">
        <f t="shared" si="7"/>
        <v>19</v>
      </c>
    </row>
    <row r="197" spans="1:9" x14ac:dyDescent="0.25">
      <c r="A197" s="2">
        <v>45419</v>
      </c>
      <c r="B197" s="5" t="s">
        <v>20</v>
      </c>
      <c r="C197">
        <f>ROUND(IF(ISBLANK('original data'!C197),0,'original data'!C197),0)</f>
        <v>3600</v>
      </c>
      <c r="D197">
        <f>ROUND(IF(ISBLANK('original data'!D197),0,'original data'!D197),0)</f>
        <v>0</v>
      </c>
      <c r="E197" s="3" t="s">
        <v>22</v>
      </c>
      <c r="F197" s="3" t="s">
        <v>23</v>
      </c>
      <c r="G197" s="3" t="s">
        <v>15</v>
      </c>
      <c r="H197" t="str">
        <f t="shared" si="6"/>
        <v>May</v>
      </c>
      <c r="I197">
        <f t="shared" si="7"/>
        <v>19</v>
      </c>
    </row>
    <row r="198" spans="1:9" x14ac:dyDescent="0.25">
      <c r="A198" s="2">
        <v>45419</v>
      </c>
      <c r="B198" s="5" t="s">
        <v>11</v>
      </c>
      <c r="C198">
        <f>ROUND(IF(ISBLANK('original data'!C198),0,'original data'!C198),0)</f>
        <v>120</v>
      </c>
      <c r="D198">
        <f>ROUND(IF(ISBLANK('original data'!D198),0,'original data'!D198),0)</f>
        <v>0</v>
      </c>
      <c r="E198" s="3" t="s">
        <v>13</v>
      </c>
      <c r="F198" s="3" t="s">
        <v>14</v>
      </c>
      <c r="G198" s="3" t="s">
        <v>15</v>
      </c>
      <c r="H198" t="str">
        <f t="shared" si="6"/>
        <v>May</v>
      </c>
      <c r="I198">
        <f t="shared" si="7"/>
        <v>19</v>
      </c>
    </row>
    <row r="199" spans="1:9" x14ac:dyDescent="0.25">
      <c r="A199" s="2">
        <v>45420</v>
      </c>
      <c r="B199" s="5" t="s">
        <v>11</v>
      </c>
      <c r="C199">
        <f>ROUND(IF(ISBLANK('original data'!C199),0,'original data'!C199),0)</f>
        <v>120</v>
      </c>
      <c r="D199">
        <f>ROUND(IF(ISBLANK('original data'!D199),0,'original data'!D199),0)</f>
        <v>0</v>
      </c>
      <c r="E199" s="3" t="s">
        <v>13</v>
      </c>
      <c r="F199" s="3" t="s">
        <v>14</v>
      </c>
      <c r="G199" s="3" t="s">
        <v>15</v>
      </c>
      <c r="H199" t="str">
        <f t="shared" si="6"/>
        <v>May</v>
      </c>
      <c r="I199">
        <f t="shared" si="7"/>
        <v>19</v>
      </c>
    </row>
    <row r="200" spans="1:9" x14ac:dyDescent="0.25">
      <c r="A200" s="2">
        <v>45421</v>
      </c>
      <c r="B200" s="5" t="s">
        <v>11</v>
      </c>
      <c r="C200">
        <f>ROUND(IF(ISBLANK('original data'!C200),0,'original data'!C200),0)</f>
        <v>120</v>
      </c>
      <c r="D200">
        <f>ROUND(IF(ISBLANK('original data'!D200),0,'original data'!D200),0)</f>
        <v>0</v>
      </c>
      <c r="E200" s="3" t="s">
        <v>13</v>
      </c>
      <c r="F200" s="3" t="s">
        <v>14</v>
      </c>
      <c r="G200" s="3" t="s">
        <v>15</v>
      </c>
      <c r="H200" t="str">
        <f t="shared" si="6"/>
        <v>May</v>
      </c>
      <c r="I200">
        <f t="shared" si="7"/>
        <v>19</v>
      </c>
    </row>
    <row r="201" spans="1:9" x14ac:dyDescent="0.25">
      <c r="A201" s="2">
        <v>45422</v>
      </c>
      <c r="B201" s="5" t="s">
        <v>11</v>
      </c>
      <c r="C201">
        <f>ROUND(IF(ISBLANK('original data'!C201),0,'original data'!C201),0)</f>
        <v>120</v>
      </c>
      <c r="D201">
        <f>ROUND(IF(ISBLANK('original data'!D201),0,'original data'!D201),0)</f>
        <v>0</v>
      </c>
      <c r="E201" s="3" t="s">
        <v>13</v>
      </c>
      <c r="F201" s="3" t="s">
        <v>14</v>
      </c>
      <c r="G201" s="3" t="s">
        <v>15</v>
      </c>
      <c r="H201" t="str">
        <f t="shared" si="6"/>
        <v>May</v>
      </c>
      <c r="I201">
        <f t="shared" si="7"/>
        <v>19</v>
      </c>
    </row>
    <row r="202" spans="1:9" x14ac:dyDescent="0.25">
      <c r="A202" s="2">
        <v>45422</v>
      </c>
      <c r="B202" s="5" t="s">
        <v>24</v>
      </c>
      <c r="C202">
        <f>ROUND(IF(ISBLANK('original data'!C202),0,'original data'!C202),0)</f>
        <v>4080</v>
      </c>
      <c r="D202">
        <f>ROUND(IF(ISBLANK('original data'!D202),0,'original data'!D202),0)</f>
        <v>0</v>
      </c>
      <c r="E202" s="3" t="s">
        <v>26</v>
      </c>
      <c r="F202" s="3" t="s">
        <v>19</v>
      </c>
      <c r="G202" s="3" t="s">
        <v>15</v>
      </c>
      <c r="H202" t="str">
        <f t="shared" si="6"/>
        <v>May</v>
      </c>
      <c r="I202">
        <f t="shared" si="7"/>
        <v>19</v>
      </c>
    </row>
    <row r="203" spans="1:9" x14ac:dyDescent="0.25">
      <c r="A203" s="2">
        <v>45425</v>
      </c>
      <c r="B203" s="5" t="s">
        <v>27</v>
      </c>
      <c r="C203">
        <f>ROUND(IF(ISBLANK('original data'!C203),0,'original data'!C203),0)</f>
        <v>1298</v>
      </c>
      <c r="D203">
        <f>ROUND(IF(ISBLANK('original data'!D203),0,'original data'!D203),0)</f>
        <v>0</v>
      </c>
      <c r="E203" s="3" t="s">
        <v>29</v>
      </c>
      <c r="F203" s="3" t="s">
        <v>19</v>
      </c>
      <c r="G203" s="3" t="s">
        <v>15</v>
      </c>
      <c r="H203" t="str">
        <f t="shared" si="6"/>
        <v>May</v>
      </c>
      <c r="I203">
        <f t="shared" si="7"/>
        <v>20</v>
      </c>
    </row>
    <row r="204" spans="1:9" x14ac:dyDescent="0.25">
      <c r="A204" s="2">
        <v>45425</v>
      </c>
      <c r="B204" s="5" t="s">
        <v>11</v>
      </c>
      <c r="C204">
        <f>ROUND(IF(ISBLANK('original data'!C204),0,'original data'!C204),0)</f>
        <v>120</v>
      </c>
      <c r="D204">
        <f>ROUND(IF(ISBLANK('original data'!D204),0,'original data'!D204),0)</f>
        <v>0</v>
      </c>
      <c r="E204" s="3" t="s">
        <v>13</v>
      </c>
      <c r="F204" s="3" t="s">
        <v>14</v>
      </c>
      <c r="G204" s="3" t="s">
        <v>15</v>
      </c>
      <c r="H204" t="str">
        <f t="shared" si="6"/>
        <v>May</v>
      </c>
      <c r="I204">
        <f t="shared" si="7"/>
        <v>20</v>
      </c>
    </row>
    <row r="205" spans="1:9" x14ac:dyDescent="0.25">
      <c r="A205" s="2">
        <v>45426</v>
      </c>
      <c r="B205" s="5" t="s">
        <v>11</v>
      </c>
      <c r="C205">
        <f>ROUND(IF(ISBLANK('original data'!C205),0,'original data'!C205),0)</f>
        <v>120</v>
      </c>
      <c r="D205">
        <f>ROUND(IF(ISBLANK('original data'!D205),0,'original data'!D205),0)</f>
        <v>0</v>
      </c>
      <c r="E205" s="3" t="s">
        <v>13</v>
      </c>
      <c r="F205" s="3" t="s">
        <v>14</v>
      </c>
      <c r="G205" s="3" t="s">
        <v>15</v>
      </c>
      <c r="H205" t="str">
        <f t="shared" si="6"/>
        <v>May</v>
      </c>
      <c r="I205">
        <f t="shared" si="7"/>
        <v>20</v>
      </c>
    </row>
    <row r="206" spans="1:9" x14ac:dyDescent="0.25">
      <c r="A206" s="2">
        <v>45427</v>
      </c>
      <c r="B206" s="5" t="s">
        <v>30</v>
      </c>
      <c r="C206">
        <f>ROUND(IF(ISBLANK('original data'!C206),0,'original data'!C206),0)</f>
        <v>1944</v>
      </c>
      <c r="D206">
        <f>ROUND(IF(ISBLANK('original data'!D206),0,'original data'!D206),0)</f>
        <v>0</v>
      </c>
      <c r="E206" s="3" t="s">
        <v>67</v>
      </c>
      <c r="F206" s="3" t="s">
        <v>23</v>
      </c>
      <c r="G206" s="3" t="s">
        <v>15</v>
      </c>
      <c r="H206" t="str">
        <f t="shared" si="6"/>
        <v>May</v>
      </c>
      <c r="I206">
        <f t="shared" si="7"/>
        <v>20</v>
      </c>
    </row>
    <row r="207" spans="1:9" x14ac:dyDescent="0.25">
      <c r="A207" s="2">
        <v>45427</v>
      </c>
      <c r="B207" s="5" t="s">
        <v>11</v>
      </c>
      <c r="C207">
        <f>ROUND(IF(ISBLANK('original data'!C207),0,'original data'!C207),0)</f>
        <v>120</v>
      </c>
      <c r="D207">
        <f>ROUND(IF(ISBLANK('original data'!D207),0,'original data'!D207),0)</f>
        <v>0</v>
      </c>
      <c r="E207" s="3" t="s">
        <v>13</v>
      </c>
      <c r="F207" s="3" t="s">
        <v>14</v>
      </c>
      <c r="G207" s="3" t="s">
        <v>15</v>
      </c>
      <c r="H207" t="str">
        <f t="shared" si="6"/>
        <v>May</v>
      </c>
      <c r="I207">
        <f t="shared" si="7"/>
        <v>20</v>
      </c>
    </row>
    <row r="208" spans="1:9" x14ac:dyDescent="0.25">
      <c r="A208" s="2">
        <v>45428</v>
      </c>
      <c r="B208" s="5" t="s">
        <v>11</v>
      </c>
      <c r="C208">
        <f>ROUND(IF(ISBLANK('original data'!C208),0,'original data'!C208),0)</f>
        <v>120</v>
      </c>
      <c r="D208">
        <f>ROUND(IF(ISBLANK('original data'!D208),0,'original data'!D208),0)</f>
        <v>0</v>
      </c>
      <c r="E208" s="3" t="s">
        <v>13</v>
      </c>
      <c r="F208" s="3" t="s">
        <v>14</v>
      </c>
      <c r="G208" s="3" t="s">
        <v>15</v>
      </c>
      <c r="H208" t="str">
        <f t="shared" si="6"/>
        <v>May</v>
      </c>
      <c r="I208">
        <f t="shared" si="7"/>
        <v>20</v>
      </c>
    </row>
    <row r="209" spans="1:9" x14ac:dyDescent="0.25">
      <c r="A209" s="2">
        <v>45429</v>
      </c>
      <c r="B209" s="5" t="s">
        <v>24</v>
      </c>
      <c r="C209">
        <f>ROUND(IF(ISBLANK('original data'!C209),0,'original data'!C209),0)</f>
        <v>3338</v>
      </c>
      <c r="D209">
        <f>ROUND(IF(ISBLANK('original data'!D209),0,'original data'!D209),0)</f>
        <v>0</v>
      </c>
      <c r="E209" s="3" t="s">
        <v>26</v>
      </c>
      <c r="F209" s="3" t="s">
        <v>19</v>
      </c>
      <c r="G209" s="3" t="s">
        <v>15</v>
      </c>
      <c r="H209" t="str">
        <f t="shared" si="6"/>
        <v>May</v>
      </c>
      <c r="I209">
        <f t="shared" si="7"/>
        <v>20</v>
      </c>
    </row>
    <row r="210" spans="1:9" x14ac:dyDescent="0.25">
      <c r="A210" s="2">
        <v>45429</v>
      </c>
      <c r="B210" s="5" t="s">
        <v>11</v>
      </c>
      <c r="C210">
        <f>ROUND(IF(ISBLANK('original data'!C210),0,'original data'!C210),0)</f>
        <v>120</v>
      </c>
      <c r="D210">
        <f>ROUND(IF(ISBLANK('original data'!D210),0,'original data'!D210),0)</f>
        <v>0</v>
      </c>
      <c r="E210" s="3" t="s">
        <v>13</v>
      </c>
      <c r="F210" s="3" t="s">
        <v>14</v>
      </c>
      <c r="G210" s="3" t="s">
        <v>15</v>
      </c>
      <c r="H210" t="str">
        <f t="shared" si="6"/>
        <v>May</v>
      </c>
      <c r="I210">
        <f t="shared" si="7"/>
        <v>20</v>
      </c>
    </row>
    <row r="211" spans="1:9" x14ac:dyDescent="0.25">
      <c r="A211" s="2">
        <v>45430</v>
      </c>
      <c r="B211" s="5" t="s">
        <v>11</v>
      </c>
      <c r="C211">
        <f>ROUND(IF(ISBLANK('original data'!C211),0,'original data'!C211),0)</f>
        <v>120</v>
      </c>
      <c r="D211">
        <f>ROUND(IF(ISBLANK('original data'!D211),0,'original data'!D211),0)</f>
        <v>0</v>
      </c>
      <c r="E211" s="3" t="s">
        <v>13</v>
      </c>
      <c r="F211" s="3" t="s">
        <v>14</v>
      </c>
      <c r="G211" s="3" t="s">
        <v>15</v>
      </c>
      <c r="H211" t="str">
        <f t="shared" si="6"/>
        <v>May</v>
      </c>
      <c r="I211">
        <f t="shared" si="7"/>
        <v>20</v>
      </c>
    </row>
    <row r="212" spans="1:9" x14ac:dyDescent="0.25">
      <c r="A212" s="2">
        <v>45430</v>
      </c>
      <c r="B212" s="5" t="s">
        <v>33</v>
      </c>
      <c r="C212">
        <f>ROUND(IF(ISBLANK('original data'!C212),0,'original data'!C212),0)</f>
        <v>1054</v>
      </c>
      <c r="D212">
        <f>ROUND(IF(ISBLANK('original data'!D212),0,'original data'!D212),0)</f>
        <v>0</v>
      </c>
      <c r="E212" s="3" t="s">
        <v>35</v>
      </c>
      <c r="F212" s="3" t="s">
        <v>36</v>
      </c>
      <c r="G212" s="3" t="s">
        <v>15</v>
      </c>
      <c r="H212" t="str">
        <f t="shared" si="6"/>
        <v>May</v>
      </c>
      <c r="I212">
        <f t="shared" si="7"/>
        <v>20</v>
      </c>
    </row>
    <row r="213" spans="1:9" x14ac:dyDescent="0.25">
      <c r="A213" s="2">
        <v>45430</v>
      </c>
      <c r="B213" s="5" t="s">
        <v>81</v>
      </c>
      <c r="C213">
        <f>ROUND(IF(ISBLANK('original data'!C213),0,'original data'!C213),0)</f>
        <v>2443</v>
      </c>
      <c r="D213">
        <f>ROUND(IF(ISBLANK('original data'!D213),0,'original data'!D213),0)</f>
        <v>0</v>
      </c>
      <c r="E213" s="3" t="s">
        <v>39</v>
      </c>
      <c r="F213" s="3" t="s">
        <v>36</v>
      </c>
      <c r="G213" s="3" t="s">
        <v>15</v>
      </c>
      <c r="H213" t="str">
        <f t="shared" si="6"/>
        <v>May</v>
      </c>
      <c r="I213">
        <f t="shared" si="7"/>
        <v>20</v>
      </c>
    </row>
    <row r="214" spans="1:9" x14ac:dyDescent="0.25">
      <c r="A214" s="2">
        <v>45430</v>
      </c>
      <c r="B214" s="5" t="s">
        <v>40</v>
      </c>
      <c r="C214">
        <f>ROUND(IF(ISBLANK('original data'!C214),0,'original data'!C214),0)</f>
        <v>1342</v>
      </c>
      <c r="D214">
        <f>ROUND(IF(ISBLANK('original data'!D214),0,'original data'!D214),0)</f>
        <v>0</v>
      </c>
      <c r="E214" s="3" t="s">
        <v>42</v>
      </c>
      <c r="F214" s="3" t="s">
        <v>14</v>
      </c>
      <c r="G214" s="3" t="s">
        <v>15</v>
      </c>
      <c r="H214" t="str">
        <f t="shared" si="6"/>
        <v>May</v>
      </c>
      <c r="I214">
        <f t="shared" si="7"/>
        <v>20</v>
      </c>
    </row>
    <row r="215" spans="1:9" x14ac:dyDescent="0.25">
      <c r="A215" s="2">
        <v>45431</v>
      </c>
      <c r="B215" s="5" t="s">
        <v>43</v>
      </c>
      <c r="C215">
        <f>ROUND(IF(ISBLANK('original data'!C215),0,'original data'!C215),0)</f>
        <v>768</v>
      </c>
      <c r="D215">
        <f>ROUND(IF(ISBLANK('original data'!D215),0,'original data'!D215),0)</f>
        <v>0</v>
      </c>
      <c r="E215" s="3" t="s">
        <v>45</v>
      </c>
      <c r="F215" s="3" t="s">
        <v>23</v>
      </c>
      <c r="G215" s="3" t="s">
        <v>15</v>
      </c>
      <c r="H215" t="str">
        <f t="shared" si="6"/>
        <v>May</v>
      </c>
      <c r="I215">
        <f t="shared" si="7"/>
        <v>21</v>
      </c>
    </row>
    <row r="216" spans="1:9" x14ac:dyDescent="0.25">
      <c r="A216" s="2">
        <v>45432</v>
      </c>
      <c r="B216" s="5" t="s">
        <v>46</v>
      </c>
      <c r="C216">
        <f>ROUND(IF(ISBLANK('original data'!C216),0,'original data'!C216),0)</f>
        <v>0</v>
      </c>
      <c r="D216">
        <f>ROUND(IF(ISBLANK('original data'!D216),0,'original data'!D216),0)</f>
        <v>24000</v>
      </c>
      <c r="E216" s="3" t="s">
        <v>48</v>
      </c>
      <c r="F216" s="3" t="s">
        <v>49</v>
      </c>
      <c r="G216" s="3" t="s">
        <v>10</v>
      </c>
      <c r="H216" t="str">
        <f t="shared" si="6"/>
        <v>May</v>
      </c>
      <c r="I216">
        <f t="shared" si="7"/>
        <v>21</v>
      </c>
    </row>
    <row r="217" spans="1:9" x14ac:dyDescent="0.25">
      <c r="A217" s="2">
        <v>45432</v>
      </c>
      <c r="B217" s="5" t="s">
        <v>11</v>
      </c>
      <c r="C217">
        <f>ROUND(IF(ISBLANK('original data'!C217),0,'original data'!C217),0)</f>
        <v>120</v>
      </c>
      <c r="D217">
        <f>ROUND(IF(ISBLANK('original data'!D217),0,'original data'!D217),0)</f>
        <v>0</v>
      </c>
      <c r="E217" s="3" t="s">
        <v>13</v>
      </c>
      <c r="F217" s="3" t="s">
        <v>14</v>
      </c>
      <c r="G217" s="3" t="s">
        <v>15</v>
      </c>
      <c r="H217" t="str">
        <f t="shared" si="6"/>
        <v>May</v>
      </c>
      <c r="I217">
        <f t="shared" si="7"/>
        <v>21</v>
      </c>
    </row>
    <row r="218" spans="1:9" x14ac:dyDescent="0.25">
      <c r="A218" s="2">
        <v>45433</v>
      </c>
      <c r="B218" s="5" t="s">
        <v>11</v>
      </c>
      <c r="C218">
        <f>ROUND(IF(ISBLANK('original data'!C218),0,'original data'!C218),0)</f>
        <v>120</v>
      </c>
      <c r="D218">
        <f>ROUND(IF(ISBLANK('original data'!D218),0,'original data'!D218),0)</f>
        <v>0</v>
      </c>
      <c r="E218" s="3" t="s">
        <v>13</v>
      </c>
      <c r="F218" s="3" t="s">
        <v>14</v>
      </c>
      <c r="G218" s="3" t="s">
        <v>15</v>
      </c>
      <c r="H218" t="str">
        <f t="shared" si="6"/>
        <v>May</v>
      </c>
      <c r="I218">
        <f t="shared" si="7"/>
        <v>21</v>
      </c>
    </row>
    <row r="219" spans="1:9" x14ac:dyDescent="0.25">
      <c r="A219" s="2">
        <v>45433</v>
      </c>
      <c r="B219" s="5" t="s">
        <v>106</v>
      </c>
      <c r="C219">
        <f>ROUND(IF(ISBLANK('original data'!C219),0,'original data'!C219),0)</f>
        <v>1800</v>
      </c>
      <c r="D219">
        <f>ROUND(IF(ISBLANK('original data'!D219),0,'original data'!D219),0)</f>
        <v>0</v>
      </c>
      <c r="E219" s="3" t="s">
        <v>108</v>
      </c>
      <c r="F219" s="3" t="s">
        <v>109</v>
      </c>
      <c r="G219" s="3" t="s">
        <v>15</v>
      </c>
      <c r="H219" t="str">
        <f t="shared" si="6"/>
        <v>May</v>
      </c>
      <c r="I219">
        <f t="shared" si="7"/>
        <v>21</v>
      </c>
    </row>
    <row r="220" spans="1:9" x14ac:dyDescent="0.25">
      <c r="A220" s="2">
        <v>45433</v>
      </c>
      <c r="B220" s="5" t="s">
        <v>51</v>
      </c>
      <c r="C220">
        <f>ROUND(IF(ISBLANK('original data'!C220),0,'original data'!C220),0)</f>
        <v>960</v>
      </c>
      <c r="D220">
        <f>ROUND(IF(ISBLANK('original data'!D220),0,'original data'!D220),0)</f>
        <v>0</v>
      </c>
      <c r="E220" s="3" t="s">
        <v>51</v>
      </c>
      <c r="F220" s="3" t="s">
        <v>19</v>
      </c>
      <c r="G220" s="3" t="s">
        <v>15</v>
      </c>
      <c r="H220" t="str">
        <f t="shared" si="6"/>
        <v>May</v>
      </c>
      <c r="I220">
        <f t="shared" si="7"/>
        <v>21</v>
      </c>
    </row>
    <row r="221" spans="1:9" x14ac:dyDescent="0.25">
      <c r="A221" s="2">
        <v>45434</v>
      </c>
      <c r="B221" s="5" t="s">
        <v>52</v>
      </c>
      <c r="C221">
        <f>ROUND(IF(ISBLANK('original data'!C221),0,'original data'!C221),0)</f>
        <v>1176</v>
      </c>
      <c r="D221">
        <f>ROUND(IF(ISBLANK('original data'!D221),0,'original data'!D221),0)</f>
        <v>0</v>
      </c>
      <c r="E221" s="3" t="s">
        <v>54</v>
      </c>
      <c r="F221" s="3" t="s">
        <v>36</v>
      </c>
      <c r="G221" s="3" t="s">
        <v>15</v>
      </c>
      <c r="H221" t="str">
        <f t="shared" si="6"/>
        <v>May</v>
      </c>
      <c r="I221">
        <f t="shared" si="7"/>
        <v>21</v>
      </c>
    </row>
    <row r="222" spans="1:9" x14ac:dyDescent="0.25">
      <c r="A222" s="2">
        <v>45434</v>
      </c>
      <c r="B222" s="5" t="s">
        <v>55</v>
      </c>
      <c r="C222">
        <f>ROUND(IF(ISBLANK('original data'!C222),0,'original data'!C222),0)</f>
        <v>840</v>
      </c>
      <c r="D222">
        <f>ROUND(IF(ISBLANK('original data'!D222),0,'original data'!D222),0)</f>
        <v>0</v>
      </c>
      <c r="E222" s="3" t="s">
        <v>35</v>
      </c>
      <c r="F222" s="3" t="s">
        <v>36</v>
      </c>
      <c r="G222" s="3" t="s">
        <v>15</v>
      </c>
      <c r="H222" t="str">
        <f t="shared" si="6"/>
        <v>May</v>
      </c>
      <c r="I222">
        <f t="shared" si="7"/>
        <v>21</v>
      </c>
    </row>
    <row r="223" spans="1:9" x14ac:dyDescent="0.25">
      <c r="A223" s="2">
        <v>45434</v>
      </c>
      <c r="B223" s="5" t="s">
        <v>11</v>
      </c>
      <c r="C223">
        <f>ROUND(IF(ISBLANK('original data'!C223),0,'original data'!C223),0)</f>
        <v>120</v>
      </c>
      <c r="D223">
        <f>ROUND(IF(ISBLANK('original data'!D223),0,'original data'!D223),0)</f>
        <v>0</v>
      </c>
      <c r="E223" s="3" t="s">
        <v>13</v>
      </c>
      <c r="F223" s="3" t="s">
        <v>14</v>
      </c>
      <c r="G223" s="3" t="s">
        <v>15</v>
      </c>
      <c r="H223" t="str">
        <f t="shared" si="6"/>
        <v>May</v>
      </c>
      <c r="I223">
        <f t="shared" si="7"/>
        <v>21</v>
      </c>
    </row>
    <row r="224" spans="1:9" x14ac:dyDescent="0.25">
      <c r="A224" s="2">
        <v>45435</v>
      </c>
      <c r="B224" s="5" t="s">
        <v>11</v>
      </c>
      <c r="C224">
        <f>ROUND(IF(ISBLANK('original data'!C224),0,'original data'!C224),0)</f>
        <v>120</v>
      </c>
      <c r="D224">
        <f>ROUND(IF(ISBLANK('original data'!D224),0,'original data'!D224),0)</f>
        <v>0</v>
      </c>
      <c r="E224" s="3" t="s">
        <v>13</v>
      </c>
      <c r="F224" s="3" t="s">
        <v>14</v>
      </c>
      <c r="G224" s="3" t="s">
        <v>15</v>
      </c>
      <c r="H224" t="str">
        <f t="shared" si="6"/>
        <v>May</v>
      </c>
      <c r="I224">
        <f t="shared" si="7"/>
        <v>21</v>
      </c>
    </row>
    <row r="225" spans="1:9" x14ac:dyDescent="0.25">
      <c r="A225" s="2">
        <v>45436</v>
      </c>
      <c r="B225" s="5" t="s">
        <v>11</v>
      </c>
      <c r="C225">
        <f>ROUND(IF(ISBLANK('original data'!C225),0,'original data'!C225),0)</f>
        <v>120</v>
      </c>
      <c r="D225">
        <f>ROUND(IF(ISBLANK('original data'!D225),0,'original data'!D225),0)</f>
        <v>0</v>
      </c>
      <c r="E225" s="3" t="s">
        <v>13</v>
      </c>
      <c r="F225" s="3" t="s">
        <v>14</v>
      </c>
      <c r="G225" s="3" t="s">
        <v>15</v>
      </c>
      <c r="H225" t="str">
        <f t="shared" si="6"/>
        <v>May</v>
      </c>
      <c r="I225">
        <f t="shared" si="7"/>
        <v>21</v>
      </c>
    </row>
    <row r="226" spans="1:9" x14ac:dyDescent="0.25">
      <c r="A226" s="2">
        <v>45436</v>
      </c>
      <c r="B226" s="5" t="s">
        <v>24</v>
      </c>
      <c r="C226">
        <f>ROUND(IF(ISBLANK('original data'!C226),0,'original data'!C226),0)</f>
        <v>4176</v>
      </c>
      <c r="D226">
        <f>ROUND(IF(ISBLANK('original data'!D226),0,'original data'!D226),0)</f>
        <v>0</v>
      </c>
      <c r="E226" s="3" t="s">
        <v>26</v>
      </c>
      <c r="F226" s="3" t="s">
        <v>19</v>
      </c>
      <c r="G226" s="3" t="s">
        <v>15</v>
      </c>
      <c r="H226" t="str">
        <f t="shared" si="6"/>
        <v>May</v>
      </c>
      <c r="I226">
        <f t="shared" si="7"/>
        <v>21</v>
      </c>
    </row>
    <row r="227" spans="1:9" x14ac:dyDescent="0.25">
      <c r="A227" s="2">
        <v>45437</v>
      </c>
      <c r="B227" s="5" t="s">
        <v>58</v>
      </c>
      <c r="C227">
        <f>ROUND(IF(ISBLANK('original data'!C227),0,'original data'!C227),0)</f>
        <v>986</v>
      </c>
      <c r="D227">
        <f>ROUND(IF(ISBLANK('original data'!D227),0,'original data'!D227),0)</f>
        <v>0</v>
      </c>
      <c r="E227" s="3" t="s">
        <v>42</v>
      </c>
      <c r="F227" s="3" t="s">
        <v>14</v>
      </c>
      <c r="G227" s="3" t="s">
        <v>15</v>
      </c>
      <c r="H227" t="str">
        <f t="shared" si="6"/>
        <v>May</v>
      </c>
      <c r="I227">
        <f t="shared" si="7"/>
        <v>21</v>
      </c>
    </row>
    <row r="228" spans="1:9" x14ac:dyDescent="0.25">
      <c r="A228" s="2">
        <v>45438</v>
      </c>
      <c r="B228" s="5" t="s">
        <v>60</v>
      </c>
      <c r="C228">
        <f>ROUND(IF(ISBLANK('original data'!C228),0,'original data'!C228),0)</f>
        <v>389</v>
      </c>
      <c r="D228">
        <f>ROUND(IF(ISBLANK('original data'!D228),0,'original data'!D228),0)</f>
        <v>0</v>
      </c>
      <c r="E228" s="3" t="s">
        <v>42</v>
      </c>
      <c r="F228" s="3" t="s">
        <v>14</v>
      </c>
      <c r="G228" s="3" t="s">
        <v>15</v>
      </c>
      <c r="H228" t="str">
        <f t="shared" si="6"/>
        <v>May</v>
      </c>
      <c r="I228">
        <f t="shared" si="7"/>
        <v>22</v>
      </c>
    </row>
    <row r="229" spans="1:9" x14ac:dyDescent="0.25">
      <c r="A229" s="2">
        <v>45439</v>
      </c>
      <c r="B229" s="5" t="s">
        <v>62</v>
      </c>
      <c r="C229">
        <f>ROUND(IF(ISBLANK('original data'!C229),0,'original data'!C229),0)</f>
        <v>1320</v>
      </c>
      <c r="D229">
        <f>ROUND(IF(ISBLANK('original data'!D229),0,'original data'!D229),0)</f>
        <v>0</v>
      </c>
      <c r="E229" s="3" t="s">
        <v>64</v>
      </c>
      <c r="F229" s="3" t="s">
        <v>65</v>
      </c>
      <c r="G229" s="3" t="s">
        <v>15</v>
      </c>
      <c r="H229" t="str">
        <f t="shared" si="6"/>
        <v>May</v>
      </c>
      <c r="I229">
        <f t="shared" si="7"/>
        <v>22</v>
      </c>
    </row>
    <row r="230" spans="1:9" x14ac:dyDescent="0.25">
      <c r="A230" s="2">
        <v>45439</v>
      </c>
      <c r="B230" s="5" t="s">
        <v>30</v>
      </c>
      <c r="C230">
        <f>ROUND(IF(ISBLANK('original data'!C230),0,'original data'!C230),0)</f>
        <v>1608</v>
      </c>
      <c r="D230">
        <f>ROUND(IF(ISBLANK('original data'!D230),0,'original data'!D230),0)</f>
        <v>0</v>
      </c>
      <c r="E230" s="3" t="s">
        <v>67</v>
      </c>
      <c r="F230" s="3" t="s">
        <v>23</v>
      </c>
      <c r="G230" s="3" t="s">
        <v>15</v>
      </c>
      <c r="H230" t="str">
        <f t="shared" si="6"/>
        <v>May</v>
      </c>
      <c r="I230">
        <f t="shared" si="7"/>
        <v>22</v>
      </c>
    </row>
    <row r="231" spans="1:9" x14ac:dyDescent="0.25">
      <c r="A231" s="2">
        <v>45439</v>
      </c>
      <c r="B231" s="5" t="s">
        <v>11</v>
      </c>
      <c r="C231">
        <f>ROUND(IF(ISBLANK('original data'!C231),0,'original data'!C231),0)</f>
        <v>120</v>
      </c>
      <c r="D231">
        <f>ROUND(IF(ISBLANK('original data'!D231),0,'original data'!D231),0)</f>
        <v>0</v>
      </c>
      <c r="E231" s="3" t="s">
        <v>13</v>
      </c>
      <c r="F231" s="3" t="s">
        <v>14</v>
      </c>
      <c r="G231" s="3" t="s">
        <v>15</v>
      </c>
      <c r="H231" t="str">
        <f t="shared" si="6"/>
        <v>May</v>
      </c>
      <c r="I231">
        <f t="shared" si="7"/>
        <v>22</v>
      </c>
    </row>
    <row r="232" spans="1:9" x14ac:dyDescent="0.25">
      <c r="A232" s="2">
        <v>45440</v>
      </c>
      <c r="B232" s="5" t="s">
        <v>11</v>
      </c>
      <c r="C232">
        <f>ROUND(IF(ISBLANK('original data'!C232),0,'original data'!C232),0)</f>
        <v>120</v>
      </c>
      <c r="D232">
        <f>ROUND(IF(ISBLANK('original data'!D232),0,'original data'!D232),0)</f>
        <v>0</v>
      </c>
      <c r="E232" s="3" t="s">
        <v>13</v>
      </c>
      <c r="F232" s="3" t="s">
        <v>14</v>
      </c>
      <c r="G232" s="3" t="s">
        <v>15</v>
      </c>
      <c r="H232" t="str">
        <f t="shared" si="6"/>
        <v>May</v>
      </c>
      <c r="I232">
        <f t="shared" si="7"/>
        <v>22</v>
      </c>
    </row>
    <row r="233" spans="1:9" x14ac:dyDescent="0.25">
      <c r="A233" s="2">
        <v>45441</v>
      </c>
      <c r="B233" s="5" t="s">
        <v>11</v>
      </c>
      <c r="C233">
        <f>ROUND(IF(ISBLANK('original data'!C233),0,'original data'!C233),0)</f>
        <v>120</v>
      </c>
      <c r="D233">
        <f>ROUND(IF(ISBLANK('original data'!D233),0,'original data'!D233),0)</f>
        <v>0</v>
      </c>
      <c r="E233" s="3" t="s">
        <v>13</v>
      </c>
      <c r="F233" s="3" t="s">
        <v>14</v>
      </c>
      <c r="G233" s="3" t="s">
        <v>15</v>
      </c>
      <c r="H233" t="str">
        <f t="shared" si="6"/>
        <v>May</v>
      </c>
      <c r="I233">
        <f t="shared" si="7"/>
        <v>22</v>
      </c>
    </row>
    <row r="234" spans="1:9" x14ac:dyDescent="0.25">
      <c r="A234" s="2">
        <v>45442</v>
      </c>
      <c r="B234" s="5" t="s">
        <v>11</v>
      </c>
      <c r="C234">
        <f>ROUND(IF(ISBLANK('original data'!C234),0,'original data'!C234),0)</f>
        <v>120</v>
      </c>
      <c r="D234">
        <f>ROUND(IF(ISBLANK('original data'!D234),0,'original data'!D234),0)</f>
        <v>0</v>
      </c>
      <c r="E234" s="3" t="s">
        <v>13</v>
      </c>
      <c r="F234" s="3" t="s">
        <v>14</v>
      </c>
      <c r="G234" s="3" t="s">
        <v>15</v>
      </c>
      <c r="H234" t="str">
        <f t="shared" si="6"/>
        <v>May</v>
      </c>
      <c r="I234">
        <f t="shared" si="7"/>
        <v>22</v>
      </c>
    </row>
    <row r="235" spans="1:9" x14ac:dyDescent="0.25">
      <c r="A235" s="2">
        <v>45443</v>
      </c>
      <c r="B235" s="5" t="s">
        <v>11</v>
      </c>
      <c r="C235">
        <f>ROUND(IF(ISBLANK('original data'!C235),0,'original data'!C235),0)</f>
        <v>120</v>
      </c>
      <c r="D235">
        <f>ROUND(IF(ISBLANK('original data'!D235),0,'original data'!D235),0)</f>
        <v>0</v>
      </c>
      <c r="E235" s="3" t="s">
        <v>13</v>
      </c>
      <c r="F235" s="3" t="s">
        <v>14</v>
      </c>
      <c r="G235" s="3" t="s">
        <v>15</v>
      </c>
      <c r="H235" t="str">
        <f t="shared" si="6"/>
        <v>May</v>
      </c>
      <c r="I235">
        <f t="shared" si="7"/>
        <v>22</v>
      </c>
    </row>
    <row r="236" spans="1:9" x14ac:dyDescent="0.25">
      <c r="A236" s="2">
        <v>45443</v>
      </c>
      <c r="B236" s="5" t="s">
        <v>24</v>
      </c>
      <c r="C236">
        <f>ROUND(IF(ISBLANK('original data'!C236),0,'original data'!C236),0)</f>
        <v>3979</v>
      </c>
      <c r="D236">
        <f>ROUND(IF(ISBLANK('original data'!D236),0,'original data'!D236),0)</f>
        <v>0</v>
      </c>
      <c r="E236" s="3" t="s">
        <v>26</v>
      </c>
      <c r="F236" s="3" t="s">
        <v>19</v>
      </c>
      <c r="G236" s="3" t="s">
        <v>15</v>
      </c>
      <c r="H236" t="str">
        <f t="shared" si="6"/>
        <v>May</v>
      </c>
      <c r="I236">
        <f t="shared" si="7"/>
        <v>22</v>
      </c>
    </row>
    <row r="237" spans="1:9" x14ac:dyDescent="0.25">
      <c r="A237" s="2">
        <v>45444</v>
      </c>
      <c r="B237" s="5" t="s">
        <v>69</v>
      </c>
      <c r="C237">
        <f>ROUND(IF(ISBLANK('original data'!C237),0,'original data'!C237),0)</f>
        <v>3091</v>
      </c>
      <c r="D237">
        <f>ROUND(IF(ISBLANK('original data'!D237),0,'original data'!D237),0)</f>
        <v>0</v>
      </c>
      <c r="E237" s="3" t="s">
        <v>39</v>
      </c>
      <c r="F237" s="3" t="s">
        <v>36</v>
      </c>
      <c r="G237" s="3" t="s">
        <v>15</v>
      </c>
      <c r="H237" t="str">
        <f t="shared" si="6"/>
        <v>June</v>
      </c>
      <c r="I237">
        <f t="shared" si="7"/>
        <v>22</v>
      </c>
    </row>
    <row r="238" spans="1:9" x14ac:dyDescent="0.25">
      <c r="A238" s="2">
        <v>45444</v>
      </c>
      <c r="B238" s="5" t="s">
        <v>155</v>
      </c>
      <c r="C238">
        <f>ROUND(IF(ISBLANK('original data'!C238),0,'original data'!C238),0)</f>
        <v>5640</v>
      </c>
      <c r="D238">
        <f>ROUND(IF(ISBLANK('original data'!D238),0,'original data'!D238),0)</f>
        <v>0</v>
      </c>
      <c r="E238" s="3" t="s">
        <v>157</v>
      </c>
      <c r="F238" s="3" t="s">
        <v>36</v>
      </c>
      <c r="G238" s="3" t="s">
        <v>15</v>
      </c>
      <c r="H238" t="str">
        <f t="shared" si="6"/>
        <v>June</v>
      </c>
      <c r="I238">
        <f t="shared" si="7"/>
        <v>22</v>
      </c>
    </row>
    <row r="239" spans="1:9" x14ac:dyDescent="0.25">
      <c r="A239" s="2">
        <v>45445</v>
      </c>
      <c r="B239" s="5" t="s">
        <v>37</v>
      </c>
      <c r="C239">
        <f>ROUND(IF(ISBLANK('original data'!C239),0,'original data'!C239),0)</f>
        <v>3581</v>
      </c>
      <c r="D239">
        <f>ROUND(IF(ISBLANK('original data'!D239),0,'original data'!D239),0)</f>
        <v>0</v>
      </c>
      <c r="E239" s="3" t="s">
        <v>39</v>
      </c>
      <c r="F239" s="3" t="s">
        <v>36</v>
      </c>
      <c r="G239" s="3" t="s">
        <v>15</v>
      </c>
      <c r="H239" t="str">
        <f t="shared" si="6"/>
        <v>June</v>
      </c>
      <c r="I239">
        <f t="shared" si="7"/>
        <v>23</v>
      </c>
    </row>
    <row r="240" spans="1:9" x14ac:dyDescent="0.25">
      <c r="A240" s="2">
        <v>45445</v>
      </c>
      <c r="B240" s="5" t="s">
        <v>43</v>
      </c>
      <c r="C240">
        <f>ROUND(IF(ISBLANK('original data'!C240),0,'original data'!C240),0)</f>
        <v>653</v>
      </c>
      <c r="D240">
        <f>ROUND(IF(ISBLANK('original data'!D240),0,'original data'!D240),0)</f>
        <v>0</v>
      </c>
      <c r="E240" s="3" t="s">
        <v>45</v>
      </c>
      <c r="F240" s="3" t="s">
        <v>23</v>
      </c>
      <c r="G240" s="3" t="s">
        <v>15</v>
      </c>
      <c r="H240" t="str">
        <f t="shared" si="6"/>
        <v>June</v>
      </c>
      <c r="I240">
        <f t="shared" si="7"/>
        <v>23</v>
      </c>
    </row>
    <row r="241" spans="1:9" x14ac:dyDescent="0.25">
      <c r="A241" s="2">
        <v>45447</v>
      </c>
      <c r="B241" s="5" t="s">
        <v>121</v>
      </c>
      <c r="C241">
        <f>ROUND(IF(ISBLANK('original data'!C241),0,'original data'!C241),0)</f>
        <v>360</v>
      </c>
      <c r="D241">
        <f>ROUND(IF(ISBLANK('original data'!D241),0,'original data'!D241),0)</f>
        <v>0</v>
      </c>
      <c r="E241" s="3" t="s">
        <v>42</v>
      </c>
      <c r="F241" s="3" t="s">
        <v>14</v>
      </c>
      <c r="G241" s="3" t="s">
        <v>15</v>
      </c>
      <c r="H241" t="str">
        <f t="shared" si="6"/>
        <v>June</v>
      </c>
      <c r="I241">
        <f t="shared" si="7"/>
        <v>23</v>
      </c>
    </row>
    <row r="242" spans="1:9" x14ac:dyDescent="0.25">
      <c r="A242" s="2">
        <v>45446</v>
      </c>
      <c r="B242" s="5" t="s">
        <v>11</v>
      </c>
      <c r="C242">
        <f>ROUND(IF(ISBLANK('original data'!C242),0,'original data'!C242),0)</f>
        <v>120</v>
      </c>
      <c r="D242">
        <f>ROUND(IF(ISBLANK('original data'!D242),0,'original data'!D242),0)</f>
        <v>0</v>
      </c>
      <c r="E242" s="3" t="s">
        <v>13</v>
      </c>
      <c r="F242" s="3" t="s">
        <v>14</v>
      </c>
      <c r="G242" s="3" t="s">
        <v>15</v>
      </c>
      <c r="H242" t="str">
        <f t="shared" si="6"/>
        <v>June</v>
      </c>
      <c r="I242">
        <f t="shared" si="7"/>
        <v>23</v>
      </c>
    </row>
    <row r="243" spans="1:9" x14ac:dyDescent="0.25">
      <c r="A243" s="2">
        <v>45447</v>
      </c>
      <c r="B243" s="5" t="s">
        <v>11</v>
      </c>
      <c r="C243">
        <f>ROUND(IF(ISBLANK('original data'!C243),0,'original data'!C243),0)</f>
        <v>120</v>
      </c>
      <c r="D243">
        <f>ROUND(IF(ISBLANK('original data'!D243),0,'original data'!D243),0)</f>
        <v>0</v>
      </c>
      <c r="E243" s="3" t="s">
        <v>13</v>
      </c>
      <c r="F243" s="3" t="s">
        <v>14</v>
      </c>
      <c r="G243" s="3" t="s">
        <v>15</v>
      </c>
      <c r="H243" t="str">
        <f t="shared" si="6"/>
        <v>June</v>
      </c>
      <c r="I243">
        <f t="shared" si="7"/>
        <v>23</v>
      </c>
    </row>
    <row r="244" spans="1:9" x14ac:dyDescent="0.25">
      <c r="A244" s="2">
        <v>45448</v>
      </c>
      <c r="B244" s="5" t="s">
        <v>7</v>
      </c>
      <c r="C244">
        <f>ROUND(IF(ISBLANK('original data'!C244),0,'original data'!C244),0)</f>
        <v>0</v>
      </c>
      <c r="D244">
        <f>ROUND(IF(ISBLANK('original data'!D244),0,'original data'!D244),0)</f>
        <v>120000</v>
      </c>
      <c r="E244" s="3" t="s">
        <v>75</v>
      </c>
      <c r="F244" s="3" t="s">
        <v>9</v>
      </c>
      <c r="G244" s="3" t="s">
        <v>10</v>
      </c>
      <c r="H244" t="str">
        <f t="shared" si="6"/>
        <v>June</v>
      </c>
      <c r="I244">
        <f t="shared" si="7"/>
        <v>23</v>
      </c>
    </row>
    <row r="245" spans="1:9" x14ac:dyDescent="0.25">
      <c r="A245" s="2">
        <v>45450</v>
      </c>
      <c r="B245" s="5" t="s">
        <v>11</v>
      </c>
      <c r="C245">
        <f>ROUND(IF(ISBLANK('original data'!C245),0,'original data'!C245),0)</f>
        <v>120</v>
      </c>
      <c r="D245">
        <f>ROUND(IF(ISBLANK('original data'!D245),0,'original data'!D245),0)</f>
        <v>0</v>
      </c>
      <c r="E245" s="3" t="s">
        <v>13</v>
      </c>
      <c r="F245" s="3" t="s">
        <v>14</v>
      </c>
      <c r="G245" s="3" t="s">
        <v>15</v>
      </c>
      <c r="H245" t="str">
        <f t="shared" si="6"/>
        <v>June</v>
      </c>
      <c r="I245">
        <f t="shared" si="7"/>
        <v>23</v>
      </c>
    </row>
    <row r="246" spans="1:9" x14ac:dyDescent="0.25">
      <c r="A246" s="2">
        <v>45450</v>
      </c>
      <c r="B246" s="5" t="s">
        <v>16</v>
      </c>
      <c r="C246">
        <f>ROUND(IF(ISBLANK('original data'!C246),0,'original data'!C246),0)</f>
        <v>21600</v>
      </c>
      <c r="D246">
        <f>ROUND(IF(ISBLANK('original data'!D246),0,'original data'!D246),0)</f>
        <v>0</v>
      </c>
      <c r="E246" s="3" t="s">
        <v>18</v>
      </c>
      <c r="F246" s="3" t="s">
        <v>19</v>
      </c>
      <c r="G246" s="3" t="s">
        <v>15</v>
      </c>
      <c r="H246" t="str">
        <f t="shared" si="6"/>
        <v>June</v>
      </c>
      <c r="I246">
        <f t="shared" si="7"/>
        <v>23</v>
      </c>
    </row>
    <row r="247" spans="1:9" x14ac:dyDescent="0.25">
      <c r="A247" s="2">
        <v>45450</v>
      </c>
      <c r="B247" s="5" t="s">
        <v>20</v>
      </c>
      <c r="C247">
        <f>ROUND(IF(ISBLANK('original data'!C247),0,'original data'!C247),0)</f>
        <v>3600</v>
      </c>
      <c r="D247">
        <f>ROUND(IF(ISBLANK('original data'!D247),0,'original data'!D247),0)</f>
        <v>0</v>
      </c>
      <c r="E247" s="3" t="s">
        <v>22</v>
      </c>
      <c r="F247" s="3" t="s">
        <v>23</v>
      </c>
      <c r="G247" s="3" t="s">
        <v>15</v>
      </c>
      <c r="H247" t="str">
        <f t="shared" si="6"/>
        <v>June</v>
      </c>
      <c r="I247">
        <f t="shared" si="7"/>
        <v>23</v>
      </c>
    </row>
    <row r="248" spans="1:9" x14ac:dyDescent="0.25">
      <c r="A248" s="2">
        <v>45450</v>
      </c>
      <c r="B248" s="5" t="s">
        <v>11</v>
      </c>
      <c r="C248">
        <f>ROUND(IF(ISBLANK('original data'!C248),0,'original data'!C248),0)</f>
        <v>120</v>
      </c>
      <c r="D248">
        <f>ROUND(IF(ISBLANK('original data'!D248),0,'original data'!D248),0)</f>
        <v>0</v>
      </c>
      <c r="E248" s="3" t="s">
        <v>13</v>
      </c>
      <c r="F248" s="3" t="s">
        <v>14</v>
      </c>
      <c r="G248" s="3" t="s">
        <v>15</v>
      </c>
      <c r="H248" t="str">
        <f t="shared" si="6"/>
        <v>June</v>
      </c>
      <c r="I248">
        <f t="shared" si="7"/>
        <v>23</v>
      </c>
    </row>
    <row r="249" spans="1:9" x14ac:dyDescent="0.25">
      <c r="A249" s="2">
        <v>45451</v>
      </c>
      <c r="B249" s="5" t="s">
        <v>11</v>
      </c>
      <c r="C249">
        <f>ROUND(IF(ISBLANK('original data'!C249),0,'original data'!C249),0)</f>
        <v>120</v>
      </c>
      <c r="D249">
        <f>ROUND(IF(ISBLANK('original data'!D249),0,'original data'!D249),0)</f>
        <v>0</v>
      </c>
      <c r="E249" s="3" t="s">
        <v>13</v>
      </c>
      <c r="F249" s="3" t="s">
        <v>14</v>
      </c>
      <c r="G249" s="3" t="s">
        <v>15</v>
      </c>
      <c r="H249" t="str">
        <f t="shared" si="6"/>
        <v>June</v>
      </c>
      <c r="I249">
        <f t="shared" si="7"/>
        <v>23</v>
      </c>
    </row>
    <row r="250" spans="1:9" x14ac:dyDescent="0.25">
      <c r="A250" s="2">
        <v>45452</v>
      </c>
      <c r="B250" s="5" t="s">
        <v>11</v>
      </c>
      <c r="C250">
        <f>ROUND(IF(ISBLANK('original data'!C250),0,'original data'!C250),0)</f>
        <v>120</v>
      </c>
      <c r="D250">
        <f>ROUND(IF(ISBLANK('original data'!D250),0,'original data'!D250),0)</f>
        <v>0</v>
      </c>
      <c r="E250" s="3" t="s">
        <v>13</v>
      </c>
      <c r="F250" s="3" t="s">
        <v>14</v>
      </c>
      <c r="G250" s="3" t="s">
        <v>15</v>
      </c>
      <c r="H250" t="str">
        <f t="shared" si="6"/>
        <v>June</v>
      </c>
      <c r="I250">
        <f t="shared" si="7"/>
        <v>24</v>
      </c>
    </row>
    <row r="251" spans="1:9" x14ac:dyDescent="0.25">
      <c r="A251" s="2">
        <v>45453</v>
      </c>
      <c r="B251" s="5" t="s">
        <v>11</v>
      </c>
      <c r="C251">
        <f>ROUND(IF(ISBLANK('original data'!C251),0,'original data'!C251),0)</f>
        <v>120</v>
      </c>
      <c r="D251">
        <f>ROUND(IF(ISBLANK('original data'!D251),0,'original data'!D251),0)</f>
        <v>0</v>
      </c>
      <c r="E251" s="3" t="s">
        <v>13</v>
      </c>
      <c r="F251" s="3" t="s">
        <v>14</v>
      </c>
      <c r="G251" s="3" t="s">
        <v>15</v>
      </c>
      <c r="H251" t="str">
        <f t="shared" si="6"/>
        <v>June</v>
      </c>
      <c r="I251">
        <f t="shared" si="7"/>
        <v>24</v>
      </c>
    </row>
    <row r="252" spans="1:9" x14ac:dyDescent="0.25">
      <c r="A252" s="2">
        <v>45453</v>
      </c>
      <c r="B252" s="5" t="s">
        <v>24</v>
      </c>
      <c r="C252">
        <f>ROUND(IF(ISBLANK('original data'!C252),0,'original data'!C252),0)</f>
        <v>2856</v>
      </c>
      <c r="D252">
        <f>ROUND(IF(ISBLANK('original data'!D252),0,'original data'!D252),0)</f>
        <v>0</v>
      </c>
      <c r="E252" s="3" t="s">
        <v>26</v>
      </c>
      <c r="F252" s="3" t="s">
        <v>19</v>
      </c>
      <c r="G252" s="3" t="s">
        <v>15</v>
      </c>
      <c r="H252" t="str">
        <f t="shared" si="6"/>
        <v>June</v>
      </c>
      <c r="I252">
        <f t="shared" si="7"/>
        <v>24</v>
      </c>
    </row>
    <row r="253" spans="1:9" x14ac:dyDescent="0.25">
      <c r="A253" s="2">
        <v>45456</v>
      </c>
      <c r="B253" s="5" t="s">
        <v>27</v>
      </c>
      <c r="C253">
        <f>ROUND(IF(ISBLANK('original data'!C253),0,'original data'!C253),0)</f>
        <v>1320</v>
      </c>
      <c r="D253">
        <f>ROUND(IF(ISBLANK('original data'!D253),0,'original data'!D253),0)</f>
        <v>0</v>
      </c>
      <c r="E253" s="3" t="s">
        <v>29</v>
      </c>
      <c r="F253" s="3" t="s">
        <v>19</v>
      </c>
      <c r="G253" s="3" t="s">
        <v>15</v>
      </c>
      <c r="H253" t="str">
        <f t="shared" si="6"/>
        <v>June</v>
      </c>
      <c r="I253">
        <f t="shared" si="7"/>
        <v>24</v>
      </c>
    </row>
    <row r="254" spans="1:9" x14ac:dyDescent="0.25">
      <c r="A254" s="2">
        <v>45456</v>
      </c>
      <c r="B254" s="5" t="s">
        <v>11</v>
      </c>
      <c r="C254">
        <f>ROUND(IF(ISBLANK('original data'!C254),0,'original data'!C254),0)</f>
        <v>120</v>
      </c>
      <c r="D254">
        <f>ROUND(IF(ISBLANK('original data'!D254),0,'original data'!D254),0)</f>
        <v>0</v>
      </c>
      <c r="E254" s="3" t="s">
        <v>13</v>
      </c>
      <c r="F254" s="3" t="s">
        <v>14</v>
      </c>
      <c r="G254" s="3" t="s">
        <v>15</v>
      </c>
      <c r="H254" t="str">
        <f t="shared" si="6"/>
        <v>June</v>
      </c>
      <c r="I254">
        <f t="shared" si="7"/>
        <v>24</v>
      </c>
    </row>
    <row r="255" spans="1:9" x14ac:dyDescent="0.25">
      <c r="A255" s="2">
        <v>45457</v>
      </c>
      <c r="B255" s="5" t="s">
        <v>11</v>
      </c>
      <c r="C255">
        <f>ROUND(IF(ISBLANK('original data'!C255),0,'original data'!C255),0)</f>
        <v>120</v>
      </c>
      <c r="D255">
        <f>ROUND(IF(ISBLANK('original data'!D255),0,'original data'!D255),0)</f>
        <v>0</v>
      </c>
      <c r="E255" s="3" t="s">
        <v>13</v>
      </c>
      <c r="F255" s="3" t="s">
        <v>14</v>
      </c>
      <c r="G255" s="3" t="s">
        <v>15</v>
      </c>
      <c r="H255" t="str">
        <f t="shared" si="6"/>
        <v>June</v>
      </c>
      <c r="I255">
        <f t="shared" si="7"/>
        <v>24</v>
      </c>
    </row>
    <row r="256" spans="1:9" x14ac:dyDescent="0.25">
      <c r="A256" s="2">
        <v>45458</v>
      </c>
      <c r="B256" s="5" t="s">
        <v>30</v>
      </c>
      <c r="C256">
        <f>ROUND(IF(ISBLANK('original data'!C256),0,'original data'!C256),0)</f>
        <v>1970</v>
      </c>
      <c r="D256">
        <f>ROUND(IF(ISBLANK('original data'!D256),0,'original data'!D256),0)</f>
        <v>0</v>
      </c>
      <c r="E256" s="3" t="s">
        <v>67</v>
      </c>
      <c r="F256" s="3" t="s">
        <v>23</v>
      </c>
      <c r="G256" s="3" t="s">
        <v>15</v>
      </c>
      <c r="H256" t="str">
        <f t="shared" si="6"/>
        <v>June</v>
      </c>
      <c r="I256">
        <f t="shared" si="7"/>
        <v>24</v>
      </c>
    </row>
    <row r="257" spans="1:9" x14ac:dyDescent="0.25">
      <c r="A257" s="2">
        <v>45458</v>
      </c>
      <c r="B257" s="5" t="s">
        <v>11</v>
      </c>
      <c r="C257">
        <f>ROUND(IF(ISBLANK('original data'!C257),0,'original data'!C257),0)</f>
        <v>120</v>
      </c>
      <c r="D257">
        <f>ROUND(IF(ISBLANK('original data'!D257),0,'original data'!D257),0)</f>
        <v>0</v>
      </c>
      <c r="E257" s="3" t="s">
        <v>13</v>
      </c>
      <c r="F257" s="3" t="s">
        <v>14</v>
      </c>
      <c r="G257" s="3" t="s">
        <v>15</v>
      </c>
      <c r="H257" t="str">
        <f t="shared" si="6"/>
        <v>June</v>
      </c>
      <c r="I257">
        <f t="shared" si="7"/>
        <v>24</v>
      </c>
    </row>
    <row r="258" spans="1:9" x14ac:dyDescent="0.25">
      <c r="A258" s="2">
        <v>45459</v>
      </c>
      <c r="B258" s="5" t="s">
        <v>11</v>
      </c>
      <c r="C258">
        <f>ROUND(IF(ISBLANK('original data'!C258),0,'original data'!C258),0)</f>
        <v>120</v>
      </c>
      <c r="D258">
        <f>ROUND(IF(ISBLANK('original data'!D258),0,'original data'!D258),0)</f>
        <v>0</v>
      </c>
      <c r="E258" s="3" t="s">
        <v>13</v>
      </c>
      <c r="F258" s="3" t="s">
        <v>14</v>
      </c>
      <c r="G258" s="3" t="s">
        <v>15</v>
      </c>
      <c r="H258" t="str">
        <f t="shared" si="6"/>
        <v>June</v>
      </c>
      <c r="I258">
        <f t="shared" si="7"/>
        <v>25</v>
      </c>
    </row>
    <row r="259" spans="1:9" x14ac:dyDescent="0.25">
      <c r="A259" s="2">
        <v>45460</v>
      </c>
      <c r="B259" s="5" t="s">
        <v>24</v>
      </c>
      <c r="C259">
        <f>ROUND(IF(ISBLANK('original data'!C259),0,'original data'!C259),0)</f>
        <v>3365</v>
      </c>
      <c r="D259">
        <f>ROUND(IF(ISBLANK('original data'!D259),0,'original data'!D259),0)</f>
        <v>0</v>
      </c>
      <c r="E259" s="3" t="s">
        <v>26</v>
      </c>
      <c r="F259" s="3" t="s">
        <v>19</v>
      </c>
      <c r="G259" s="3" t="s">
        <v>15</v>
      </c>
      <c r="H259" t="str">
        <f t="shared" ref="H259:H322" si="8">TEXT(A259,"MMMM")</f>
        <v>June</v>
      </c>
      <c r="I259">
        <f t="shared" ref="I259:I322" si="9">WEEKNUM(A259)</f>
        <v>25</v>
      </c>
    </row>
    <row r="260" spans="1:9" x14ac:dyDescent="0.25">
      <c r="A260" s="2">
        <v>45460</v>
      </c>
      <c r="B260" s="5" t="s">
        <v>11</v>
      </c>
      <c r="C260">
        <f>ROUND(IF(ISBLANK('original data'!C260),0,'original data'!C260),0)</f>
        <v>120</v>
      </c>
      <c r="D260">
        <f>ROUND(IF(ISBLANK('original data'!D260),0,'original data'!D260),0)</f>
        <v>0</v>
      </c>
      <c r="E260" s="3" t="s">
        <v>13</v>
      </c>
      <c r="F260" s="3" t="s">
        <v>14</v>
      </c>
      <c r="G260" s="3" t="s">
        <v>15</v>
      </c>
      <c r="H260" t="str">
        <f t="shared" si="8"/>
        <v>June</v>
      </c>
      <c r="I260">
        <f t="shared" si="9"/>
        <v>25</v>
      </c>
    </row>
    <row r="261" spans="1:9" x14ac:dyDescent="0.25">
      <c r="A261" s="2">
        <v>45461</v>
      </c>
      <c r="B261" s="5" t="s">
        <v>11</v>
      </c>
      <c r="C261">
        <f>ROUND(IF(ISBLANK('original data'!C261),0,'original data'!C261),0)</f>
        <v>120</v>
      </c>
      <c r="D261">
        <f>ROUND(IF(ISBLANK('original data'!D261),0,'original data'!D261),0)</f>
        <v>0</v>
      </c>
      <c r="E261" s="3" t="s">
        <v>13</v>
      </c>
      <c r="F261" s="3" t="s">
        <v>14</v>
      </c>
      <c r="G261" s="3" t="s">
        <v>15</v>
      </c>
      <c r="H261" t="str">
        <f t="shared" si="8"/>
        <v>June</v>
      </c>
      <c r="I261">
        <f t="shared" si="9"/>
        <v>25</v>
      </c>
    </row>
    <row r="262" spans="1:9" x14ac:dyDescent="0.25">
      <c r="A262" s="2">
        <v>45461</v>
      </c>
      <c r="B262" s="5" t="s">
        <v>33</v>
      </c>
      <c r="C262">
        <f>ROUND(IF(ISBLANK('original data'!C262),0,'original data'!C262),0)</f>
        <v>1078</v>
      </c>
      <c r="D262">
        <f>ROUND(IF(ISBLANK('original data'!D262),0,'original data'!D262),0)</f>
        <v>0</v>
      </c>
      <c r="E262" s="3" t="s">
        <v>35</v>
      </c>
      <c r="F262" s="3" t="s">
        <v>36</v>
      </c>
      <c r="G262" s="3" t="s">
        <v>15</v>
      </c>
      <c r="H262" t="str">
        <f t="shared" si="8"/>
        <v>June</v>
      </c>
      <c r="I262">
        <f t="shared" si="9"/>
        <v>25</v>
      </c>
    </row>
    <row r="263" spans="1:9" x14ac:dyDescent="0.25">
      <c r="A263" s="2">
        <v>45461</v>
      </c>
      <c r="B263" s="5" t="s">
        <v>81</v>
      </c>
      <c r="C263">
        <f>ROUND(IF(ISBLANK('original data'!C263),0,'original data'!C263),0)</f>
        <v>2470</v>
      </c>
      <c r="D263">
        <f>ROUND(IF(ISBLANK('original data'!D263),0,'original data'!D263),0)</f>
        <v>0</v>
      </c>
      <c r="E263" s="3" t="s">
        <v>39</v>
      </c>
      <c r="F263" s="3" t="s">
        <v>36</v>
      </c>
      <c r="G263" s="3" t="s">
        <v>15</v>
      </c>
      <c r="H263" t="str">
        <f t="shared" si="8"/>
        <v>June</v>
      </c>
      <c r="I263">
        <f t="shared" si="9"/>
        <v>25</v>
      </c>
    </row>
    <row r="264" spans="1:9" x14ac:dyDescent="0.25">
      <c r="A264" s="2">
        <v>45461</v>
      </c>
      <c r="B264" s="5" t="s">
        <v>40</v>
      </c>
      <c r="C264">
        <f>ROUND(IF(ISBLANK('original data'!C264),0,'original data'!C264),0)</f>
        <v>1366</v>
      </c>
      <c r="D264">
        <f>ROUND(IF(ISBLANK('original data'!D264),0,'original data'!D264),0)</f>
        <v>0</v>
      </c>
      <c r="E264" s="3" t="s">
        <v>42</v>
      </c>
      <c r="F264" s="3" t="s">
        <v>14</v>
      </c>
      <c r="G264" s="3" t="s">
        <v>15</v>
      </c>
      <c r="H264" t="str">
        <f t="shared" si="8"/>
        <v>June</v>
      </c>
      <c r="I264">
        <f t="shared" si="9"/>
        <v>25</v>
      </c>
    </row>
    <row r="265" spans="1:9" x14ac:dyDescent="0.25">
      <c r="A265" s="2">
        <v>45462</v>
      </c>
      <c r="B265" s="5" t="s">
        <v>43</v>
      </c>
      <c r="C265">
        <f>ROUND(IF(ISBLANK('original data'!C265),0,'original data'!C265),0)</f>
        <v>794</v>
      </c>
      <c r="D265">
        <f>ROUND(IF(ISBLANK('original data'!D265),0,'original data'!D265),0)</f>
        <v>0</v>
      </c>
      <c r="E265" s="3" t="s">
        <v>45</v>
      </c>
      <c r="F265" s="3" t="s">
        <v>23</v>
      </c>
      <c r="G265" s="3" t="s">
        <v>15</v>
      </c>
      <c r="H265" t="str">
        <f t="shared" si="8"/>
        <v>June</v>
      </c>
      <c r="I265">
        <f t="shared" si="9"/>
        <v>25</v>
      </c>
    </row>
    <row r="266" spans="1:9" x14ac:dyDescent="0.25">
      <c r="A266" s="2">
        <v>45463</v>
      </c>
      <c r="B266" s="5" t="s">
        <v>46</v>
      </c>
      <c r="C266">
        <f>ROUND(IF(ISBLANK('original data'!C266),0,'original data'!C266),0)</f>
        <v>0</v>
      </c>
      <c r="D266">
        <f>ROUND(IF(ISBLANK('original data'!D266),0,'original data'!D266),0)</f>
        <v>2400</v>
      </c>
      <c r="E266" s="3" t="s">
        <v>48</v>
      </c>
      <c r="F266" s="3" t="s">
        <v>49</v>
      </c>
      <c r="G266" s="3" t="s">
        <v>10</v>
      </c>
      <c r="H266" t="str">
        <f t="shared" si="8"/>
        <v>June</v>
      </c>
      <c r="I266">
        <f t="shared" si="9"/>
        <v>25</v>
      </c>
    </row>
    <row r="267" spans="1:9" x14ac:dyDescent="0.25">
      <c r="A267" s="2">
        <v>45463</v>
      </c>
      <c r="B267" s="5" t="s">
        <v>11</v>
      </c>
      <c r="C267">
        <f>ROUND(IF(ISBLANK('original data'!C267),0,'original data'!C267),0)</f>
        <v>120</v>
      </c>
      <c r="D267">
        <f>ROUND(IF(ISBLANK('original data'!D267),0,'original data'!D267),0)</f>
        <v>0</v>
      </c>
      <c r="E267" s="3" t="s">
        <v>13</v>
      </c>
      <c r="F267" s="3" t="s">
        <v>14</v>
      </c>
      <c r="G267" s="3" t="s">
        <v>15</v>
      </c>
      <c r="H267" t="str">
        <f t="shared" si="8"/>
        <v>June</v>
      </c>
      <c r="I267">
        <f t="shared" si="9"/>
        <v>25</v>
      </c>
    </row>
    <row r="268" spans="1:9" x14ac:dyDescent="0.25">
      <c r="A268" s="2">
        <v>45464</v>
      </c>
      <c r="B268" s="5" t="s">
        <v>11</v>
      </c>
      <c r="C268">
        <f>ROUND(IF(ISBLANK('original data'!C268),0,'original data'!C268),0)</f>
        <v>120</v>
      </c>
      <c r="D268">
        <f>ROUND(IF(ISBLANK('original data'!D268),0,'original data'!D268),0)</f>
        <v>0</v>
      </c>
      <c r="E268" s="3" t="s">
        <v>13</v>
      </c>
      <c r="F268" s="3" t="s">
        <v>14</v>
      </c>
      <c r="G268" s="3" t="s">
        <v>15</v>
      </c>
      <c r="H268" t="str">
        <f t="shared" si="8"/>
        <v>June</v>
      </c>
      <c r="I268">
        <f t="shared" si="9"/>
        <v>25</v>
      </c>
    </row>
    <row r="269" spans="1:9" x14ac:dyDescent="0.25">
      <c r="A269" s="2">
        <v>45464</v>
      </c>
      <c r="B269" s="5" t="s">
        <v>51</v>
      </c>
      <c r="C269">
        <f>ROUND(IF(ISBLANK('original data'!C269),0,'original data'!C269),0)</f>
        <v>960</v>
      </c>
      <c r="D269">
        <f>ROUND(IF(ISBLANK('original data'!D269),0,'original data'!D269),0)</f>
        <v>0</v>
      </c>
      <c r="E269" s="3" t="s">
        <v>51</v>
      </c>
      <c r="F269" s="3" t="s">
        <v>19</v>
      </c>
      <c r="G269" s="3" t="s">
        <v>15</v>
      </c>
      <c r="H269" t="str">
        <f t="shared" si="8"/>
        <v>June</v>
      </c>
      <c r="I269">
        <f t="shared" si="9"/>
        <v>25</v>
      </c>
    </row>
    <row r="270" spans="1:9" x14ac:dyDescent="0.25">
      <c r="A270" s="2">
        <v>45465</v>
      </c>
      <c r="B270" s="5" t="s">
        <v>52</v>
      </c>
      <c r="C270">
        <f>ROUND(IF(ISBLANK('original data'!C270),0,'original data'!C270),0)</f>
        <v>1202</v>
      </c>
      <c r="D270">
        <f>ROUND(IF(ISBLANK('original data'!D270),0,'original data'!D270),0)</f>
        <v>0</v>
      </c>
      <c r="E270" s="3" t="s">
        <v>54</v>
      </c>
      <c r="F270" s="3" t="s">
        <v>36</v>
      </c>
      <c r="G270" s="3" t="s">
        <v>15</v>
      </c>
      <c r="H270" t="str">
        <f t="shared" si="8"/>
        <v>June</v>
      </c>
      <c r="I270">
        <f t="shared" si="9"/>
        <v>25</v>
      </c>
    </row>
    <row r="271" spans="1:9" x14ac:dyDescent="0.25">
      <c r="A271" s="2">
        <v>45465</v>
      </c>
      <c r="B271" s="5" t="s">
        <v>55</v>
      </c>
      <c r="C271">
        <f>ROUND(IF(ISBLANK('original data'!C271),0,'original data'!C271),0)</f>
        <v>840</v>
      </c>
      <c r="D271">
        <f>ROUND(IF(ISBLANK('original data'!D271),0,'original data'!D271),0)</f>
        <v>0</v>
      </c>
      <c r="E271" s="3" t="s">
        <v>35</v>
      </c>
      <c r="F271" s="3" t="s">
        <v>36</v>
      </c>
      <c r="G271" s="3" t="s">
        <v>15</v>
      </c>
      <c r="H271" t="str">
        <f t="shared" si="8"/>
        <v>June</v>
      </c>
      <c r="I271">
        <f t="shared" si="9"/>
        <v>25</v>
      </c>
    </row>
    <row r="272" spans="1:9" x14ac:dyDescent="0.25">
      <c r="A272" s="2">
        <v>45465</v>
      </c>
      <c r="B272" s="5" t="s">
        <v>11</v>
      </c>
      <c r="C272">
        <f>ROUND(IF(ISBLANK('original data'!C272),0,'original data'!C272),0)</f>
        <v>120</v>
      </c>
      <c r="D272">
        <f>ROUND(IF(ISBLANK('original data'!D272),0,'original data'!D272),0)</f>
        <v>0</v>
      </c>
      <c r="E272" s="3" t="s">
        <v>13</v>
      </c>
      <c r="F272" s="3" t="s">
        <v>14</v>
      </c>
      <c r="G272" s="3" t="s">
        <v>15</v>
      </c>
      <c r="H272" t="str">
        <f t="shared" si="8"/>
        <v>June</v>
      </c>
      <c r="I272">
        <f t="shared" si="9"/>
        <v>25</v>
      </c>
    </row>
    <row r="273" spans="1:9" x14ac:dyDescent="0.25">
      <c r="A273" s="2">
        <v>45466</v>
      </c>
      <c r="B273" s="5" t="s">
        <v>11</v>
      </c>
      <c r="C273">
        <f>ROUND(IF(ISBLANK('original data'!C273),0,'original data'!C273),0)</f>
        <v>120</v>
      </c>
      <c r="D273">
        <f>ROUND(IF(ISBLANK('original data'!D273),0,'original data'!D273),0)</f>
        <v>0</v>
      </c>
      <c r="E273" s="3" t="s">
        <v>13</v>
      </c>
      <c r="F273" s="3" t="s">
        <v>14</v>
      </c>
      <c r="G273" s="3" t="s">
        <v>15</v>
      </c>
      <c r="H273" t="str">
        <f t="shared" si="8"/>
        <v>June</v>
      </c>
      <c r="I273">
        <f t="shared" si="9"/>
        <v>26</v>
      </c>
    </row>
    <row r="274" spans="1:9" x14ac:dyDescent="0.25">
      <c r="A274" s="2">
        <v>45467</v>
      </c>
      <c r="B274" s="5" t="s">
        <v>11</v>
      </c>
      <c r="C274">
        <f>ROUND(IF(ISBLANK('original data'!C274),0,'original data'!C274),0)</f>
        <v>120</v>
      </c>
      <c r="D274">
        <f>ROUND(IF(ISBLANK('original data'!D274),0,'original data'!D274),0)</f>
        <v>0</v>
      </c>
      <c r="E274" s="3" t="s">
        <v>13</v>
      </c>
      <c r="F274" s="3" t="s">
        <v>14</v>
      </c>
      <c r="G274" s="3" t="s">
        <v>15</v>
      </c>
      <c r="H274" t="str">
        <f t="shared" si="8"/>
        <v>June</v>
      </c>
      <c r="I274">
        <f t="shared" si="9"/>
        <v>26</v>
      </c>
    </row>
    <row r="275" spans="1:9" x14ac:dyDescent="0.25">
      <c r="A275" s="2">
        <v>45467</v>
      </c>
      <c r="B275" s="5" t="s">
        <v>24</v>
      </c>
      <c r="C275">
        <f>ROUND(IF(ISBLANK('original data'!C275),0,'original data'!C275),0)</f>
        <v>5616</v>
      </c>
      <c r="D275">
        <f>ROUND(IF(ISBLANK('original data'!D275),0,'original data'!D275),0)</f>
        <v>0</v>
      </c>
      <c r="E275" s="3" t="s">
        <v>26</v>
      </c>
      <c r="F275" s="3" t="s">
        <v>19</v>
      </c>
      <c r="G275" s="3" t="s">
        <v>15</v>
      </c>
      <c r="H275" t="str">
        <f t="shared" si="8"/>
        <v>June</v>
      </c>
      <c r="I275">
        <f t="shared" si="9"/>
        <v>26</v>
      </c>
    </row>
    <row r="276" spans="1:9" x14ac:dyDescent="0.25">
      <c r="A276" s="2">
        <v>45468</v>
      </c>
      <c r="B276" s="5" t="s">
        <v>58</v>
      </c>
      <c r="C276">
        <f>ROUND(IF(ISBLANK('original data'!C276),0,'original data'!C276),0)</f>
        <v>1010</v>
      </c>
      <c r="D276">
        <f>ROUND(IF(ISBLANK('original data'!D276),0,'original data'!D276),0)</f>
        <v>0</v>
      </c>
      <c r="E276" s="3" t="s">
        <v>42</v>
      </c>
      <c r="F276" s="3" t="s">
        <v>14</v>
      </c>
      <c r="G276" s="3" t="s">
        <v>15</v>
      </c>
      <c r="H276" t="str">
        <f t="shared" si="8"/>
        <v>June</v>
      </c>
      <c r="I276">
        <f t="shared" si="9"/>
        <v>26</v>
      </c>
    </row>
    <row r="277" spans="1:9" x14ac:dyDescent="0.25">
      <c r="A277" s="2">
        <v>45469</v>
      </c>
      <c r="B277" s="5" t="s">
        <v>60</v>
      </c>
      <c r="C277">
        <f>ROUND(IF(ISBLANK('original data'!C277),0,'original data'!C277),0)</f>
        <v>410</v>
      </c>
      <c r="D277">
        <f>ROUND(IF(ISBLANK('original data'!D277),0,'original data'!D277),0)</f>
        <v>0</v>
      </c>
      <c r="E277" s="3" t="s">
        <v>42</v>
      </c>
      <c r="F277" s="3" t="s">
        <v>14</v>
      </c>
      <c r="G277" s="3" t="s">
        <v>15</v>
      </c>
      <c r="H277" t="str">
        <f t="shared" si="8"/>
        <v>June</v>
      </c>
      <c r="I277">
        <f t="shared" si="9"/>
        <v>26</v>
      </c>
    </row>
    <row r="278" spans="1:9" x14ac:dyDescent="0.25">
      <c r="A278" s="2">
        <v>45470</v>
      </c>
      <c r="B278" s="5" t="s">
        <v>62</v>
      </c>
      <c r="C278">
        <f>ROUND(IF(ISBLANK('original data'!C278),0,'original data'!C278),0)</f>
        <v>1320</v>
      </c>
      <c r="D278">
        <f>ROUND(IF(ISBLANK('original data'!D278),0,'original data'!D278),0)</f>
        <v>0</v>
      </c>
      <c r="E278" s="3" t="s">
        <v>64</v>
      </c>
      <c r="F278" s="3" t="s">
        <v>65</v>
      </c>
      <c r="G278" s="3" t="s">
        <v>15</v>
      </c>
      <c r="H278" t="str">
        <f t="shared" si="8"/>
        <v>June</v>
      </c>
      <c r="I278">
        <f t="shared" si="9"/>
        <v>26</v>
      </c>
    </row>
    <row r="279" spans="1:9" x14ac:dyDescent="0.25">
      <c r="A279" s="2">
        <v>45470</v>
      </c>
      <c r="B279" s="5" t="s">
        <v>30</v>
      </c>
      <c r="C279">
        <f>ROUND(IF(ISBLANK('original data'!C279),0,'original data'!C279),0)</f>
        <v>1630</v>
      </c>
      <c r="D279">
        <f>ROUND(IF(ISBLANK('original data'!D279),0,'original data'!D279),0)</f>
        <v>0</v>
      </c>
      <c r="E279" s="3" t="s">
        <v>67</v>
      </c>
      <c r="F279" s="3" t="s">
        <v>23</v>
      </c>
      <c r="G279" s="3" t="s">
        <v>15</v>
      </c>
      <c r="H279" t="str">
        <f t="shared" si="8"/>
        <v>June</v>
      </c>
      <c r="I279">
        <f t="shared" si="9"/>
        <v>26</v>
      </c>
    </row>
    <row r="280" spans="1:9" x14ac:dyDescent="0.25">
      <c r="A280" s="2">
        <v>45470</v>
      </c>
      <c r="B280" s="5" t="s">
        <v>11</v>
      </c>
      <c r="C280">
        <f>ROUND(IF(ISBLANK('original data'!C280),0,'original data'!C280),0)</f>
        <v>120</v>
      </c>
      <c r="D280">
        <f>ROUND(IF(ISBLANK('original data'!D280),0,'original data'!D280),0)</f>
        <v>0</v>
      </c>
      <c r="E280" s="3" t="s">
        <v>13</v>
      </c>
      <c r="F280" s="3" t="s">
        <v>14</v>
      </c>
      <c r="G280" s="3" t="s">
        <v>15</v>
      </c>
      <c r="H280" t="str">
        <f t="shared" si="8"/>
        <v>June</v>
      </c>
      <c r="I280">
        <f t="shared" si="9"/>
        <v>26</v>
      </c>
    </row>
    <row r="281" spans="1:9" x14ac:dyDescent="0.25">
      <c r="A281" s="2">
        <v>45471</v>
      </c>
      <c r="B281" s="5" t="s">
        <v>11</v>
      </c>
      <c r="C281">
        <f>ROUND(IF(ISBLANK('original data'!C281),0,'original data'!C281),0)</f>
        <v>120</v>
      </c>
      <c r="D281">
        <f>ROUND(IF(ISBLANK('original data'!D281),0,'original data'!D281),0)</f>
        <v>0</v>
      </c>
      <c r="E281" s="3" t="s">
        <v>13</v>
      </c>
      <c r="F281" s="3" t="s">
        <v>14</v>
      </c>
      <c r="G281" s="3" t="s">
        <v>15</v>
      </c>
      <c r="H281" t="str">
        <f t="shared" si="8"/>
        <v>June</v>
      </c>
      <c r="I281">
        <f t="shared" si="9"/>
        <v>26</v>
      </c>
    </row>
    <row r="282" spans="1:9" x14ac:dyDescent="0.25">
      <c r="A282" s="2">
        <v>45472</v>
      </c>
      <c r="B282" s="5" t="s">
        <v>11</v>
      </c>
      <c r="C282">
        <f>ROUND(IF(ISBLANK('original data'!C282),0,'original data'!C282),0)</f>
        <v>120</v>
      </c>
      <c r="D282">
        <f>ROUND(IF(ISBLANK('original data'!D282),0,'original data'!D282),0)</f>
        <v>0</v>
      </c>
      <c r="E282" s="3" t="s">
        <v>13</v>
      </c>
      <c r="F282" s="3" t="s">
        <v>14</v>
      </c>
      <c r="G282" s="3" t="s">
        <v>15</v>
      </c>
      <c r="H282" t="str">
        <f t="shared" si="8"/>
        <v>June</v>
      </c>
      <c r="I282">
        <f t="shared" si="9"/>
        <v>26</v>
      </c>
    </row>
    <row r="283" spans="1:9" x14ac:dyDescent="0.25">
      <c r="A283" s="2">
        <v>45473</v>
      </c>
      <c r="B283" s="5" t="s">
        <v>11</v>
      </c>
      <c r="C283">
        <f>ROUND(IF(ISBLANK('original data'!C283),0,'original data'!C283),0)</f>
        <v>120</v>
      </c>
      <c r="D283">
        <f>ROUND(IF(ISBLANK('original data'!D283),0,'original data'!D283),0)</f>
        <v>0</v>
      </c>
      <c r="E283" s="3" t="s">
        <v>13</v>
      </c>
      <c r="F283" s="3" t="s">
        <v>14</v>
      </c>
      <c r="G283" s="3" t="s">
        <v>15</v>
      </c>
      <c r="H283" t="str">
        <f t="shared" si="8"/>
        <v>June</v>
      </c>
      <c r="I283">
        <f t="shared" si="9"/>
        <v>27</v>
      </c>
    </row>
    <row r="284" spans="1:9" x14ac:dyDescent="0.25">
      <c r="A284" s="2">
        <v>45474</v>
      </c>
      <c r="B284" s="5" t="s">
        <v>11</v>
      </c>
      <c r="C284">
        <f>ROUND(IF(ISBLANK('original data'!C284),0,'original data'!C284),0)</f>
        <v>120</v>
      </c>
      <c r="D284">
        <f>ROUND(IF(ISBLANK('original data'!D284),0,'original data'!D284),0)</f>
        <v>0</v>
      </c>
      <c r="E284" s="3" t="s">
        <v>13</v>
      </c>
      <c r="F284" s="3" t="s">
        <v>14</v>
      </c>
      <c r="G284" s="3" t="s">
        <v>15</v>
      </c>
      <c r="H284" t="str">
        <f t="shared" si="8"/>
        <v>July</v>
      </c>
      <c r="I284">
        <f t="shared" si="9"/>
        <v>27</v>
      </c>
    </row>
    <row r="285" spans="1:9" x14ac:dyDescent="0.25">
      <c r="A285" s="2">
        <v>45474</v>
      </c>
      <c r="B285" s="5" t="s">
        <v>24</v>
      </c>
      <c r="C285">
        <f>ROUND(IF(ISBLANK('original data'!C285),0,'original data'!C285),0)</f>
        <v>4006</v>
      </c>
      <c r="D285">
        <f>ROUND(IF(ISBLANK('original data'!D285),0,'original data'!D285),0)</f>
        <v>0</v>
      </c>
      <c r="E285" s="3" t="s">
        <v>26</v>
      </c>
      <c r="F285" s="3" t="s">
        <v>19</v>
      </c>
      <c r="G285" s="3" t="s">
        <v>15</v>
      </c>
      <c r="H285" t="str">
        <f t="shared" si="8"/>
        <v>July</v>
      </c>
      <c r="I285">
        <f t="shared" si="9"/>
        <v>27</v>
      </c>
    </row>
    <row r="286" spans="1:9" x14ac:dyDescent="0.25">
      <c r="A286" s="2">
        <v>45475</v>
      </c>
      <c r="B286" s="5" t="s">
        <v>69</v>
      </c>
      <c r="C286">
        <f>ROUND(IF(ISBLANK('original data'!C286),0,'original data'!C286),0)</f>
        <v>3118</v>
      </c>
      <c r="D286">
        <f>ROUND(IF(ISBLANK('original data'!D286),0,'original data'!D286),0)</f>
        <v>0</v>
      </c>
      <c r="E286" s="3" t="s">
        <v>39</v>
      </c>
      <c r="F286" s="3" t="s">
        <v>36</v>
      </c>
      <c r="G286" s="3" t="s">
        <v>15</v>
      </c>
      <c r="H286" t="str">
        <f t="shared" si="8"/>
        <v>July</v>
      </c>
      <c r="I286">
        <f t="shared" si="9"/>
        <v>27</v>
      </c>
    </row>
    <row r="287" spans="1:9" x14ac:dyDescent="0.25">
      <c r="A287" s="2">
        <v>45475</v>
      </c>
      <c r="B287" s="5" t="s">
        <v>71</v>
      </c>
      <c r="C287">
        <f>ROUND(IF(ISBLANK('original data'!C287),0,'original data'!C287),0)</f>
        <v>4327</v>
      </c>
      <c r="D287">
        <f>ROUND(IF(ISBLANK('original data'!D287),0,'original data'!D287),0)</f>
        <v>0</v>
      </c>
      <c r="E287" s="3" t="s">
        <v>35</v>
      </c>
      <c r="F287" s="3" t="s">
        <v>36</v>
      </c>
      <c r="G287" s="3" t="s">
        <v>15</v>
      </c>
      <c r="H287" t="str">
        <f t="shared" si="8"/>
        <v>July</v>
      </c>
      <c r="I287">
        <f t="shared" si="9"/>
        <v>27</v>
      </c>
    </row>
    <row r="288" spans="1:9" x14ac:dyDescent="0.25">
      <c r="A288" s="2">
        <v>45476</v>
      </c>
      <c r="B288" s="5" t="s">
        <v>37</v>
      </c>
      <c r="C288">
        <f>ROUND(IF(ISBLANK('original data'!C288),0,'original data'!C288),0)</f>
        <v>3602</v>
      </c>
      <c r="D288">
        <f>ROUND(IF(ISBLANK('original data'!D288),0,'original data'!D288),0)</f>
        <v>0</v>
      </c>
      <c r="E288" s="3" t="s">
        <v>39</v>
      </c>
      <c r="F288" s="3" t="s">
        <v>36</v>
      </c>
      <c r="G288" s="3" t="s">
        <v>15</v>
      </c>
      <c r="H288" t="str">
        <f t="shared" si="8"/>
        <v>July</v>
      </c>
      <c r="I288">
        <f t="shared" si="9"/>
        <v>27</v>
      </c>
    </row>
    <row r="289" spans="1:9" x14ac:dyDescent="0.25">
      <c r="A289" s="2">
        <v>45476</v>
      </c>
      <c r="B289" s="5" t="s">
        <v>43</v>
      </c>
      <c r="C289">
        <f>ROUND(IF(ISBLANK('original data'!C289),0,'original data'!C289),0)</f>
        <v>677</v>
      </c>
      <c r="D289">
        <f>ROUND(IF(ISBLANK('original data'!D289),0,'original data'!D289),0)</f>
        <v>0</v>
      </c>
      <c r="E289" s="3" t="s">
        <v>45</v>
      </c>
      <c r="F289" s="3" t="s">
        <v>23</v>
      </c>
      <c r="G289" s="3" t="s">
        <v>15</v>
      </c>
      <c r="H289" t="str">
        <f t="shared" si="8"/>
        <v>July</v>
      </c>
      <c r="I289">
        <f t="shared" si="9"/>
        <v>27</v>
      </c>
    </row>
    <row r="290" spans="1:9" x14ac:dyDescent="0.25">
      <c r="A290" s="2">
        <v>45476</v>
      </c>
      <c r="B290" s="5" t="s">
        <v>121</v>
      </c>
      <c r="C290">
        <f>ROUND(IF(ISBLANK('original data'!C290),0,'original data'!C290),0)</f>
        <v>360</v>
      </c>
      <c r="D290">
        <f>ROUND(IF(ISBLANK('original data'!D290),0,'original data'!D290),0)</f>
        <v>0</v>
      </c>
      <c r="E290" s="3" t="s">
        <v>42</v>
      </c>
      <c r="F290" s="3" t="s">
        <v>14</v>
      </c>
      <c r="G290" s="3" t="s">
        <v>15</v>
      </c>
      <c r="H290" t="str">
        <f t="shared" si="8"/>
        <v>July</v>
      </c>
      <c r="I290">
        <f t="shared" si="9"/>
        <v>27</v>
      </c>
    </row>
    <row r="291" spans="1:9" x14ac:dyDescent="0.25">
      <c r="A291" s="2">
        <v>45477</v>
      </c>
      <c r="B291" s="5" t="s">
        <v>11</v>
      </c>
      <c r="C291">
        <f>ROUND(IF(ISBLANK('original data'!C291),0,'original data'!C291),0)</f>
        <v>120</v>
      </c>
      <c r="D291">
        <f>ROUND(IF(ISBLANK('original data'!D291),0,'original data'!D291),0)</f>
        <v>0</v>
      </c>
      <c r="E291" s="3" t="s">
        <v>13</v>
      </c>
      <c r="F291" s="3" t="s">
        <v>14</v>
      </c>
      <c r="G291" s="3" t="s">
        <v>15</v>
      </c>
      <c r="H291" t="str">
        <f t="shared" si="8"/>
        <v>July</v>
      </c>
      <c r="I291">
        <f t="shared" si="9"/>
        <v>27</v>
      </c>
    </row>
    <row r="292" spans="1:9" x14ac:dyDescent="0.25">
      <c r="A292" s="2">
        <v>45478</v>
      </c>
      <c r="B292" s="5" t="s">
        <v>11</v>
      </c>
      <c r="C292">
        <f>ROUND(IF(ISBLANK('original data'!C292),0,'original data'!C292),0)</f>
        <v>120</v>
      </c>
      <c r="D292">
        <f>ROUND(IF(ISBLANK('original data'!D292),0,'original data'!D292),0)</f>
        <v>0</v>
      </c>
      <c r="E292" s="3" t="s">
        <v>13</v>
      </c>
      <c r="F292" s="3" t="s">
        <v>14</v>
      </c>
      <c r="G292" s="3" t="s">
        <v>15</v>
      </c>
      <c r="H292" t="str">
        <f t="shared" si="8"/>
        <v>July</v>
      </c>
      <c r="I292">
        <f t="shared" si="9"/>
        <v>27</v>
      </c>
    </row>
    <row r="293" spans="1:9" x14ac:dyDescent="0.25">
      <c r="A293" s="2">
        <v>45479</v>
      </c>
      <c r="B293" s="5" t="s">
        <v>7</v>
      </c>
      <c r="C293">
        <f>ROUND(IF(ISBLANK('original data'!C293),0,'original data'!C293),0)</f>
        <v>0</v>
      </c>
      <c r="D293">
        <f>ROUND(IF(ISBLANK('original data'!D293),0,'original data'!D293),0)</f>
        <v>120000</v>
      </c>
      <c r="E293" s="3" t="s">
        <v>75</v>
      </c>
      <c r="F293" s="3" t="s">
        <v>9</v>
      </c>
      <c r="G293" s="3" t="s">
        <v>10</v>
      </c>
      <c r="H293" t="str">
        <f t="shared" si="8"/>
        <v>July</v>
      </c>
      <c r="I293">
        <f t="shared" si="9"/>
        <v>27</v>
      </c>
    </row>
    <row r="294" spans="1:9" x14ac:dyDescent="0.25">
      <c r="A294" s="2">
        <v>45480</v>
      </c>
      <c r="B294" s="5" t="s">
        <v>11</v>
      </c>
      <c r="C294">
        <f>ROUND(IF(ISBLANK('original data'!C294),0,'original data'!C294),0)</f>
        <v>120</v>
      </c>
      <c r="D294">
        <f>ROUND(IF(ISBLANK('original data'!D294),0,'original data'!D294),0)</f>
        <v>0</v>
      </c>
      <c r="E294" s="3" t="s">
        <v>13</v>
      </c>
      <c r="F294" s="3" t="s">
        <v>14</v>
      </c>
      <c r="G294" s="3" t="s">
        <v>15</v>
      </c>
      <c r="H294" t="str">
        <f t="shared" si="8"/>
        <v>July</v>
      </c>
      <c r="I294">
        <f t="shared" si="9"/>
        <v>28</v>
      </c>
    </row>
    <row r="295" spans="1:9" x14ac:dyDescent="0.25">
      <c r="A295" s="2">
        <v>45482</v>
      </c>
      <c r="B295" s="5" t="s">
        <v>16</v>
      </c>
      <c r="C295">
        <f>ROUND(IF(ISBLANK('original data'!C295),0,'original data'!C295),0)</f>
        <v>21600</v>
      </c>
      <c r="D295">
        <f>ROUND(IF(ISBLANK('original data'!D295),0,'original data'!D295),0)</f>
        <v>0</v>
      </c>
      <c r="E295" s="3" t="s">
        <v>18</v>
      </c>
      <c r="F295" s="3" t="s">
        <v>19</v>
      </c>
      <c r="G295" s="3" t="s">
        <v>15</v>
      </c>
      <c r="H295" t="str">
        <f t="shared" si="8"/>
        <v>July</v>
      </c>
      <c r="I295">
        <f t="shared" si="9"/>
        <v>28</v>
      </c>
    </row>
    <row r="296" spans="1:9" x14ac:dyDescent="0.25">
      <c r="A296" s="2">
        <v>45482</v>
      </c>
      <c r="B296" s="5" t="s">
        <v>20</v>
      </c>
      <c r="C296">
        <f>ROUND(IF(ISBLANK('original data'!C296),0,'original data'!C296),0)</f>
        <v>3600</v>
      </c>
      <c r="D296">
        <f>ROUND(IF(ISBLANK('original data'!D296),0,'original data'!D296),0)</f>
        <v>0</v>
      </c>
      <c r="E296" s="3" t="s">
        <v>22</v>
      </c>
      <c r="F296" s="3" t="s">
        <v>23</v>
      </c>
      <c r="G296" s="3" t="s">
        <v>15</v>
      </c>
      <c r="H296" t="str">
        <f t="shared" si="8"/>
        <v>July</v>
      </c>
      <c r="I296">
        <f t="shared" si="9"/>
        <v>28</v>
      </c>
    </row>
    <row r="297" spans="1:9" x14ac:dyDescent="0.25">
      <c r="A297" s="2">
        <v>45482</v>
      </c>
      <c r="B297" s="5" t="s">
        <v>178</v>
      </c>
      <c r="C297">
        <f>ROUND(IF(ISBLANK('original data'!C297),0,'original data'!C297),0)</f>
        <v>360</v>
      </c>
      <c r="D297">
        <f>ROUND(IF(ISBLANK('original data'!D297),0,'original data'!D297),0)</f>
        <v>0</v>
      </c>
      <c r="E297" s="3" t="s">
        <v>42</v>
      </c>
      <c r="F297" s="3" t="s">
        <v>14</v>
      </c>
      <c r="G297" s="3" t="s">
        <v>15</v>
      </c>
      <c r="H297" t="str">
        <f t="shared" si="8"/>
        <v>July</v>
      </c>
      <c r="I297">
        <f t="shared" si="9"/>
        <v>28</v>
      </c>
    </row>
    <row r="298" spans="1:9" x14ac:dyDescent="0.25">
      <c r="A298" s="2">
        <v>45482</v>
      </c>
      <c r="B298" s="5" t="s">
        <v>11</v>
      </c>
      <c r="C298">
        <f>ROUND(IF(ISBLANK('original data'!C298),0,'original data'!C298),0)</f>
        <v>120</v>
      </c>
      <c r="D298">
        <f>ROUND(IF(ISBLANK('original data'!D298),0,'original data'!D298),0)</f>
        <v>0</v>
      </c>
      <c r="E298" s="3" t="s">
        <v>13</v>
      </c>
      <c r="F298" s="3" t="s">
        <v>14</v>
      </c>
      <c r="G298" s="3" t="s">
        <v>15</v>
      </c>
      <c r="H298" t="str">
        <f t="shared" si="8"/>
        <v>July</v>
      </c>
      <c r="I298">
        <f t="shared" si="9"/>
        <v>28</v>
      </c>
    </row>
    <row r="299" spans="1:9" x14ac:dyDescent="0.25">
      <c r="A299" s="2">
        <v>45483</v>
      </c>
      <c r="B299" s="5" t="s">
        <v>11</v>
      </c>
      <c r="C299">
        <f>ROUND(IF(ISBLANK('original data'!C299),0,'original data'!C299),0)</f>
        <v>120</v>
      </c>
      <c r="D299">
        <f>ROUND(IF(ISBLANK('original data'!D299),0,'original data'!D299),0)</f>
        <v>0</v>
      </c>
      <c r="E299" s="3" t="s">
        <v>13</v>
      </c>
      <c r="F299" s="3" t="s">
        <v>14</v>
      </c>
      <c r="G299" s="3" t="s">
        <v>15</v>
      </c>
      <c r="H299" t="str">
        <f t="shared" si="8"/>
        <v>July</v>
      </c>
      <c r="I299">
        <f t="shared" si="9"/>
        <v>28</v>
      </c>
    </row>
    <row r="300" spans="1:9" x14ac:dyDescent="0.25">
      <c r="A300" s="2">
        <v>45484</v>
      </c>
      <c r="B300" s="5" t="s">
        <v>11</v>
      </c>
      <c r="C300">
        <f>ROUND(IF(ISBLANK('original data'!C300),0,'original data'!C300),0)</f>
        <v>120</v>
      </c>
      <c r="D300">
        <f>ROUND(IF(ISBLANK('original data'!D300),0,'original data'!D300),0)</f>
        <v>0</v>
      </c>
      <c r="E300" s="3" t="s">
        <v>13</v>
      </c>
      <c r="F300" s="3" t="s">
        <v>14</v>
      </c>
      <c r="G300" s="3" t="s">
        <v>15</v>
      </c>
      <c r="H300" t="str">
        <f t="shared" si="8"/>
        <v>July</v>
      </c>
      <c r="I300">
        <f t="shared" si="9"/>
        <v>28</v>
      </c>
    </row>
    <row r="301" spans="1:9" x14ac:dyDescent="0.25">
      <c r="A301" s="2">
        <v>45484</v>
      </c>
      <c r="B301" s="5" t="s">
        <v>24</v>
      </c>
      <c r="C301">
        <f>ROUND(IF(ISBLANK('original data'!C301),0,'original data'!C301),0)</f>
        <v>4320</v>
      </c>
      <c r="D301">
        <f>ROUND(IF(ISBLANK('original data'!D301),0,'original data'!D301),0)</f>
        <v>0</v>
      </c>
      <c r="E301" s="3" t="s">
        <v>26</v>
      </c>
      <c r="F301" s="3" t="s">
        <v>19</v>
      </c>
      <c r="G301" s="3" t="s">
        <v>15</v>
      </c>
      <c r="H301" t="str">
        <f t="shared" si="8"/>
        <v>July</v>
      </c>
      <c r="I301">
        <f t="shared" si="9"/>
        <v>28</v>
      </c>
    </row>
    <row r="302" spans="1:9" x14ac:dyDescent="0.25">
      <c r="A302" s="2">
        <v>45487</v>
      </c>
      <c r="B302" s="5" t="s">
        <v>27</v>
      </c>
      <c r="C302">
        <f>ROUND(IF(ISBLANK('original data'!C302),0,'original data'!C302),0)</f>
        <v>1346</v>
      </c>
      <c r="D302">
        <f>ROUND(IF(ISBLANK('original data'!D302),0,'original data'!D302),0)</f>
        <v>0</v>
      </c>
      <c r="E302" s="3" t="s">
        <v>29</v>
      </c>
      <c r="F302" s="3" t="s">
        <v>19</v>
      </c>
      <c r="G302" s="3" t="s">
        <v>15</v>
      </c>
      <c r="H302" t="str">
        <f t="shared" si="8"/>
        <v>July</v>
      </c>
      <c r="I302">
        <f t="shared" si="9"/>
        <v>29</v>
      </c>
    </row>
    <row r="303" spans="1:9" x14ac:dyDescent="0.25">
      <c r="A303" s="2">
        <v>45487</v>
      </c>
      <c r="B303" s="5" t="s">
        <v>11</v>
      </c>
      <c r="C303">
        <f>ROUND(IF(ISBLANK('original data'!C303),0,'original data'!C303),0)</f>
        <v>120</v>
      </c>
      <c r="D303">
        <f>ROUND(IF(ISBLANK('original data'!D303),0,'original data'!D303),0)</f>
        <v>0</v>
      </c>
      <c r="E303" s="3" t="s">
        <v>13</v>
      </c>
      <c r="F303" s="3" t="s">
        <v>14</v>
      </c>
      <c r="G303" s="3" t="s">
        <v>15</v>
      </c>
      <c r="H303" t="str">
        <f t="shared" si="8"/>
        <v>July</v>
      </c>
      <c r="I303">
        <f t="shared" si="9"/>
        <v>29</v>
      </c>
    </row>
    <row r="304" spans="1:9" x14ac:dyDescent="0.25">
      <c r="A304" s="2">
        <v>45488</v>
      </c>
      <c r="B304" s="5" t="s">
        <v>11</v>
      </c>
      <c r="C304">
        <f>ROUND(IF(ISBLANK('original data'!C304),0,'original data'!C304),0)</f>
        <v>120</v>
      </c>
      <c r="D304">
        <f>ROUND(IF(ISBLANK('original data'!D304),0,'original data'!D304),0)</f>
        <v>0</v>
      </c>
      <c r="E304" s="3" t="s">
        <v>13</v>
      </c>
      <c r="F304" s="3" t="s">
        <v>14</v>
      </c>
      <c r="G304" s="3" t="s">
        <v>15</v>
      </c>
      <c r="H304" t="str">
        <f t="shared" si="8"/>
        <v>July</v>
      </c>
      <c r="I304">
        <f t="shared" si="9"/>
        <v>29</v>
      </c>
    </row>
    <row r="305" spans="1:9" x14ac:dyDescent="0.25">
      <c r="A305" s="2">
        <v>45489</v>
      </c>
      <c r="B305" s="5" t="s">
        <v>30</v>
      </c>
      <c r="C305">
        <f>ROUND(IF(ISBLANK('original data'!C305),0,'original data'!C305),0)</f>
        <v>1994</v>
      </c>
      <c r="D305">
        <f>ROUND(IF(ISBLANK('original data'!D305),0,'original data'!D305),0)</f>
        <v>0</v>
      </c>
      <c r="E305" s="3" t="s">
        <v>67</v>
      </c>
      <c r="F305" s="3" t="s">
        <v>23</v>
      </c>
      <c r="G305" s="3" t="s">
        <v>15</v>
      </c>
      <c r="H305" t="str">
        <f t="shared" si="8"/>
        <v>July</v>
      </c>
      <c r="I305">
        <f t="shared" si="9"/>
        <v>29</v>
      </c>
    </row>
    <row r="306" spans="1:9" x14ac:dyDescent="0.25">
      <c r="A306" s="2">
        <v>45489</v>
      </c>
      <c r="B306" s="5" t="s">
        <v>11</v>
      </c>
      <c r="C306">
        <f>ROUND(IF(ISBLANK('original data'!C306),0,'original data'!C306),0)</f>
        <v>120</v>
      </c>
      <c r="D306">
        <f>ROUND(IF(ISBLANK('original data'!D306),0,'original data'!D306),0)</f>
        <v>0</v>
      </c>
      <c r="E306" s="3" t="s">
        <v>13</v>
      </c>
      <c r="F306" s="3" t="s">
        <v>14</v>
      </c>
      <c r="G306" s="3" t="s">
        <v>15</v>
      </c>
      <c r="H306" t="str">
        <f t="shared" si="8"/>
        <v>July</v>
      </c>
      <c r="I306">
        <f t="shared" si="9"/>
        <v>29</v>
      </c>
    </row>
    <row r="307" spans="1:9" x14ac:dyDescent="0.25">
      <c r="A307" s="2">
        <v>45490</v>
      </c>
      <c r="B307" s="5" t="s">
        <v>11</v>
      </c>
      <c r="C307">
        <f>ROUND(IF(ISBLANK('original data'!C307),0,'original data'!C307),0)</f>
        <v>120</v>
      </c>
      <c r="D307">
        <f>ROUND(IF(ISBLANK('original data'!D307),0,'original data'!D307),0)</f>
        <v>0</v>
      </c>
      <c r="E307" s="3" t="s">
        <v>13</v>
      </c>
      <c r="F307" s="3" t="s">
        <v>14</v>
      </c>
      <c r="G307" s="3" t="s">
        <v>15</v>
      </c>
      <c r="H307" t="str">
        <f t="shared" si="8"/>
        <v>July</v>
      </c>
      <c r="I307">
        <f t="shared" si="9"/>
        <v>29</v>
      </c>
    </row>
    <row r="308" spans="1:9" x14ac:dyDescent="0.25">
      <c r="A308" s="2">
        <v>45491</v>
      </c>
      <c r="B308" s="5" t="s">
        <v>24</v>
      </c>
      <c r="C308">
        <f>ROUND(IF(ISBLANK('original data'!C308),0,'original data'!C308),0)</f>
        <v>3386</v>
      </c>
      <c r="D308">
        <f>ROUND(IF(ISBLANK('original data'!D308),0,'original data'!D308),0)</f>
        <v>0</v>
      </c>
      <c r="E308" s="3" t="s">
        <v>26</v>
      </c>
      <c r="F308" s="3" t="s">
        <v>19</v>
      </c>
      <c r="G308" s="3" t="s">
        <v>15</v>
      </c>
      <c r="H308" t="str">
        <f t="shared" si="8"/>
        <v>July</v>
      </c>
      <c r="I308">
        <f t="shared" si="9"/>
        <v>29</v>
      </c>
    </row>
    <row r="309" spans="1:9" x14ac:dyDescent="0.25">
      <c r="A309" s="2">
        <v>45491</v>
      </c>
      <c r="B309" s="5" t="s">
        <v>11</v>
      </c>
      <c r="C309">
        <f>ROUND(IF(ISBLANK('original data'!C309),0,'original data'!C309),0)</f>
        <v>120</v>
      </c>
      <c r="D309">
        <f>ROUND(IF(ISBLANK('original data'!D309),0,'original data'!D309),0)</f>
        <v>0</v>
      </c>
      <c r="E309" s="3" t="s">
        <v>13</v>
      </c>
      <c r="F309" s="3" t="s">
        <v>14</v>
      </c>
      <c r="G309" s="3" t="s">
        <v>15</v>
      </c>
      <c r="H309" t="str">
        <f t="shared" si="8"/>
        <v>July</v>
      </c>
      <c r="I309">
        <f t="shared" si="9"/>
        <v>29</v>
      </c>
    </row>
    <row r="310" spans="1:9" x14ac:dyDescent="0.25">
      <c r="A310" s="2">
        <v>45492</v>
      </c>
      <c r="B310" s="5" t="s">
        <v>11</v>
      </c>
      <c r="C310">
        <f>ROUND(IF(ISBLANK('original data'!C310),0,'original data'!C310),0)</f>
        <v>120</v>
      </c>
      <c r="D310">
        <f>ROUND(IF(ISBLANK('original data'!D310),0,'original data'!D310),0)</f>
        <v>0</v>
      </c>
      <c r="E310" s="3" t="s">
        <v>13</v>
      </c>
      <c r="F310" s="3" t="s">
        <v>14</v>
      </c>
      <c r="G310" s="3" t="s">
        <v>15</v>
      </c>
      <c r="H310" t="str">
        <f t="shared" si="8"/>
        <v>July</v>
      </c>
      <c r="I310">
        <f t="shared" si="9"/>
        <v>29</v>
      </c>
    </row>
    <row r="311" spans="1:9" x14ac:dyDescent="0.25">
      <c r="A311" s="2">
        <v>45492</v>
      </c>
      <c r="B311" s="5" t="s">
        <v>33</v>
      </c>
      <c r="C311">
        <f>ROUND(IF(ISBLANK('original data'!C311),0,'original data'!C311),0)</f>
        <v>1099</v>
      </c>
      <c r="D311">
        <f>ROUND(IF(ISBLANK('original data'!D311),0,'original data'!D311),0)</f>
        <v>0</v>
      </c>
      <c r="E311" s="3" t="s">
        <v>35</v>
      </c>
      <c r="F311" s="3" t="s">
        <v>36</v>
      </c>
      <c r="G311" s="3" t="s">
        <v>15</v>
      </c>
      <c r="H311" t="str">
        <f t="shared" si="8"/>
        <v>July</v>
      </c>
      <c r="I311">
        <f t="shared" si="9"/>
        <v>29</v>
      </c>
    </row>
    <row r="312" spans="1:9" x14ac:dyDescent="0.25">
      <c r="A312" s="2">
        <v>45492</v>
      </c>
      <c r="B312" s="5" t="s">
        <v>81</v>
      </c>
      <c r="C312">
        <f>ROUND(IF(ISBLANK('original data'!C312),0,'original data'!C312),0)</f>
        <v>2491</v>
      </c>
      <c r="D312">
        <f>ROUND(IF(ISBLANK('original data'!D312),0,'original data'!D312),0)</f>
        <v>0</v>
      </c>
      <c r="E312" s="3" t="s">
        <v>39</v>
      </c>
      <c r="F312" s="3" t="s">
        <v>36</v>
      </c>
      <c r="G312" s="3" t="s">
        <v>15</v>
      </c>
      <c r="H312" t="str">
        <f t="shared" si="8"/>
        <v>July</v>
      </c>
      <c r="I312">
        <f t="shared" si="9"/>
        <v>29</v>
      </c>
    </row>
    <row r="313" spans="1:9" x14ac:dyDescent="0.25">
      <c r="A313" s="2">
        <v>45492</v>
      </c>
      <c r="B313" s="5" t="s">
        <v>40</v>
      </c>
      <c r="C313">
        <f>ROUND(IF(ISBLANK('original data'!C313),0,'original data'!C313),0)</f>
        <v>1392</v>
      </c>
      <c r="D313">
        <f>ROUND(IF(ISBLANK('original data'!D313),0,'original data'!D313),0)</f>
        <v>0</v>
      </c>
      <c r="E313" s="3" t="s">
        <v>42</v>
      </c>
      <c r="F313" s="3" t="s">
        <v>14</v>
      </c>
      <c r="G313" s="3" t="s">
        <v>15</v>
      </c>
      <c r="H313" t="str">
        <f t="shared" si="8"/>
        <v>July</v>
      </c>
      <c r="I313">
        <f t="shared" si="9"/>
        <v>29</v>
      </c>
    </row>
    <row r="314" spans="1:9" x14ac:dyDescent="0.25">
      <c r="A314" s="2">
        <v>45493</v>
      </c>
      <c r="B314" s="5" t="s">
        <v>43</v>
      </c>
      <c r="C314">
        <f>ROUND(IF(ISBLANK('original data'!C314),0,'original data'!C314),0)</f>
        <v>821</v>
      </c>
      <c r="D314">
        <f>ROUND(IF(ISBLANK('original data'!D314),0,'original data'!D314),0)</f>
        <v>0</v>
      </c>
      <c r="E314" s="3" t="s">
        <v>45</v>
      </c>
      <c r="F314" s="3" t="s">
        <v>23</v>
      </c>
      <c r="G314" s="3" t="s">
        <v>15</v>
      </c>
      <c r="H314" t="str">
        <f t="shared" si="8"/>
        <v>July</v>
      </c>
      <c r="I314">
        <f t="shared" si="9"/>
        <v>29</v>
      </c>
    </row>
    <row r="315" spans="1:9" x14ac:dyDescent="0.25">
      <c r="A315" s="2">
        <v>45494</v>
      </c>
      <c r="B315" s="5" t="s">
        <v>46</v>
      </c>
      <c r="C315">
        <f>ROUND(IF(ISBLANK('original data'!C315),0,'original data'!C315),0)</f>
        <v>0</v>
      </c>
      <c r="D315">
        <f>ROUND(IF(ISBLANK('original data'!D315),0,'original data'!D315),0)</f>
        <v>4800</v>
      </c>
      <c r="E315" s="3" t="s">
        <v>48</v>
      </c>
      <c r="F315" s="3" t="s">
        <v>49</v>
      </c>
      <c r="G315" s="3" t="s">
        <v>10</v>
      </c>
      <c r="H315" t="str">
        <f t="shared" si="8"/>
        <v>July</v>
      </c>
      <c r="I315">
        <f t="shared" si="9"/>
        <v>30</v>
      </c>
    </row>
    <row r="316" spans="1:9" x14ac:dyDescent="0.25">
      <c r="A316" s="2">
        <v>45494</v>
      </c>
      <c r="B316" s="5" t="s">
        <v>11</v>
      </c>
      <c r="C316">
        <f>ROUND(IF(ISBLANK('original data'!C316),0,'original data'!C316),0)</f>
        <v>120</v>
      </c>
      <c r="D316">
        <f>ROUND(IF(ISBLANK('original data'!D316),0,'original data'!D316),0)</f>
        <v>0</v>
      </c>
      <c r="E316" s="3" t="s">
        <v>13</v>
      </c>
      <c r="F316" s="3" t="s">
        <v>14</v>
      </c>
      <c r="G316" s="3" t="s">
        <v>15</v>
      </c>
      <c r="H316" t="str">
        <f t="shared" si="8"/>
        <v>July</v>
      </c>
      <c r="I316">
        <f t="shared" si="9"/>
        <v>30</v>
      </c>
    </row>
    <row r="317" spans="1:9" x14ac:dyDescent="0.25">
      <c r="A317" s="2">
        <v>45495</v>
      </c>
      <c r="B317" s="5" t="s">
        <v>11</v>
      </c>
      <c r="C317">
        <f>ROUND(IF(ISBLANK('original data'!C317),0,'original data'!C317),0)</f>
        <v>120</v>
      </c>
      <c r="D317">
        <f>ROUND(IF(ISBLANK('original data'!D317),0,'original data'!D317),0)</f>
        <v>0</v>
      </c>
      <c r="E317" s="3" t="s">
        <v>13</v>
      </c>
      <c r="F317" s="3" t="s">
        <v>14</v>
      </c>
      <c r="G317" s="3" t="s">
        <v>15</v>
      </c>
      <c r="H317" t="str">
        <f t="shared" si="8"/>
        <v>July</v>
      </c>
      <c r="I317">
        <f t="shared" si="9"/>
        <v>30</v>
      </c>
    </row>
    <row r="318" spans="1:9" x14ac:dyDescent="0.25">
      <c r="A318" s="2">
        <v>45495</v>
      </c>
      <c r="B318" s="5" t="s">
        <v>51</v>
      </c>
      <c r="C318">
        <f>ROUND(IF(ISBLANK('original data'!C318),0,'original data'!C318),0)</f>
        <v>960</v>
      </c>
      <c r="D318">
        <f>ROUND(IF(ISBLANK('original data'!D318),0,'original data'!D318),0)</f>
        <v>0</v>
      </c>
      <c r="E318" s="3" t="s">
        <v>51</v>
      </c>
      <c r="F318" s="3" t="s">
        <v>19</v>
      </c>
      <c r="G318" s="3" t="s">
        <v>15</v>
      </c>
      <c r="H318" t="str">
        <f t="shared" si="8"/>
        <v>July</v>
      </c>
      <c r="I318">
        <f t="shared" si="9"/>
        <v>30</v>
      </c>
    </row>
    <row r="319" spans="1:9" x14ac:dyDescent="0.25">
      <c r="A319" s="2">
        <v>45496</v>
      </c>
      <c r="B319" s="5" t="s">
        <v>52</v>
      </c>
      <c r="C319">
        <f>ROUND(IF(ISBLANK('original data'!C319),0,'original data'!C319),0)</f>
        <v>1226</v>
      </c>
      <c r="D319">
        <f>ROUND(IF(ISBLANK('original data'!D319),0,'original data'!D319),0)</f>
        <v>0</v>
      </c>
      <c r="E319" s="3" t="s">
        <v>54</v>
      </c>
      <c r="F319" s="3" t="s">
        <v>36</v>
      </c>
      <c r="G319" s="3" t="s">
        <v>15</v>
      </c>
      <c r="H319" t="str">
        <f t="shared" si="8"/>
        <v>July</v>
      </c>
      <c r="I319">
        <f t="shared" si="9"/>
        <v>30</v>
      </c>
    </row>
    <row r="320" spans="1:9" x14ac:dyDescent="0.25">
      <c r="A320" s="2">
        <v>45496</v>
      </c>
      <c r="B320" s="5" t="s">
        <v>55</v>
      </c>
      <c r="C320">
        <f>ROUND(IF(ISBLANK('original data'!C320),0,'original data'!C320),0)</f>
        <v>840</v>
      </c>
      <c r="D320">
        <f>ROUND(IF(ISBLANK('original data'!D320),0,'original data'!D320),0)</f>
        <v>0</v>
      </c>
      <c r="E320" s="3" t="s">
        <v>35</v>
      </c>
      <c r="F320" s="3" t="s">
        <v>36</v>
      </c>
      <c r="G320" s="3" t="s">
        <v>15</v>
      </c>
      <c r="H320" t="str">
        <f t="shared" si="8"/>
        <v>July</v>
      </c>
      <c r="I320">
        <f t="shared" si="9"/>
        <v>30</v>
      </c>
    </row>
    <row r="321" spans="1:9" x14ac:dyDescent="0.25">
      <c r="A321" s="2">
        <v>45496</v>
      </c>
      <c r="B321" s="5" t="s">
        <v>11</v>
      </c>
      <c r="C321">
        <f>ROUND(IF(ISBLANK('original data'!C321),0,'original data'!C321),0)</f>
        <v>120</v>
      </c>
      <c r="D321">
        <f>ROUND(IF(ISBLANK('original data'!D321),0,'original data'!D321),0)</f>
        <v>0</v>
      </c>
      <c r="E321" s="3" t="s">
        <v>13</v>
      </c>
      <c r="F321" s="3" t="s">
        <v>14</v>
      </c>
      <c r="G321" s="3" t="s">
        <v>15</v>
      </c>
      <c r="H321" t="str">
        <f t="shared" si="8"/>
        <v>July</v>
      </c>
      <c r="I321">
        <f t="shared" si="9"/>
        <v>30</v>
      </c>
    </row>
    <row r="322" spans="1:9" x14ac:dyDescent="0.25">
      <c r="A322" s="2">
        <v>45497</v>
      </c>
      <c r="B322" s="5" t="s">
        <v>11</v>
      </c>
      <c r="C322">
        <f>ROUND(IF(ISBLANK('original data'!C322),0,'original data'!C322),0)</f>
        <v>120</v>
      </c>
      <c r="D322">
        <f>ROUND(IF(ISBLANK('original data'!D322),0,'original data'!D322),0)</f>
        <v>0</v>
      </c>
      <c r="E322" s="3" t="s">
        <v>13</v>
      </c>
      <c r="F322" s="3" t="s">
        <v>14</v>
      </c>
      <c r="G322" s="3" t="s">
        <v>15</v>
      </c>
      <c r="H322" t="str">
        <f t="shared" si="8"/>
        <v>July</v>
      </c>
      <c r="I322">
        <f t="shared" si="9"/>
        <v>30</v>
      </c>
    </row>
    <row r="323" spans="1:9" x14ac:dyDescent="0.25">
      <c r="A323" s="2">
        <v>45498</v>
      </c>
      <c r="B323" s="5" t="s">
        <v>11</v>
      </c>
      <c r="C323">
        <f>ROUND(IF(ISBLANK('original data'!C323),0,'original data'!C323),0)</f>
        <v>120</v>
      </c>
      <c r="D323">
        <f>ROUND(IF(ISBLANK('original data'!D323),0,'original data'!D323),0)</f>
        <v>0</v>
      </c>
      <c r="E323" s="3" t="s">
        <v>13</v>
      </c>
      <c r="F323" s="3" t="s">
        <v>14</v>
      </c>
      <c r="G323" s="3" t="s">
        <v>15</v>
      </c>
      <c r="H323" t="str">
        <f t="shared" ref="H323:H386" si="10">TEXT(A323,"MMMM")</f>
        <v>July</v>
      </c>
      <c r="I323">
        <f t="shared" ref="I323:I386" si="11">WEEKNUM(A323)</f>
        <v>30</v>
      </c>
    </row>
    <row r="324" spans="1:9" x14ac:dyDescent="0.25">
      <c r="A324" s="2">
        <v>45498</v>
      </c>
      <c r="B324" s="5" t="s">
        <v>24</v>
      </c>
      <c r="C324">
        <f>ROUND(IF(ISBLANK('original data'!C324),0,'original data'!C324),0)</f>
        <v>4224</v>
      </c>
      <c r="D324">
        <f>ROUND(IF(ISBLANK('original data'!D324),0,'original data'!D324),0)</f>
        <v>0</v>
      </c>
      <c r="E324" s="3" t="s">
        <v>26</v>
      </c>
      <c r="F324" s="3" t="s">
        <v>19</v>
      </c>
      <c r="G324" s="3" t="s">
        <v>15</v>
      </c>
      <c r="H324" t="str">
        <f t="shared" si="10"/>
        <v>July</v>
      </c>
      <c r="I324">
        <f t="shared" si="11"/>
        <v>30</v>
      </c>
    </row>
    <row r="325" spans="1:9" x14ac:dyDescent="0.25">
      <c r="A325" s="2">
        <v>45499</v>
      </c>
      <c r="B325" s="5" t="s">
        <v>58</v>
      </c>
      <c r="C325">
        <f>ROUND(IF(ISBLANK('original data'!C325),0,'original data'!C325),0)</f>
        <v>1034</v>
      </c>
      <c r="D325">
        <f>ROUND(IF(ISBLANK('original data'!D325),0,'original data'!D325),0)</f>
        <v>0</v>
      </c>
      <c r="E325" s="3" t="s">
        <v>42</v>
      </c>
      <c r="F325" s="3" t="s">
        <v>14</v>
      </c>
      <c r="G325" s="3" t="s">
        <v>15</v>
      </c>
      <c r="H325" t="str">
        <f t="shared" si="10"/>
        <v>July</v>
      </c>
      <c r="I325">
        <f t="shared" si="11"/>
        <v>30</v>
      </c>
    </row>
    <row r="326" spans="1:9" x14ac:dyDescent="0.25">
      <c r="A326" s="2">
        <v>45500</v>
      </c>
      <c r="B326" s="5" t="s">
        <v>60</v>
      </c>
      <c r="C326">
        <f>ROUND(IF(ISBLANK('original data'!C326),0,'original data'!C326),0)</f>
        <v>437</v>
      </c>
      <c r="D326">
        <f>ROUND(IF(ISBLANK('original data'!D326),0,'original data'!D326),0)</f>
        <v>0</v>
      </c>
      <c r="E326" s="3" t="s">
        <v>42</v>
      </c>
      <c r="F326" s="3" t="s">
        <v>14</v>
      </c>
      <c r="G326" s="3" t="s">
        <v>15</v>
      </c>
      <c r="H326" t="str">
        <f t="shared" si="10"/>
        <v>July</v>
      </c>
      <c r="I326">
        <f t="shared" si="11"/>
        <v>30</v>
      </c>
    </row>
    <row r="327" spans="1:9" x14ac:dyDescent="0.25">
      <c r="A327" s="2">
        <v>45501</v>
      </c>
      <c r="B327" s="5" t="s">
        <v>62</v>
      </c>
      <c r="C327">
        <f>ROUND(IF(ISBLANK('original data'!C327),0,'original data'!C327),0)</f>
        <v>1320</v>
      </c>
      <c r="D327">
        <f>ROUND(IF(ISBLANK('original data'!D327),0,'original data'!D327),0)</f>
        <v>0</v>
      </c>
      <c r="E327" s="3" t="s">
        <v>64</v>
      </c>
      <c r="F327" s="3" t="s">
        <v>65</v>
      </c>
      <c r="G327" s="3" t="s">
        <v>15</v>
      </c>
      <c r="H327" t="str">
        <f t="shared" si="10"/>
        <v>July</v>
      </c>
      <c r="I327">
        <f t="shared" si="11"/>
        <v>31</v>
      </c>
    </row>
    <row r="328" spans="1:9" x14ac:dyDescent="0.25">
      <c r="A328" s="2">
        <v>45501</v>
      </c>
      <c r="B328" s="5" t="s">
        <v>30</v>
      </c>
      <c r="C328">
        <f>ROUND(IF(ISBLANK('original data'!C328),0,'original data'!C328),0)</f>
        <v>1651</v>
      </c>
      <c r="D328">
        <f>ROUND(IF(ISBLANK('original data'!D328),0,'original data'!D328),0)</f>
        <v>0</v>
      </c>
      <c r="E328" s="3" t="s">
        <v>67</v>
      </c>
      <c r="F328" s="3" t="s">
        <v>23</v>
      </c>
      <c r="G328" s="3" t="s">
        <v>15</v>
      </c>
      <c r="H328" t="str">
        <f t="shared" si="10"/>
        <v>July</v>
      </c>
      <c r="I328">
        <f t="shared" si="11"/>
        <v>31</v>
      </c>
    </row>
    <row r="329" spans="1:9" x14ac:dyDescent="0.25">
      <c r="A329" s="2">
        <v>45501</v>
      </c>
      <c r="B329" s="5" t="s">
        <v>11</v>
      </c>
      <c r="C329">
        <f>ROUND(IF(ISBLANK('original data'!C329),0,'original data'!C329),0)</f>
        <v>120</v>
      </c>
      <c r="D329">
        <f>ROUND(IF(ISBLANK('original data'!D329),0,'original data'!D329),0)</f>
        <v>0</v>
      </c>
      <c r="E329" s="3" t="s">
        <v>13</v>
      </c>
      <c r="F329" s="3" t="s">
        <v>14</v>
      </c>
      <c r="G329" s="3" t="s">
        <v>15</v>
      </c>
      <c r="H329" t="str">
        <f t="shared" si="10"/>
        <v>July</v>
      </c>
      <c r="I329">
        <f t="shared" si="11"/>
        <v>31</v>
      </c>
    </row>
    <row r="330" spans="1:9" x14ac:dyDescent="0.25">
      <c r="A330" s="2">
        <v>45502</v>
      </c>
      <c r="B330" s="5" t="s">
        <v>11</v>
      </c>
      <c r="C330">
        <f>ROUND(IF(ISBLANK('original data'!C330),0,'original data'!C330),0)</f>
        <v>120</v>
      </c>
      <c r="D330">
        <f>ROUND(IF(ISBLANK('original data'!D330),0,'original data'!D330),0)</f>
        <v>0</v>
      </c>
      <c r="E330" s="3" t="s">
        <v>13</v>
      </c>
      <c r="F330" s="3" t="s">
        <v>14</v>
      </c>
      <c r="G330" s="3" t="s">
        <v>15</v>
      </c>
      <c r="H330" t="str">
        <f t="shared" si="10"/>
        <v>July</v>
      </c>
      <c r="I330">
        <f t="shared" si="11"/>
        <v>31</v>
      </c>
    </row>
    <row r="331" spans="1:9" x14ac:dyDescent="0.25">
      <c r="A331" s="2">
        <v>45503</v>
      </c>
      <c r="B331" s="5" t="s">
        <v>11</v>
      </c>
      <c r="C331">
        <f>ROUND(IF(ISBLANK('original data'!C331),0,'original data'!C331),0)</f>
        <v>120</v>
      </c>
      <c r="D331">
        <f>ROUND(IF(ISBLANK('original data'!D331),0,'original data'!D331),0)</f>
        <v>0</v>
      </c>
      <c r="E331" s="3" t="s">
        <v>13</v>
      </c>
      <c r="F331" s="3" t="s">
        <v>14</v>
      </c>
      <c r="G331" s="3" t="s">
        <v>15</v>
      </c>
      <c r="H331" t="str">
        <f t="shared" si="10"/>
        <v>July</v>
      </c>
      <c r="I331">
        <f t="shared" si="11"/>
        <v>31</v>
      </c>
    </row>
    <row r="332" spans="1:9" x14ac:dyDescent="0.25">
      <c r="A332" s="2">
        <v>45504</v>
      </c>
      <c r="B332" s="5" t="s">
        <v>11</v>
      </c>
      <c r="C332">
        <f>ROUND(IF(ISBLANK('original data'!C332),0,'original data'!C332),0)</f>
        <v>120</v>
      </c>
      <c r="D332">
        <f>ROUND(IF(ISBLANK('original data'!D332),0,'original data'!D332),0)</f>
        <v>0</v>
      </c>
      <c r="E332" s="3" t="s">
        <v>13</v>
      </c>
      <c r="F332" s="3" t="s">
        <v>14</v>
      </c>
      <c r="G332" s="3" t="s">
        <v>15</v>
      </c>
      <c r="H332" t="str">
        <f t="shared" si="10"/>
        <v>July</v>
      </c>
      <c r="I332">
        <f t="shared" si="11"/>
        <v>31</v>
      </c>
    </row>
    <row r="333" spans="1:9" x14ac:dyDescent="0.25">
      <c r="A333" s="2">
        <v>45505</v>
      </c>
      <c r="B333" s="5" t="s">
        <v>11</v>
      </c>
      <c r="C333">
        <f>ROUND(IF(ISBLANK('original data'!C333),0,'original data'!C333),0)</f>
        <v>120</v>
      </c>
      <c r="D333">
        <f>ROUND(IF(ISBLANK('original data'!D333),0,'original data'!D333),0)</f>
        <v>0</v>
      </c>
      <c r="E333" s="3" t="s">
        <v>13</v>
      </c>
      <c r="F333" s="3" t="s">
        <v>14</v>
      </c>
      <c r="G333" s="3" t="s">
        <v>15</v>
      </c>
      <c r="H333" t="str">
        <f t="shared" si="10"/>
        <v>August</v>
      </c>
      <c r="I333">
        <f t="shared" si="11"/>
        <v>31</v>
      </c>
    </row>
    <row r="334" spans="1:9" x14ac:dyDescent="0.25">
      <c r="A334" s="2">
        <v>45505</v>
      </c>
      <c r="B334" s="5" t="s">
        <v>24</v>
      </c>
      <c r="C334">
        <f>ROUND(IF(ISBLANK('original data'!C334),0,'original data'!C334),0)</f>
        <v>4632</v>
      </c>
      <c r="D334">
        <f>ROUND(IF(ISBLANK('original data'!D334),0,'original data'!D334),0)</f>
        <v>0</v>
      </c>
      <c r="E334" s="3" t="s">
        <v>26</v>
      </c>
      <c r="F334" s="3" t="s">
        <v>19</v>
      </c>
      <c r="G334" s="3" t="s">
        <v>15</v>
      </c>
      <c r="H334" t="str">
        <f t="shared" si="10"/>
        <v>August</v>
      </c>
      <c r="I334">
        <f t="shared" si="11"/>
        <v>31</v>
      </c>
    </row>
    <row r="335" spans="1:9" x14ac:dyDescent="0.25">
      <c r="A335" s="2">
        <v>45506</v>
      </c>
      <c r="B335" s="5" t="s">
        <v>69</v>
      </c>
      <c r="C335">
        <f>ROUND(IF(ISBLANK('original data'!C335),0,'original data'!C335),0)</f>
        <v>3139</v>
      </c>
      <c r="D335">
        <f>ROUND(IF(ISBLANK('original data'!D335),0,'original data'!D335),0)</f>
        <v>0</v>
      </c>
      <c r="E335" s="3" t="s">
        <v>39</v>
      </c>
      <c r="F335" s="3" t="s">
        <v>36</v>
      </c>
      <c r="G335" s="3" t="s">
        <v>15</v>
      </c>
      <c r="H335" t="str">
        <f t="shared" si="10"/>
        <v>August</v>
      </c>
      <c r="I335">
        <f t="shared" si="11"/>
        <v>31</v>
      </c>
    </row>
    <row r="336" spans="1:9" x14ac:dyDescent="0.25">
      <c r="A336" s="2">
        <v>45506</v>
      </c>
      <c r="B336" s="5" t="s">
        <v>155</v>
      </c>
      <c r="C336">
        <f>ROUND(IF(ISBLANK('original data'!C336),0,'original data'!C336),0)</f>
        <v>4354</v>
      </c>
      <c r="D336">
        <f>ROUND(IF(ISBLANK('original data'!D336),0,'original data'!D336),0)</f>
        <v>0</v>
      </c>
      <c r="E336" s="3" t="s">
        <v>157</v>
      </c>
      <c r="F336" s="3" t="s">
        <v>36</v>
      </c>
      <c r="G336" s="3" t="s">
        <v>15</v>
      </c>
      <c r="H336" t="str">
        <f t="shared" si="10"/>
        <v>August</v>
      </c>
      <c r="I336">
        <f t="shared" si="11"/>
        <v>31</v>
      </c>
    </row>
    <row r="337" spans="1:9" x14ac:dyDescent="0.25">
      <c r="A337" s="2">
        <v>45507</v>
      </c>
      <c r="B337" s="5" t="s">
        <v>37</v>
      </c>
      <c r="C337">
        <f>ROUND(IF(ISBLANK('original data'!C337),0,'original data'!C337),0)</f>
        <v>3629</v>
      </c>
      <c r="D337">
        <f>ROUND(IF(ISBLANK('original data'!D337),0,'original data'!D337),0)</f>
        <v>0</v>
      </c>
      <c r="E337" s="3" t="s">
        <v>39</v>
      </c>
      <c r="F337" s="3" t="s">
        <v>36</v>
      </c>
      <c r="G337" s="3" t="s">
        <v>15</v>
      </c>
      <c r="H337" t="str">
        <f t="shared" si="10"/>
        <v>August</v>
      </c>
      <c r="I337">
        <f t="shared" si="11"/>
        <v>31</v>
      </c>
    </row>
    <row r="338" spans="1:9" x14ac:dyDescent="0.25">
      <c r="A338" s="2">
        <v>45507</v>
      </c>
      <c r="B338" s="5" t="s">
        <v>43</v>
      </c>
      <c r="C338">
        <f>ROUND(IF(ISBLANK('original data'!C338),0,'original data'!C338),0)</f>
        <v>703</v>
      </c>
      <c r="D338">
        <f>ROUND(IF(ISBLANK('original data'!D338),0,'original data'!D338),0)</f>
        <v>0</v>
      </c>
      <c r="E338" s="3" t="s">
        <v>45</v>
      </c>
      <c r="F338" s="3" t="s">
        <v>23</v>
      </c>
      <c r="G338" s="3" t="s">
        <v>15</v>
      </c>
      <c r="H338" t="str">
        <f t="shared" si="10"/>
        <v>August</v>
      </c>
      <c r="I338">
        <f t="shared" si="11"/>
        <v>31</v>
      </c>
    </row>
    <row r="339" spans="1:9" x14ac:dyDescent="0.25">
      <c r="A339" s="2">
        <v>45507</v>
      </c>
      <c r="B339" s="5" t="s">
        <v>121</v>
      </c>
      <c r="C339">
        <f>ROUND(IF(ISBLANK('original data'!C339),0,'original data'!C339),0)</f>
        <v>360</v>
      </c>
      <c r="D339">
        <f>ROUND(IF(ISBLANK('original data'!D339),0,'original data'!D339),0)</f>
        <v>0</v>
      </c>
      <c r="E339" s="3" t="s">
        <v>42</v>
      </c>
      <c r="F339" s="3" t="s">
        <v>14</v>
      </c>
      <c r="G339" s="3" t="s">
        <v>15</v>
      </c>
      <c r="H339" t="str">
        <f t="shared" si="10"/>
        <v>August</v>
      </c>
      <c r="I339">
        <f t="shared" si="11"/>
        <v>31</v>
      </c>
    </row>
    <row r="340" spans="1:9" x14ac:dyDescent="0.25">
      <c r="A340" s="2">
        <v>45508</v>
      </c>
      <c r="B340" s="5" t="s">
        <v>11</v>
      </c>
      <c r="C340">
        <f>ROUND(IF(ISBLANK('original data'!C340),0,'original data'!C340),0)</f>
        <v>120</v>
      </c>
      <c r="D340">
        <f>ROUND(IF(ISBLANK('original data'!D340),0,'original data'!D340),0)</f>
        <v>0</v>
      </c>
      <c r="E340" s="3" t="s">
        <v>13</v>
      </c>
      <c r="F340" s="3" t="s">
        <v>14</v>
      </c>
      <c r="G340" s="3" t="s">
        <v>15</v>
      </c>
      <c r="H340" t="str">
        <f t="shared" si="10"/>
        <v>August</v>
      </c>
      <c r="I340">
        <f t="shared" si="11"/>
        <v>32</v>
      </c>
    </row>
    <row r="341" spans="1:9" x14ac:dyDescent="0.25">
      <c r="A341" s="2">
        <v>45510</v>
      </c>
      <c r="B341" s="5" t="s">
        <v>11</v>
      </c>
      <c r="C341">
        <f>ROUND(IF(ISBLANK('original data'!C341),0,'original data'!C341),0)</f>
        <v>120</v>
      </c>
      <c r="D341">
        <f>ROUND(IF(ISBLANK('original data'!D341),0,'original data'!D341),0)</f>
        <v>0</v>
      </c>
      <c r="E341" s="3" t="s">
        <v>13</v>
      </c>
      <c r="F341" s="3" t="s">
        <v>14</v>
      </c>
      <c r="G341" s="3" t="s">
        <v>15</v>
      </c>
      <c r="H341" t="str">
        <f t="shared" si="10"/>
        <v>August</v>
      </c>
      <c r="I341">
        <f t="shared" si="11"/>
        <v>32</v>
      </c>
    </row>
    <row r="342" spans="1:9" x14ac:dyDescent="0.25">
      <c r="A342" s="2">
        <v>45510</v>
      </c>
      <c r="B342" s="5" t="s">
        <v>7</v>
      </c>
      <c r="C342">
        <f>ROUND(IF(ISBLANK('original data'!C342),0,'original data'!C342),0)</f>
        <v>0</v>
      </c>
      <c r="D342">
        <f>ROUND(IF(ISBLANK('original data'!D342),0,'original data'!D342),0)</f>
        <v>120000</v>
      </c>
      <c r="E342" s="3" t="s">
        <v>75</v>
      </c>
      <c r="F342" s="3" t="s">
        <v>9</v>
      </c>
      <c r="G342" s="3" t="s">
        <v>10</v>
      </c>
      <c r="H342" t="str">
        <f t="shared" si="10"/>
        <v>August</v>
      </c>
      <c r="I342">
        <f t="shared" si="11"/>
        <v>32</v>
      </c>
    </row>
    <row r="343" spans="1:9" x14ac:dyDescent="0.25">
      <c r="A343" s="2">
        <v>45511</v>
      </c>
      <c r="B343" s="5" t="s">
        <v>11</v>
      </c>
      <c r="C343">
        <f>ROUND(IF(ISBLANK('original data'!C343),0,'original data'!C343),0)</f>
        <v>120</v>
      </c>
      <c r="D343">
        <f>ROUND(IF(ISBLANK('original data'!D343),0,'original data'!D343),0)</f>
        <v>0</v>
      </c>
      <c r="E343" s="3" t="s">
        <v>13</v>
      </c>
      <c r="F343" s="3" t="s">
        <v>14</v>
      </c>
      <c r="G343" s="3" t="s">
        <v>15</v>
      </c>
      <c r="H343" t="str">
        <f t="shared" si="10"/>
        <v>August</v>
      </c>
      <c r="I343">
        <f t="shared" si="11"/>
        <v>32</v>
      </c>
    </row>
    <row r="344" spans="1:9" x14ac:dyDescent="0.25">
      <c r="A344" s="2">
        <v>45513</v>
      </c>
      <c r="B344" s="5" t="s">
        <v>16</v>
      </c>
      <c r="C344">
        <f>ROUND(IF(ISBLANK('original data'!C344),0,'original data'!C344),0)</f>
        <v>21600</v>
      </c>
      <c r="D344">
        <f>ROUND(IF(ISBLANK('original data'!D344),0,'original data'!D344),0)</f>
        <v>0</v>
      </c>
      <c r="E344" s="3" t="s">
        <v>18</v>
      </c>
      <c r="F344" s="3" t="s">
        <v>19</v>
      </c>
      <c r="G344" s="3" t="s">
        <v>15</v>
      </c>
      <c r="H344" t="str">
        <f t="shared" si="10"/>
        <v>August</v>
      </c>
      <c r="I344">
        <f t="shared" si="11"/>
        <v>32</v>
      </c>
    </row>
    <row r="345" spans="1:9" x14ac:dyDescent="0.25">
      <c r="A345" s="2">
        <v>45513</v>
      </c>
      <c r="B345" s="5" t="s">
        <v>20</v>
      </c>
      <c r="C345">
        <f>ROUND(IF(ISBLANK('original data'!C345),0,'original data'!C345),0)</f>
        <v>3600</v>
      </c>
      <c r="D345">
        <f>ROUND(IF(ISBLANK('original data'!D345),0,'original data'!D345),0)</f>
        <v>0</v>
      </c>
      <c r="E345" s="3" t="s">
        <v>22</v>
      </c>
      <c r="F345" s="3" t="s">
        <v>23</v>
      </c>
      <c r="G345" s="3" t="s">
        <v>15</v>
      </c>
      <c r="H345" t="str">
        <f t="shared" si="10"/>
        <v>August</v>
      </c>
      <c r="I345">
        <f t="shared" si="11"/>
        <v>32</v>
      </c>
    </row>
    <row r="346" spans="1:9" x14ac:dyDescent="0.25">
      <c r="A346" s="2">
        <v>45513</v>
      </c>
      <c r="B346" s="5" t="s">
        <v>11</v>
      </c>
      <c r="C346">
        <f>ROUND(IF(ISBLANK('original data'!C346),0,'original data'!C346),0)</f>
        <v>120</v>
      </c>
      <c r="D346">
        <f>ROUND(IF(ISBLANK('original data'!D346),0,'original data'!D346),0)</f>
        <v>0</v>
      </c>
      <c r="E346" s="3" t="s">
        <v>13</v>
      </c>
      <c r="F346" s="3" t="s">
        <v>14</v>
      </c>
      <c r="G346" s="3" t="s">
        <v>15</v>
      </c>
      <c r="H346" t="str">
        <f t="shared" si="10"/>
        <v>August</v>
      </c>
      <c r="I346">
        <f t="shared" si="11"/>
        <v>32</v>
      </c>
    </row>
    <row r="347" spans="1:9" x14ac:dyDescent="0.25">
      <c r="A347" s="2">
        <v>45513</v>
      </c>
      <c r="B347" s="5" t="s">
        <v>11</v>
      </c>
      <c r="C347">
        <f>ROUND(IF(ISBLANK('original data'!C347),0,'original data'!C347),0)</f>
        <v>120</v>
      </c>
      <c r="D347">
        <f>ROUND(IF(ISBLANK('original data'!D347),0,'original data'!D347),0)</f>
        <v>0</v>
      </c>
      <c r="E347" s="3" t="s">
        <v>13</v>
      </c>
      <c r="F347" s="3" t="s">
        <v>14</v>
      </c>
      <c r="G347" s="3" t="s">
        <v>15</v>
      </c>
      <c r="H347" t="str">
        <f t="shared" si="10"/>
        <v>August</v>
      </c>
      <c r="I347">
        <f t="shared" si="11"/>
        <v>32</v>
      </c>
    </row>
    <row r="348" spans="1:9" x14ac:dyDescent="0.25">
      <c r="A348" s="2">
        <v>45514</v>
      </c>
      <c r="B348" s="5" t="s">
        <v>11</v>
      </c>
      <c r="C348">
        <f>ROUND(IF(ISBLANK('original data'!C348),0,'original data'!C348),0)</f>
        <v>120</v>
      </c>
      <c r="D348">
        <f>ROUND(IF(ISBLANK('original data'!D348),0,'original data'!D348),0)</f>
        <v>0</v>
      </c>
      <c r="E348" s="3" t="s">
        <v>13</v>
      </c>
      <c r="F348" s="3" t="s">
        <v>14</v>
      </c>
      <c r="G348" s="3" t="s">
        <v>15</v>
      </c>
      <c r="H348" t="str">
        <f t="shared" si="10"/>
        <v>August</v>
      </c>
      <c r="I348">
        <f t="shared" si="11"/>
        <v>32</v>
      </c>
    </row>
    <row r="349" spans="1:9" x14ac:dyDescent="0.25">
      <c r="A349" s="2">
        <v>45515</v>
      </c>
      <c r="B349" s="5" t="s">
        <v>11</v>
      </c>
      <c r="C349">
        <f>ROUND(IF(ISBLANK('original data'!C349),0,'original data'!C349),0)</f>
        <v>120</v>
      </c>
      <c r="D349">
        <f>ROUND(IF(ISBLANK('original data'!D349),0,'original data'!D349),0)</f>
        <v>0</v>
      </c>
      <c r="E349" s="3" t="s">
        <v>13</v>
      </c>
      <c r="F349" s="3" t="s">
        <v>14</v>
      </c>
      <c r="G349" s="3" t="s">
        <v>15</v>
      </c>
      <c r="H349" t="str">
        <f t="shared" si="10"/>
        <v>August</v>
      </c>
      <c r="I349">
        <f t="shared" si="11"/>
        <v>33</v>
      </c>
    </row>
    <row r="350" spans="1:9" x14ac:dyDescent="0.25">
      <c r="A350" s="2">
        <v>45515</v>
      </c>
      <c r="B350" s="5" t="s">
        <v>24</v>
      </c>
      <c r="C350">
        <f>ROUND(IF(ISBLANK('original data'!C350),0,'original data'!C350),0)</f>
        <v>3288</v>
      </c>
      <c r="D350">
        <f>ROUND(IF(ISBLANK('original data'!D350),0,'original data'!D350),0)</f>
        <v>0</v>
      </c>
      <c r="E350" s="3" t="s">
        <v>26</v>
      </c>
      <c r="F350" s="3" t="s">
        <v>19</v>
      </c>
      <c r="G350" s="3" t="s">
        <v>15</v>
      </c>
      <c r="H350" t="str">
        <f t="shared" si="10"/>
        <v>August</v>
      </c>
      <c r="I350">
        <f t="shared" si="11"/>
        <v>33</v>
      </c>
    </row>
    <row r="351" spans="1:9" x14ac:dyDescent="0.25">
      <c r="A351" s="2">
        <v>45518</v>
      </c>
      <c r="B351" s="5" t="s">
        <v>27</v>
      </c>
      <c r="C351">
        <f>ROUND(IF(ISBLANK('original data'!C351),0,'original data'!C351),0)</f>
        <v>1368</v>
      </c>
      <c r="D351">
        <f>ROUND(IF(ISBLANK('original data'!D351),0,'original data'!D351),0)</f>
        <v>0</v>
      </c>
      <c r="E351" s="3" t="s">
        <v>29</v>
      </c>
      <c r="F351" s="3" t="s">
        <v>19</v>
      </c>
      <c r="G351" s="3" t="s">
        <v>15</v>
      </c>
      <c r="H351" t="str">
        <f t="shared" si="10"/>
        <v>August</v>
      </c>
      <c r="I351">
        <f t="shared" si="11"/>
        <v>33</v>
      </c>
    </row>
    <row r="352" spans="1:9" x14ac:dyDescent="0.25">
      <c r="A352" s="2">
        <v>45518</v>
      </c>
      <c r="B352" s="5" t="s">
        <v>11</v>
      </c>
      <c r="C352">
        <f>ROUND(IF(ISBLANK('original data'!C352),0,'original data'!C352),0)</f>
        <v>120</v>
      </c>
      <c r="D352">
        <f>ROUND(IF(ISBLANK('original data'!D352),0,'original data'!D352),0)</f>
        <v>0</v>
      </c>
      <c r="E352" s="3" t="s">
        <v>13</v>
      </c>
      <c r="F352" s="3" t="s">
        <v>14</v>
      </c>
      <c r="G352" s="3" t="s">
        <v>15</v>
      </c>
      <c r="H352" t="str">
        <f t="shared" si="10"/>
        <v>August</v>
      </c>
      <c r="I352">
        <f t="shared" si="11"/>
        <v>33</v>
      </c>
    </row>
    <row r="353" spans="1:9" x14ac:dyDescent="0.25">
      <c r="A353" s="2">
        <v>45519</v>
      </c>
      <c r="B353" s="5" t="s">
        <v>11</v>
      </c>
      <c r="C353">
        <f>ROUND(IF(ISBLANK('original data'!C353),0,'original data'!C353),0)</f>
        <v>120</v>
      </c>
      <c r="D353">
        <f>ROUND(IF(ISBLANK('original data'!D353),0,'original data'!D353),0)</f>
        <v>0</v>
      </c>
      <c r="E353" s="3" t="s">
        <v>13</v>
      </c>
      <c r="F353" s="3" t="s">
        <v>14</v>
      </c>
      <c r="G353" s="3" t="s">
        <v>15</v>
      </c>
      <c r="H353" t="str">
        <f t="shared" si="10"/>
        <v>August</v>
      </c>
      <c r="I353">
        <f t="shared" si="11"/>
        <v>33</v>
      </c>
    </row>
    <row r="354" spans="1:9" x14ac:dyDescent="0.25">
      <c r="A354" s="2">
        <v>45520</v>
      </c>
      <c r="B354" s="5" t="s">
        <v>30</v>
      </c>
      <c r="C354">
        <f>ROUND(IF(ISBLANK('original data'!C354),0,'original data'!C354),0)</f>
        <v>2021</v>
      </c>
      <c r="D354">
        <f>ROUND(IF(ISBLANK('original data'!D354),0,'original data'!D354),0)</f>
        <v>0</v>
      </c>
      <c r="E354" s="3" t="s">
        <v>67</v>
      </c>
      <c r="F354" s="3" t="s">
        <v>23</v>
      </c>
      <c r="G354" s="3" t="s">
        <v>15</v>
      </c>
      <c r="H354" t="str">
        <f t="shared" si="10"/>
        <v>August</v>
      </c>
      <c r="I354">
        <f t="shared" si="11"/>
        <v>33</v>
      </c>
    </row>
    <row r="355" spans="1:9" x14ac:dyDescent="0.25">
      <c r="A355" s="2">
        <v>45520</v>
      </c>
      <c r="B355" s="5" t="s">
        <v>11</v>
      </c>
      <c r="C355">
        <f>ROUND(IF(ISBLANK('original data'!C355),0,'original data'!C355),0)</f>
        <v>120</v>
      </c>
      <c r="D355">
        <f>ROUND(IF(ISBLANK('original data'!D355),0,'original data'!D355),0)</f>
        <v>0</v>
      </c>
      <c r="E355" s="3" t="s">
        <v>13</v>
      </c>
      <c r="F355" s="3" t="s">
        <v>14</v>
      </c>
      <c r="G355" s="3" t="s">
        <v>15</v>
      </c>
      <c r="H355" t="str">
        <f t="shared" si="10"/>
        <v>August</v>
      </c>
      <c r="I355">
        <f t="shared" si="11"/>
        <v>33</v>
      </c>
    </row>
    <row r="356" spans="1:9" x14ac:dyDescent="0.25">
      <c r="A356" s="2">
        <v>45521</v>
      </c>
      <c r="B356" s="5" t="s">
        <v>11</v>
      </c>
      <c r="C356">
        <f>ROUND(IF(ISBLANK('original data'!C356),0,'original data'!C356),0)</f>
        <v>120</v>
      </c>
      <c r="D356">
        <f>ROUND(IF(ISBLANK('original data'!D356),0,'original data'!D356),0)</f>
        <v>0</v>
      </c>
      <c r="E356" s="3" t="s">
        <v>13</v>
      </c>
      <c r="F356" s="3" t="s">
        <v>14</v>
      </c>
      <c r="G356" s="3" t="s">
        <v>15</v>
      </c>
      <c r="H356" t="str">
        <f t="shared" si="10"/>
        <v>August</v>
      </c>
      <c r="I356">
        <f t="shared" si="11"/>
        <v>33</v>
      </c>
    </row>
    <row r="357" spans="1:9" x14ac:dyDescent="0.25">
      <c r="A357" s="2">
        <v>45522</v>
      </c>
      <c r="B357" s="5" t="s">
        <v>24</v>
      </c>
      <c r="C357">
        <f>ROUND(IF(ISBLANK('original data'!C357),0,'original data'!C357),0)</f>
        <v>3410</v>
      </c>
      <c r="D357">
        <f>ROUND(IF(ISBLANK('original data'!D357),0,'original data'!D357),0)</f>
        <v>0</v>
      </c>
      <c r="E357" s="3" t="s">
        <v>26</v>
      </c>
      <c r="F357" s="3" t="s">
        <v>19</v>
      </c>
      <c r="G357" s="3" t="s">
        <v>15</v>
      </c>
      <c r="H357" t="str">
        <f t="shared" si="10"/>
        <v>August</v>
      </c>
      <c r="I357">
        <f t="shared" si="11"/>
        <v>34</v>
      </c>
    </row>
    <row r="358" spans="1:9" x14ac:dyDescent="0.25">
      <c r="A358" s="2">
        <v>45522</v>
      </c>
      <c r="B358" s="5" t="s">
        <v>11</v>
      </c>
      <c r="C358">
        <f>ROUND(IF(ISBLANK('original data'!C358),0,'original data'!C358),0)</f>
        <v>120</v>
      </c>
      <c r="D358">
        <f>ROUND(IF(ISBLANK('original data'!D358),0,'original data'!D358),0)</f>
        <v>0</v>
      </c>
      <c r="E358" s="3" t="s">
        <v>13</v>
      </c>
      <c r="F358" s="3" t="s">
        <v>14</v>
      </c>
      <c r="G358" s="3" t="s">
        <v>15</v>
      </c>
      <c r="H358" t="str">
        <f t="shared" si="10"/>
        <v>August</v>
      </c>
      <c r="I358">
        <f t="shared" si="11"/>
        <v>34</v>
      </c>
    </row>
    <row r="359" spans="1:9" x14ac:dyDescent="0.25">
      <c r="A359" s="2">
        <v>45523</v>
      </c>
      <c r="B359" s="5" t="s">
        <v>11</v>
      </c>
      <c r="C359">
        <f>ROUND(IF(ISBLANK('original data'!C359),0,'original data'!C359),0)</f>
        <v>120</v>
      </c>
      <c r="D359">
        <f>ROUND(IF(ISBLANK('original data'!D359),0,'original data'!D359),0)</f>
        <v>0</v>
      </c>
      <c r="E359" s="3" t="s">
        <v>13</v>
      </c>
      <c r="F359" s="3" t="s">
        <v>14</v>
      </c>
      <c r="G359" s="3" t="s">
        <v>15</v>
      </c>
      <c r="H359" t="str">
        <f t="shared" si="10"/>
        <v>August</v>
      </c>
      <c r="I359">
        <f t="shared" si="11"/>
        <v>34</v>
      </c>
    </row>
    <row r="360" spans="1:9" x14ac:dyDescent="0.25">
      <c r="A360" s="2">
        <v>45523</v>
      </c>
      <c r="B360" s="5" t="s">
        <v>33</v>
      </c>
      <c r="C360">
        <f>ROUND(IF(ISBLANK('original data'!C360),0,'original data'!C360),0)</f>
        <v>1123</v>
      </c>
      <c r="D360">
        <f>ROUND(IF(ISBLANK('original data'!D360),0,'original data'!D360),0)</f>
        <v>0</v>
      </c>
      <c r="E360" s="3" t="s">
        <v>35</v>
      </c>
      <c r="F360" s="3" t="s">
        <v>36</v>
      </c>
      <c r="G360" s="3" t="s">
        <v>15</v>
      </c>
      <c r="H360" t="str">
        <f t="shared" si="10"/>
        <v>August</v>
      </c>
      <c r="I360">
        <f t="shared" si="11"/>
        <v>34</v>
      </c>
    </row>
    <row r="361" spans="1:9" x14ac:dyDescent="0.25">
      <c r="A361" s="2">
        <v>45523</v>
      </c>
      <c r="B361" s="5" t="s">
        <v>200</v>
      </c>
      <c r="C361">
        <f>ROUND(IF(ISBLANK('original data'!C361),0,'original data'!C361),0)</f>
        <v>2513</v>
      </c>
      <c r="D361">
        <f>ROUND(IF(ISBLANK('original data'!D361),0,'original data'!D361),0)</f>
        <v>0</v>
      </c>
      <c r="E361" s="3" t="s">
        <v>39</v>
      </c>
      <c r="F361" s="3" t="s">
        <v>36</v>
      </c>
      <c r="G361" s="3" t="s">
        <v>15</v>
      </c>
      <c r="H361" t="str">
        <f t="shared" si="10"/>
        <v>August</v>
      </c>
      <c r="I361">
        <f t="shared" si="11"/>
        <v>34</v>
      </c>
    </row>
    <row r="362" spans="1:9" x14ac:dyDescent="0.25">
      <c r="A362" s="2">
        <v>45523</v>
      </c>
      <c r="B362" s="5" t="s">
        <v>40</v>
      </c>
      <c r="C362">
        <f>ROUND(IF(ISBLANK('original data'!C362),0,'original data'!C362),0)</f>
        <v>1418</v>
      </c>
      <c r="D362">
        <f>ROUND(IF(ISBLANK('original data'!D362),0,'original data'!D362),0)</f>
        <v>0</v>
      </c>
      <c r="E362" s="3" t="s">
        <v>42</v>
      </c>
      <c r="F362" s="3" t="s">
        <v>14</v>
      </c>
      <c r="G362" s="3" t="s">
        <v>15</v>
      </c>
      <c r="H362" t="str">
        <f t="shared" si="10"/>
        <v>August</v>
      </c>
      <c r="I362">
        <f t="shared" si="11"/>
        <v>34</v>
      </c>
    </row>
    <row r="363" spans="1:9" x14ac:dyDescent="0.25">
      <c r="A363" s="2">
        <v>45524</v>
      </c>
      <c r="B363" s="5" t="s">
        <v>43</v>
      </c>
      <c r="C363">
        <f>ROUND(IF(ISBLANK('original data'!C363),0,'original data'!C363),0)</f>
        <v>842</v>
      </c>
      <c r="D363">
        <f>ROUND(IF(ISBLANK('original data'!D363),0,'original data'!D363),0)</f>
        <v>0</v>
      </c>
      <c r="E363" s="3" t="s">
        <v>45</v>
      </c>
      <c r="F363" s="3" t="s">
        <v>23</v>
      </c>
      <c r="G363" s="3" t="s">
        <v>15</v>
      </c>
      <c r="H363" t="str">
        <f t="shared" si="10"/>
        <v>August</v>
      </c>
      <c r="I363">
        <f t="shared" si="11"/>
        <v>34</v>
      </c>
    </row>
    <row r="364" spans="1:9" x14ac:dyDescent="0.25">
      <c r="A364" s="2">
        <v>45525</v>
      </c>
      <c r="B364" s="5" t="s">
        <v>46</v>
      </c>
      <c r="C364">
        <f>ROUND(IF(ISBLANK('original data'!C364),0,'original data'!C364),0)</f>
        <v>0</v>
      </c>
      <c r="D364">
        <f>ROUND(IF(ISBLANK('original data'!D364),0,'original data'!D364),0)</f>
        <v>19200</v>
      </c>
      <c r="E364" s="3" t="s">
        <v>48</v>
      </c>
      <c r="F364" s="3" t="s">
        <v>49</v>
      </c>
      <c r="G364" s="3" t="s">
        <v>10</v>
      </c>
      <c r="H364" t="str">
        <f t="shared" si="10"/>
        <v>August</v>
      </c>
      <c r="I364">
        <f t="shared" si="11"/>
        <v>34</v>
      </c>
    </row>
    <row r="365" spans="1:9" x14ac:dyDescent="0.25">
      <c r="A365" s="2">
        <v>45525</v>
      </c>
      <c r="B365" s="5" t="s">
        <v>11</v>
      </c>
      <c r="C365">
        <f>ROUND(IF(ISBLANK('original data'!C365),0,'original data'!C365),0)</f>
        <v>120</v>
      </c>
      <c r="D365">
        <f>ROUND(IF(ISBLANK('original data'!D365),0,'original data'!D365),0)</f>
        <v>0</v>
      </c>
      <c r="E365" s="3" t="s">
        <v>13</v>
      </c>
      <c r="F365" s="3" t="s">
        <v>14</v>
      </c>
      <c r="G365" s="3" t="s">
        <v>15</v>
      </c>
      <c r="H365" t="str">
        <f t="shared" si="10"/>
        <v>August</v>
      </c>
      <c r="I365">
        <f t="shared" si="11"/>
        <v>34</v>
      </c>
    </row>
    <row r="366" spans="1:9" x14ac:dyDescent="0.25">
      <c r="A366" s="2">
        <v>45526</v>
      </c>
      <c r="B366" s="5" t="s">
        <v>11</v>
      </c>
      <c r="C366">
        <f>ROUND(IF(ISBLANK('original data'!C366),0,'original data'!C366),0)</f>
        <v>120</v>
      </c>
      <c r="D366">
        <f>ROUND(IF(ISBLANK('original data'!D366),0,'original data'!D366),0)</f>
        <v>0</v>
      </c>
      <c r="E366" s="3" t="s">
        <v>13</v>
      </c>
      <c r="F366" s="3" t="s">
        <v>14</v>
      </c>
      <c r="G366" s="3" t="s">
        <v>15</v>
      </c>
      <c r="H366" t="str">
        <f t="shared" si="10"/>
        <v>August</v>
      </c>
      <c r="I366">
        <f t="shared" si="11"/>
        <v>34</v>
      </c>
    </row>
    <row r="367" spans="1:9" x14ac:dyDescent="0.25">
      <c r="A367" s="2">
        <v>45526</v>
      </c>
      <c r="B367" s="5" t="s">
        <v>51</v>
      </c>
      <c r="C367">
        <f>ROUND(IF(ISBLANK('original data'!C367),0,'original data'!C367),0)</f>
        <v>960</v>
      </c>
      <c r="D367">
        <f>ROUND(IF(ISBLANK('original data'!D367),0,'original data'!D367),0)</f>
        <v>0</v>
      </c>
      <c r="E367" s="3" t="s">
        <v>51</v>
      </c>
      <c r="F367" s="3" t="s">
        <v>19</v>
      </c>
      <c r="G367" s="3" t="s">
        <v>15</v>
      </c>
      <c r="H367" t="str">
        <f t="shared" si="10"/>
        <v>August</v>
      </c>
      <c r="I367">
        <f t="shared" si="11"/>
        <v>34</v>
      </c>
    </row>
    <row r="368" spans="1:9" x14ac:dyDescent="0.25">
      <c r="A368" s="2">
        <v>45527</v>
      </c>
      <c r="B368" s="5" t="s">
        <v>52</v>
      </c>
      <c r="C368">
        <f>ROUND(IF(ISBLANK('original data'!C368),0,'original data'!C368),0)</f>
        <v>1250</v>
      </c>
      <c r="D368">
        <f>ROUND(IF(ISBLANK('original data'!D368),0,'original data'!D368),0)</f>
        <v>0</v>
      </c>
      <c r="E368" s="3" t="s">
        <v>54</v>
      </c>
      <c r="F368" s="3" t="s">
        <v>36</v>
      </c>
      <c r="G368" s="3" t="s">
        <v>15</v>
      </c>
      <c r="H368" t="str">
        <f t="shared" si="10"/>
        <v>August</v>
      </c>
      <c r="I368">
        <f t="shared" si="11"/>
        <v>34</v>
      </c>
    </row>
    <row r="369" spans="1:9" x14ac:dyDescent="0.25">
      <c r="A369" s="2">
        <v>45527</v>
      </c>
      <c r="B369" s="5" t="s">
        <v>55</v>
      </c>
      <c r="C369">
        <f>ROUND(IF(ISBLANK('original data'!C369),0,'original data'!C369),0)</f>
        <v>840</v>
      </c>
      <c r="D369">
        <f>ROUND(IF(ISBLANK('original data'!D369),0,'original data'!D369),0)</f>
        <v>0</v>
      </c>
      <c r="E369" s="3" t="s">
        <v>35</v>
      </c>
      <c r="F369" s="3" t="s">
        <v>36</v>
      </c>
      <c r="G369" s="3" t="s">
        <v>15</v>
      </c>
      <c r="H369" t="str">
        <f t="shared" si="10"/>
        <v>August</v>
      </c>
      <c r="I369">
        <f t="shared" si="11"/>
        <v>34</v>
      </c>
    </row>
    <row r="370" spans="1:9" x14ac:dyDescent="0.25">
      <c r="A370" s="2">
        <v>45527</v>
      </c>
      <c r="B370" s="5" t="s">
        <v>11</v>
      </c>
      <c r="C370">
        <f>ROUND(IF(ISBLANK('original data'!C370),0,'original data'!C370),0)</f>
        <v>120</v>
      </c>
      <c r="D370">
        <f>ROUND(IF(ISBLANK('original data'!D370),0,'original data'!D370),0)</f>
        <v>0</v>
      </c>
      <c r="E370" s="3" t="s">
        <v>13</v>
      </c>
      <c r="F370" s="3" t="s">
        <v>14</v>
      </c>
      <c r="G370" s="3" t="s">
        <v>15</v>
      </c>
      <c r="H370" t="str">
        <f t="shared" si="10"/>
        <v>August</v>
      </c>
      <c r="I370">
        <f t="shared" si="11"/>
        <v>34</v>
      </c>
    </row>
    <row r="371" spans="1:9" x14ac:dyDescent="0.25">
      <c r="A371" s="2">
        <v>45528</v>
      </c>
      <c r="B371" s="5" t="s">
        <v>11</v>
      </c>
      <c r="C371">
        <f>ROUND(IF(ISBLANK('original data'!C371),0,'original data'!C371),0)</f>
        <v>120</v>
      </c>
      <c r="D371">
        <f>ROUND(IF(ISBLANK('original data'!D371),0,'original data'!D371),0)</f>
        <v>0</v>
      </c>
      <c r="E371" s="3" t="s">
        <v>13</v>
      </c>
      <c r="F371" s="3" t="s">
        <v>14</v>
      </c>
      <c r="G371" s="3" t="s">
        <v>15</v>
      </c>
      <c r="H371" t="str">
        <f t="shared" si="10"/>
        <v>August</v>
      </c>
      <c r="I371">
        <f t="shared" si="11"/>
        <v>34</v>
      </c>
    </row>
    <row r="372" spans="1:9" x14ac:dyDescent="0.25">
      <c r="A372" s="2">
        <v>45529</v>
      </c>
      <c r="B372" s="5" t="s">
        <v>11</v>
      </c>
      <c r="C372">
        <f>ROUND(IF(ISBLANK('original data'!C372),0,'original data'!C372),0)</f>
        <v>120</v>
      </c>
      <c r="D372">
        <f>ROUND(IF(ISBLANK('original data'!D372),0,'original data'!D372),0)</f>
        <v>0</v>
      </c>
      <c r="E372" s="3" t="s">
        <v>13</v>
      </c>
      <c r="F372" s="3" t="s">
        <v>14</v>
      </c>
      <c r="G372" s="3" t="s">
        <v>15</v>
      </c>
      <c r="H372" t="str">
        <f t="shared" si="10"/>
        <v>August</v>
      </c>
      <c r="I372">
        <f t="shared" si="11"/>
        <v>35</v>
      </c>
    </row>
    <row r="373" spans="1:9" x14ac:dyDescent="0.25">
      <c r="A373" s="2">
        <v>45529</v>
      </c>
      <c r="B373" s="5" t="s">
        <v>24</v>
      </c>
      <c r="C373">
        <f>ROUND(IF(ISBLANK('original data'!C373),0,'original data'!C373),0)</f>
        <v>4248</v>
      </c>
      <c r="D373">
        <f>ROUND(IF(ISBLANK('original data'!D373),0,'original data'!D373),0)</f>
        <v>0</v>
      </c>
      <c r="E373" s="3" t="s">
        <v>26</v>
      </c>
      <c r="F373" s="3" t="s">
        <v>19</v>
      </c>
      <c r="G373" s="3" t="s">
        <v>15</v>
      </c>
      <c r="H373" t="str">
        <f t="shared" si="10"/>
        <v>August</v>
      </c>
      <c r="I373">
        <f t="shared" si="11"/>
        <v>35</v>
      </c>
    </row>
    <row r="374" spans="1:9" x14ac:dyDescent="0.25">
      <c r="A374" s="2">
        <v>45530</v>
      </c>
      <c r="B374" s="5" t="s">
        <v>58</v>
      </c>
      <c r="C374">
        <f>ROUND(IF(ISBLANK('original data'!C374),0,'original data'!C374),0)</f>
        <v>1061</v>
      </c>
      <c r="D374">
        <f>ROUND(IF(ISBLANK('original data'!D374),0,'original data'!D374),0)</f>
        <v>0</v>
      </c>
      <c r="E374" s="3" t="s">
        <v>42</v>
      </c>
      <c r="F374" s="3" t="s">
        <v>14</v>
      </c>
      <c r="G374" s="3" t="s">
        <v>15</v>
      </c>
      <c r="H374" t="str">
        <f t="shared" si="10"/>
        <v>August</v>
      </c>
      <c r="I374">
        <f t="shared" si="11"/>
        <v>35</v>
      </c>
    </row>
    <row r="375" spans="1:9" x14ac:dyDescent="0.25">
      <c r="A375" s="2">
        <v>45531</v>
      </c>
      <c r="B375" s="5" t="s">
        <v>60</v>
      </c>
      <c r="C375">
        <f>ROUND(IF(ISBLANK('original data'!C375),0,'original data'!C375),0)</f>
        <v>461</v>
      </c>
      <c r="D375">
        <f>ROUND(IF(ISBLANK('original data'!D375),0,'original data'!D375),0)</f>
        <v>0</v>
      </c>
      <c r="E375" s="3" t="s">
        <v>42</v>
      </c>
      <c r="F375" s="3" t="s">
        <v>14</v>
      </c>
      <c r="G375" s="3" t="s">
        <v>15</v>
      </c>
      <c r="H375" t="str">
        <f t="shared" si="10"/>
        <v>August</v>
      </c>
      <c r="I375">
        <f t="shared" si="11"/>
        <v>35</v>
      </c>
    </row>
    <row r="376" spans="1:9" x14ac:dyDescent="0.25">
      <c r="A376" s="2">
        <v>45532</v>
      </c>
      <c r="B376" s="5" t="s">
        <v>62</v>
      </c>
      <c r="C376">
        <f>ROUND(IF(ISBLANK('original data'!C376),0,'original data'!C376),0)</f>
        <v>1320</v>
      </c>
      <c r="D376">
        <f>ROUND(IF(ISBLANK('original data'!D376),0,'original data'!D376),0)</f>
        <v>0</v>
      </c>
      <c r="E376" s="3" t="s">
        <v>64</v>
      </c>
      <c r="F376" s="3" t="s">
        <v>65</v>
      </c>
      <c r="G376" s="3" t="s">
        <v>15</v>
      </c>
      <c r="H376" t="str">
        <f t="shared" si="10"/>
        <v>August</v>
      </c>
      <c r="I376">
        <f t="shared" si="11"/>
        <v>35</v>
      </c>
    </row>
    <row r="377" spans="1:9" x14ac:dyDescent="0.25">
      <c r="A377" s="2">
        <v>45532</v>
      </c>
      <c r="B377" s="5" t="s">
        <v>30</v>
      </c>
      <c r="C377">
        <f>ROUND(IF(ISBLANK('original data'!C377),0,'original data'!C377),0)</f>
        <v>1673</v>
      </c>
      <c r="D377">
        <f>ROUND(IF(ISBLANK('original data'!D377),0,'original data'!D377),0)</f>
        <v>0</v>
      </c>
      <c r="E377" s="3" t="s">
        <v>67</v>
      </c>
      <c r="F377" s="3" t="s">
        <v>23</v>
      </c>
      <c r="G377" s="3" t="s">
        <v>15</v>
      </c>
      <c r="H377" t="str">
        <f t="shared" si="10"/>
        <v>August</v>
      </c>
      <c r="I377">
        <f t="shared" si="11"/>
        <v>35</v>
      </c>
    </row>
    <row r="378" spans="1:9" x14ac:dyDescent="0.25">
      <c r="A378" s="2">
        <v>45532</v>
      </c>
      <c r="B378" s="5" t="s">
        <v>11</v>
      </c>
      <c r="C378">
        <f>ROUND(IF(ISBLANK('original data'!C378),0,'original data'!C378),0)</f>
        <v>120</v>
      </c>
      <c r="D378">
        <f>ROUND(IF(ISBLANK('original data'!D378),0,'original data'!D378),0)</f>
        <v>0</v>
      </c>
      <c r="E378" s="3" t="s">
        <v>13</v>
      </c>
      <c r="F378" s="3" t="s">
        <v>14</v>
      </c>
      <c r="G378" s="3" t="s">
        <v>15</v>
      </c>
      <c r="H378" t="str">
        <f t="shared" si="10"/>
        <v>August</v>
      </c>
      <c r="I378">
        <f t="shared" si="11"/>
        <v>35</v>
      </c>
    </row>
    <row r="379" spans="1:9" x14ac:dyDescent="0.25">
      <c r="A379" s="2">
        <v>45533</v>
      </c>
      <c r="B379" s="5" t="s">
        <v>11</v>
      </c>
      <c r="C379">
        <f>ROUND(IF(ISBLANK('original data'!C379),0,'original data'!C379),0)</f>
        <v>120</v>
      </c>
      <c r="D379">
        <f>ROUND(IF(ISBLANK('original data'!D379),0,'original data'!D379),0)</f>
        <v>0</v>
      </c>
      <c r="E379" s="3" t="s">
        <v>13</v>
      </c>
      <c r="F379" s="3" t="s">
        <v>14</v>
      </c>
      <c r="G379" s="3" t="s">
        <v>15</v>
      </c>
      <c r="H379" t="str">
        <f t="shared" si="10"/>
        <v>August</v>
      </c>
      <c r="I379">
        <f t="shared" si="11"/>
        <v>35</v>
      </c>
    </row>
    <row r="380" spans="1:9" x14ac:dyDescent="0.25">
      <c r="A380" s="2">
        <v>45534</v>
      </c>
      <c r="B380" s="5" t="s">
        <v>11</v>
      </c>
      <c r="C380">
        <f>ROUND(IF(ISBLANK('original data'!C380),0,'original data'!C380),0)</f>
        <v>120</v>
      </c>
      <c r="D380">
        <f>ROUND(IF(ISBLANK('original data'!D380),0,'original data'!D380),0)</f>
        <v>0</v>
      </c>
      <c r="E380" s="3" t="s">
        <v>13</v>
      </c>
      <c r="F380" s="3" t="s">
        <v>14</v>
      </c>
      <c r="G380" s="3" t="s">
        <v>15</v>
      </c>
      <c r="H380" t="str">
        <f t="shared" si="10"/>
        <v>August</v>
      </c>
      <c r="I380">
        <f t="shared" si="11"/>
        <v>35</v>
      </c>
    </row>
    <row r="381" spans="1:9" x14ac:dyDescent="0.25">
      <c r="A381" s="2">
        <v>45535</v>
      </c>
      <c r="B381" s="5" t="s">
        <v>11</v>
      </c>
      <c r="C381">
        <f>ROUND(IF(ISBLANK('original data'!C381),0,'original data'!C381),0)</f>
        <v>120</v>
      </c>
      <c r="D381">
        <f>ROUND(IF(ISBLANK('original data'!D381),0,'original data'!D381),0)</f>
        <v>0</v>
      </c>
      <c r="E381" s="3" t="s">
        <v>13</v>
      </c>
      <c r="F381" s="3" t="s">
        <v>14</v>
      </c>
      <c r="G381" s="3" t="s">
        <v>15</v>
      </c>
      <c r="H381" t="str">
        <f t="shared" si="10"/>
        <v>August</v>
      </c>
      <c r="I381">
        <f t="shared" si="11"/>
        <v>35</v>
      </c>
    </row>
    <row r="382" spans="1:9" x14ac:dyDescent="0.25">
      <c r="A382" s="2">
        <v>45536</v>
      </c>
      <c r="B382" s="5" t="s">
        <v>11</v>
      </c>
      <c r="C382">
        <f>ROUND(IF(ISBLANK('original data'!C382),0,'original data'!C382),0)</f>
        <v>120</v>
      </c>
      <c r="D382">
        <f>ROUND(IF(ISBLANK('original data'!D382),0,'original data'!D382),0)</f>
        <v>0</v>
      </c>
      <c r="E382" s="3" t="s">
        <v>13</v>
      </c>
      <c r="F382" s="3" t="s">
        <v>14</v>
      </c>
      <c r="G382" s="3" t="s">
        <v>15</v>
      </c>
      <c r="H382" t="str">
        <f t="shared" si="10"/>
        <v>September</v>
      </c>
      <c r="I382">
        <f t="shared" si="11"/>
        <v>36</v>
      </c>
    </row>
    <row r="383" spans="1:9" x14ac:dyDescent="0.25">
      <c r="A383" s="2">
        <v>45536</v>
      </c>
      <c r="B383" s="5" t="s">
        <v>24</v>
      </c>
      <c r="C383">
        <f>ROUND(IF(ISBLANK('original data'!C383),0,'original data'!C383),0)</f>
        <v>2808</v>
      </c>
      <c r="D383">
        <f>ROUND(IF(ISBLANK('original data'!D383),0,'original data'!D383),0)</f>
        <v>0</v>
      </c>
      <c r="E383" s="3" t="s">
        <v>26</v>
      </c>
      <c r="F383" s="3" t="s">
        <v>19</v>
      </c>
      <c r="G383" s="3" t="s">
        <v>15</v>
      </c>
      <c r="H383" t="str">
        <f t="shared" si="10"/>
        <v>September</v>
      </c>
      <c r="I383">
        <f t="shared" si="11"/>
        <v>36</v>
      </c>
    </row>
    <row r="384" spans="1:9" x14ac:dyDescent="0.25">
      <c r="A384" s="2">
        <v>45537</v>
      </c>
      <c r="B384" s="5" t="s">
        <v>69</v>
      </c>
      <c r="C384">
        <f>ROUND(IF(ISBLANK('original data'!C384),0,'original data'!C384),0)</f>
        <v>3166</v>
      </c>
      <c r="D384">
        <f>ROUND(IF(ISBLANK('original data'!D384),0,'original data'!D384),0)</f>
        <v>0</v>
      </c>
      <c r="E384" s="3" t="s">
        <v>39</v>
      </c>
      <c r="F384" s="3" t="s">
        <v>36</v>
      </c>
      <c r="G384" s="3" t="s">
        <v>15</v>
      </c>
      <c r="H384" t="str">
        <f t="shared" si="10"/>
        <v>September</v>
      </c>
      <c r="I384">
        <f t="shared" si="11"/>
        <v>36</v>
      </c>
    </row>
    <row r="385" spans="1:9" x14ac:dyDescent="0.25">
      <c r="A385" s="2">
        <v>45537</v>
      </c>
      <c r="B385" s="5" t="s">
        <v>71</v>
      </c>
      <c r="C385">
        <f>ROUND(IF(ISBLANK('original data'!C385),0,'original data'!C385),0)</f>
        <v>4378</v>
      </c>
      <c r="D385">
        <f>ROUND(IF(ISBLANK('original data'!D385),0,'original data'!D385),0)</f>
        <v>0</v>
      </c>
      <c r="E385" s="3" t="s">
        <v>35</v>
      </c>
      <c r="F385" s="3" t="s">
        <v>36</v>
      </c>
      <c r="G385" s="3" t="s">
        <v>15</v>
      </c>
      <c r="H385" t="str">
        <f t="shared" si="10"/>
        <v>September</v>
      </c>
      <c r="I385">
        <f t="shared" si="11"/>
        <v>36</v>
      </c>
    </row>
    <row r="386" spans="1:9" x14ac:dyDescent="0.25">
      <c r="A386" s="2">
        <v>45538</v>
      </c>
      <c r="B386" s="5" t="s">
        <v>37</v>
      </c>
      <c r="C386">
        <f>ROUND(IF(ISBLANK('original data'!C386),0,'original data'!C386),0)</f>
        <v>3655</v>
      </c>
      <c r="D386">
        <f>ROUND(IF(ISBLANK('original data'!D386),0,'original data'!D386),0)</f>
        <v>0</v>
      </c>
      <c r="E386" s="3" t="s">
        <v>39</v>
      </c>
      <c r="F386" s="3" t="s">
        <v>36</v>
      </c>
      <c r="G386" s="3" t="s">
        <v>15</v>
      </c>
      <c r="H386" t="str">
        <f t="shared" si="10"/>
        <v>September</v>
      </c>
      <c r="I386">
        <f t="shared" si="11"/>
        <v>36</v>
      </c>
    </row>
    <row r="387" spans="1:9" x14ac:dyDescent="0.25">
      <c r="A387" s="2">
        <v>45538</v>
      </c>
      <c r="B387" s="5" t="s">
        <v>43</v>
      </c>
      <c r="C387">
        <f>ROUND(IF(ISBLANK('original data'!C387),0,'original data'!C387),0)</f>
        <v>727</v>
      </c>
      <c r="D387">
        <f>ROUND(IF(ISBLANK('original data'!D387),0,'original data'!D387),0)</f>
        <v>0</v>
      </c>
      <c r="E387" s="3" t="s">
        <v>45</v>
      </c>
      <c r="F387" s="3" t="s">
        <v>23</v>
      </c>
      <c r="G387" s="3" t="s">
        <v>15</v>
      </c>
      <c r="H387" t="str">
        <f t="shared" ref="H387:H450" si="12">TEXT(A387,"MMMM")</f>
        <v>September</v>
      </c>
      <c r="I387">
        <f t="shared" ref="I387:I450" si="13">WEEKNUM(A387)</f>
        <v>36</v>
      </c>
    </row>
    <row r="388" spans="1:9" x14ac:dyDescent="0.25">
      <c r="A388" s="2">
        <v>45538</v>
      </c>
      <c r="B388" s="5" t="s">
        <v>121</v>
      </c>
      <c r="C388">
        <f>ROUND(IF(ISBLANK('original data'!C388),0,'original data'!C388),0)</f>
        <v>360</v>
      </c>
      <c r="D388">
        <f>ROUND(IF(ISBLANK('original data'!D388),0,'original data'!D388),0)</f>
        <v>0</v>
      </c>
      <c r="E388" s="3" t="s">
        <v>42</v>
      </c>
      <c r="F388" s="3" t="s">
        <v>14</v>
      </c>
      <c r="G388" s="3" t="s">
        <v>15</v>
      </c>
      <c r="H388" t="str">
        <f t="shared" si="12"/>
        <v>September</v>
      </c>
      <c r="I388">
        <f t="shared" si="13"/>
        <v>36</v>
      </c>
    </row>
    <row r="389" spans="1:9" x14ac:dyDescent="0.25">
      <c r="A389" s="2">
        <v>45539</v>
      </c>
      <c r="B389" s="5" t="s">
        <v>11</v>
      </c>
      <c r="C389">
        <f>ROUND(IF(ISBLANK('original data'!C389),0,'original data'!C389),0)</f>
        <v>120</v>
      </c>
      <c r="D389">
        <f>ROUND(IF(ISBLANK('original data'!D389),0,'original data'!D389),0)</f>
        <v>0</v>
      </c>
      <c r="E389" s="3" t="s">
        <v>13</v>
      </c>
      <c r="F389" s="3" t="s">
        <v>14</v>
      </c>
      <c r="G389" s="3" t="s">
        <v>15</v>
      </c>
      <c r="H389" t="str">
        <f t="shared" si="12"/>
        <v>September</v>
      </c>
      <c r="I389">
        <f t="shared" si="13"/>
        <v>36</v>
      </c>
    </row>
    <row r="390" spans="1:9" x14ac:dyDescent="0.25">
      <c r="A390" s="2">
        <v>45541</v>
      </c>
      <c r="B390" s="5" t="s">
        <v>11</v>
      </c>
      <c r="C390">
        <f>ROUND(IF(ISBLANK('original data'!C390),0,'original data'!C390),0)</f>
        <v>120</v>
      </c>
      <c r="D390">
        <f>ROUND(IF(ISBLANK('original data'!D390),0,'original data'!D390),0)</f>
        <v>0</v>
      </c>
      <c r="E390" s="3" t="s">
        <v>13</v>
      </c>
      <c r="F390" s="3" t="s">
        <v>14</v>
      </c>
      <c r="G390" s="3" t="s">
        <v>15</v>
      </c>
      <c r="H390" t="str">
        <f t="shared" si="12"/>
        <v>September</v>
      </c>
      <c r="I390">
        <f t="shared" si="13"/>
        <v>36</v>
      </c>
    </row>
    <row r="391" spans="1:9" x14ac:dyDescent="0.25">
      <c r="A391" s="2">
        <v>45541</v>
      </c>
      <c r="B391" s="5" t="s">
        <v>7</v>
      </c>
      <c r="C391">
        <f>ROUND(IF(ISBLANK('original data'!C391),0,'original data'!C391),0)</f>
        <v>0</v>
      </c>
      <c r="D391">
        <f>ROUND(IF(ISBLANK('original data'!D391),0,'original data'!D391),0)</f>
        <v>120000</v>
      </c>
      <c r="E391" s="3" t="s">
        <v>75</v>
      </c>
      <c r="F391" s="3" t="s">
        <v>9</v>
      </c>
      <c r="G391" s="3" t="s">
        <v>10</v>
      </c>
      <c r="H391" t="str">
        <f t="shared" si="12"/>
        <v>September</v>
      </c>
      <c r="I391">
        <f t="shared" si="13"/>
        <v>36</v>
      </c>
    </row>
    <row r="392" spans="1:9" x14ac:dyDescent="0.25">
      <c r="A392" s="2">
        <v>45542</v>
      </c>
      <c r="B392" s="5" t="s">
        <v>11</v>
      </c>
      <c r="C392">
        <f>ROUND(IF(ISBLANK('original data'!C392),0,'original data'!C392),0)</f>
        <v>120</v>
      </c>
      <c r="D392">
        <f>ROUND(IF(ISBLANK('original data'!D392),0,'original data'!D392),0)</f>
        <v>0</v>
      </c>
      <c r="E392" s="3" t="s">
        <v>13</v>
      </c>
      <c r="F392" s="3" t="s">
        <v>14</v>
      </c>
      <c r="G392" s="3" t="s">
        <v>15</v>
      </c>
      <c r="H392" t="str">
        <f t="shared" si="12"/>
        <v>September</v>
      </c>
      <c r="I392">
        <f t="shared" si="13"/>
        <v>36</v>
      </c>
    </row>
    <row r="393" spans="1:9" x14ac:dyDescent="0.25">
      <c r="A393" s="2">
        <v>45544</v>
      </c>
      <c r="B393" s="5" t="s">
        <v>16</v>
      </c>
      <c r="C393">
        <f>ROUND(IF(ISBLANK('original data'!C393),0,'original data'!C393),0)</f>
        <v>21600</v>
      </c>
      <c r="D393">
        <f>ROUND(IF(ISBLANK('original data'!D393),0,'original data'!D393),0)</f>
        <v>0</v>
      </c>
      <c r="E393" s="3" t="s">
        <v>18</v>
      </c>
      <c r="F393" s="3" t="s">
        <v>19</v>
      </c>
      <c r="G393" s="3" t="s">
        <v>15</v>
      </c>
      <c r="H393" t="str">
        <f t="shared" si="12"/>
        <v>September</v>
      </c>
      <c r="I393">
        <f t="shared" si="13"/>
        <v>37</v>
      </c>
    </row>
    <row r="394" spans="1:9" x14ac:dyDescent="0.25">
      <c r="A394" s="2">
        <v>45544</v>
      </c>
      <c r="B394" s="5" t="s">
        <v>20</v>
      </c>
      <c r="C394">
        <f>ROUND(IF(ISBLANK('original data'!C394),0,'original data'!C394),0)</f>
        <v>3600</v>
      </c>
      <c r="D394">
        <f>ROUND(IF(ISBLANK('original data'!D394),0,'original data'!D394),0)</f>
        <v>0</v>
      </c>
      <c r="E394" s="3" t="s">
        <v>22</v>
      </c>
      <c r="F394" s="3" t="s">
        <v>23</v>
      </c>
      <c r="G394" s="3" t="s">
        <v>15</v>
      </c>
      <c r="H394" t="str">
        <f t="shared" si="12"/>
        <v>September</v>
      </c>
      <c r="I394">
        <f t="shared" si="13"/>
        <v>37</v>
      </c>
    </row>
    <row r="395" spans="1:9" x14ac:dyDescent="0.25">
      <c r="A395" s="2">
        <v>45544</v>
      </c>
      <c r="B395" s="5" t="s">
        <v>11</v>
      </c>
      <c r="C395">
        <f>ROUND(IF(ISBLANK('original data'!C395),0,'original data'!C395),0)</f>
        <v>120</v>
      </c>
      <c r="D395">
        <f>ROUND(IF(ISBLANK('original data'!D395),0,'original data'!D395),0)</f>
        <v>0</v>
      </c>
      <c r="E395" s="3" t="s">
        <v>13</v>
      </c>
      <c r="F395" s="3" t="s">
        <v>14</v>
      </c>
      <c r="G395" s="3" t="s">
        <v>15</v>
      </c>
      <c r="H395" t="str">
        <f t="shared" si="12"/>
        <v>September</v>
      </c>
      <c r="I395">
        <f t="shared" si="13"/>
        <v>37</v>
      </c>
    </row>
    <row r="396" spans="1:9" x14ac:dyDescent="0.25">
      <c r="A396" s="2">
        <v>45544</v>
      </c>
      <c r="B396" s="5" t="s">
        <v>11</v>
      </c>
      <c r="C396">
        <f>ROUND(IF(ISBLANK('original data'!C396),0,'original data'!C396),0)</f>
        <v>120</v>
      </c>
      <c r="D396">
        <f>ROUND(IF(ISBLANK('original data'!D396),0,'original data'!D396),0)</f>
        <v>0</v>
      </c>
      <c r="E396" s="3" t="s">
        <v>13</v>
      </c>
      <c r="F396" s="3" t="s">
        <v>14</v>
      </c>
      <c r="G396" s="3" t="s">
        <v>15</v>
      </c>
      <c r="H396" t="str">
        <f t="shared" si="12"/>
        <v>September</v>
      </c>
      <c r="I396">
        <f t="shared" si="13"/>
        <v>37</v>
      </c>
    </row>
    <row r="397" spans="1:9" x14ac:dyDescent="0.25">
      <c r="A397" s="2">
        <v>45545</v>
      </c>
      <c r="B397" s="5" t="s">
        <v>11</v>
      </c>
      <c r="C397">
        <f>ROUND(IF(ISBLANK('original data'!C397),0,'original data'!C397),0)</f>
        <v>120</v>
      </c>
      <c r="D397">
        <f>ROUND(IF(ISBLANK('original data'!D397),0,'original data'!D397),0)</f>
        <v>0</v>
      </c>
      <c r="E397" s="3" t="s">
        <v>13</v>
      </c>
      <c r="F397" s="3" t="s">
        <v>14</v>
      </c>
      <c r="G397" s="3" t="s">
        <v>15</v>
      </c>
      <c r="H397" t="str">
        <f t="shared" si="12"/>
        <v>September</v>
      </c>
      <c r="I397">
        <f t="shared" si="13"/>
        <v>37</v>
      </c>
    </row>
    <row r="398" spans="1:9" x14ac:dyDescent="0.25">
      <c r="A398" s="2">
        <v>45546</v>
      </c>
      <c r="B398" s="5" t="s">
        <v>11</v>
      </c>
      <c r="C398">
        <f>ROUND(IF(ISBLANK('original data'!C398),0,'original data'!C398),0)</f>
        <v>120</v>
      </c>
      <c r="D398">
        <f>ROUND(IF(ISBLANK('original data'!D398),0,'original data'!D398),0)</f>
        <v>0</v>
      </c>
      <c r="E398" s="3" t="s">
        <v>13</v>
      </c>
      <c r="F398" s="3" t="s">
        <v>14</v>
      </c>
      <c r="G398" s="3" t="s">
        <v>15</v>
      </c>
      <c r="H398" t="str">
        <f t="shared" si="12"/>
        <v>September</v>
      </c>
      <c r="I398">
        <f t="shared" si="13"/>
        <v>37</v>
      </c>
    </row>
    <row r="399" spans="1:9" x14ac:dyDescent="0.25">
      <c r="A399" s="2">
        <v>45546</v>
      </c>
      <c r="B399" s="5" t="s">
        <v>24</v>
      </c>
      <c r="C399">
        <f>ROUND(IF(ISBLANK('original data'!C399),0,'original data'!C399),0)</f>
        <v>3922</v>
      </c>
      <c r="D399">
        <f>ROUND(IF(ISBLANK('original data'!D399),0,'original data'!D399),0)</f>
        <v>0</v>
      </c>
      <c r="E399" s="3" t="s">
        <v>26</v>
      </c>
      <c r="F399" s="3" t="s">
        <v>19</v>
      </c>
      <c r="G399" s="3" t="s">
        <v>15</v>
      </c>
      <c r="H399" t="str">
        <f t="shared" si="12"/>
        <v>September</v>
      </c>
      <c r="I399">
        <f t="shared" si="13"/>
        <v>37</v>
      </c>
    </row>
    <row r="400" spans="1:9" x14ac:dyDescent="0.25">
      <c r="A400" s="2">
        <v>45549</v>
      </c>
      <c r="B400" s="5" t="s">
        <v>27</v>
      </c>
      <c r="C400">
        <f>ROUND(IF(ISBLANK('original data'!C400),0,'original data'!C400),0)</f>
        <v>1394</v>
      </c>
      <c r="D400">
        <f>ROUND(IF(ISBLANK('original data'!D400),0,'original data'!D400),0)</f>
        <v>0</v>
      </c>
      <c r="E400" s="3" t="s">
        <v>29</v>
      </c>
      <c r="F400" s="3" t="s">
        <v>19</v>
      </c>
      <c r="G400" s="3" t="s">
        <v>15</v>
      </c>
      <c r="H400" t="str">
        <f t="shared" si="12"/>
        <v>September</v>
      </c>
      <c r="I400">
        <f t="shared" si="13"/>
        <v>37</v>
      </c>
    </row>
    <row r="401" spans="1:9" x14ac:dyDescent="0.25">
      <c r="A401" s="2">
        <v>45549</v>
      </c>
      <c r="B401" s="5" t="s">
        <v>11</v>
      </c>
      <c r="C401">
        <f>ROUND(IF(ISBLANK('original data'!C401),0,'original data'!C401),0)</f>
        <v>120</v>
      </c>
      <c r="D401">
        <f>ROUND(IF(ISBLANK('original data'!D401),0,'original data'!D401),0)</f>
        <v>0</v>
      </c>
      <c r="E401" s="3" t="s">
        <v>13</v>
      </c>
      <c r="F401" s="3" t="s">
        <v>14</v>
      </c>
      <c r="G401" s="3" t="s">
        <v>15</v>
      </c>
      <c r="H401" t="str">
        <f t="shared" si="12"/>
        <v>September</v>
      </c>
      <c r="I401">
        <f t="shared" si="13"/>
        <v>37</v>
      </c>
    </row>
    <row r="402" spans="1:9" x14ac:dyDescent="0.25">
      <c r="A402" s="2">
        <v>45550</v>
      </c>
      <c r="B402" s="5" t="s">
        <v>11</v>
      </c>
      <c r="C402">
        <f>ROUND(IF(ISBLANK('original data'!C402),0,'original data'!C402),0)</f>
        <v>120</v>
      </c>
      <c r="D402">
        <f>ROUND(IF(ISBLANK('original data'!D402),0,'original data'!D402),0)</f>
        <v>0</v>
      </c>
      <c r="E402" s="3" t="s">
        <v>13</v>
      </c>
      <c r="F402" s="3" t="s">
        <v>14</v>
      </c>
      <c r="G402" s="3" t="s">
        <v>15</v>
      </c>
      <c r="H402" t="str">
        <f t="shared" si="12"/>
        <v>September</v>
      </c>
      <c r="I402">
        <f t="shared" si="13"/>
        <v>38</v>
      </c>
    </row>
    <row r="403" spans="1:9" x14ac:dyDescent="0.25">
      <c r="A403" s="2">
        <v>45551</v>
      </c>
      <c r="B403" s="5" t="s">
        <v>30</v>
      </c>
      <c r="C403">
        <f>ROUND(IF(ISBLANK('original data'!C403),0,'original data'!C403),0)</f>
        <v>2047</v>
      </c>
      <c r="D403">
        <f>ROUND(IF(ISBLANK('original data'!D403),0,'original data'!D403),0)</f>
        <v>0</v>
      </c>
      <c r="E403" s="3" t="s">
        <v>67</v>
      </c>
      <c r="F403" s="3" t="s">
        <v>23</v>
      </c>
      <c r="G403" s="3" t="s">
        <v>15</v>
      </c>
      <c r="H403" t="str">
        <f t="shared" si="12"/>
        <v>September</v>
      </c>
      <c r="I403">
        <f t="shared" si="13"/>
        <v>38</v>
      </c>
    </row>
    <row r="404" spans="1:9" x14ac:dyDescent="0.25">
      <c r="A404" s="2">
        <v>45551</v>
      </c>
      <c r="B404" s="5" t="s">
        <v>11</v>
      </c>
      <c r="C404">
        <f>ROUND(IF(ISBLANK('original data'!C404),0,'original data'!C404),0)</f>
        <v>120</v>
      </c>
      <c r="D404">
        <f>ROUND(IF(ISBLANK('original data'!D404),0,'original data'!D404),0)</f>
        <v>0</v>
      </c>
      <c r="E404" s="3" t="s">
        <v>13</v>
      </c>
      <c r="F404" s="3" t="s">
        <v>14</v>
      </c>
      <c r="G404" s="3" t="s">
        <v>15</v>
      </c>
      <c r="H404" t="str">
        <f t="shared" si="12"/>
        <v>September</v>
      </c>
      <c r="I404">
        <f t="shared" si="13"/>
        <v>38</v>
      </c>
    </row>
    <row r="405" spans="1:9" x14ac:dyDescent="0.25">
      <c r="A405" s="2">
        <v>45552</v>
      </c>
      <c r="B405" s="5" t="s">
        <v>11</v>
      </c>
      <c r="C405">
        <f>ROUND(IF(ISBLANK('original data'!C405),0,'original data'!C405),0)</f>
        <v>120</v>
      </c>
      <c r="D405">
        <f>ROUND(IF(ISBLANK('original data'!D405),0,'original data'!D405),0)</f>
        <v>0</v>
      </c>
      <c r="E405" s="3" t="s">
        <v>13</v>
      </c>
      <c r="F405" s="3" t="s">
        <v>14</v>
      </c>
      <c r="G405" s="3" t="s">
        <v>15</v>
      </c>
      <c r="H405" t="str">
        <f t="shared" si="12"/>
        <v>September</v>
      </c>
      <c r="I405">
        <f t="shared" si="13"/>
        <v>38</v>
      </c>
    </row>
    <row r="406" spans="1:9" x14ac:dyDescent="0.25">
      <c r="A406" s="2">
        <v>45553</v>
      </c>
      <c r="B406" s="5" t="s">
        <v>24</v>
      </c>
      <c r="C406">
        <f>ROUND(IF(ISBLANK('original data'!C406),0,'original data'!C406),0)</f>
        <v>3432</v>
      </c>
      <c r="D406">
        <f>ROUND(IF(ISBLANK('original data'!D406),0,'original data'!D406),0)</f>
        <v>0</v>
      </c>
      <c r="E406" s="3" t="s">
        <v>26</v>
      </c>
      <c r="F406" s="3" t="s">
        <v>19</v>
      </c>
      <c r="G406" s="3" t="s">
        <v>15</v>
      </c>
      <c r="H406" t="str">
        <f t="shared" si="12"/>
        <v>September</v>
      </c>
      <c r="I406">
        <f t="shared" si="13"/>
        <v>38</v>
      </c>
    </row>
    <row r="407" spans="1:9" x14ac:dyDescent="0.25">
      <c r="A407" s="2">
        <v>45553</v>
      </c>
      <c r="B407" s="5" t="s">
        <v>11</v>
      </c>
      <c r="C407">
        <f>ROUND(IF(ISBLANK('original data'!C407),0,'original data'!C407),0)</f>
        <v>120</v>
      </c>
      <c r="D407">
        <f>ROUND(IF(ISBLANK('original data'!D407),0,'original data'!D407),0)</f>
        <v>0</v>
      </c>
      <c r="E407" s="3" t="s">
        <v>13</v>
      </c>
      <c r="F407" s="3" t="s">
        <v>14</v>
      </c>
      <c r="G407" s="3" t="s">
        <v>15</v>
      </c>
      <c r="H407" t="str">
        <f t="shared" si="12"/>
        <v>September</v>
      </c>
      <c r="I407">
        <f t="shared" si="13"/>
        <v>38</v>
      </c>
    </row>
    <row r="408" spans="1:9" x14ac:dyDescent="0.25">
      <c r="A408" s="2">
        <v>45554</v>
      </c>
      <c r="B408" s="5" t="s">
        <v>11</v>
      </c>
      <c r="C408">
        <f>ROUND(IF(ISBLANK('original data'!C408),0,'original data'!C408),0)</f>
        <v>120</v>
      </c>
      <c r="D408">
        <f>ROUND(IF(ISBLANK('original data'!D408),0,'original data'!D408),0)</f>
        <v>0</v>
      </c>
      <c r="E408" s="3" t="s">
        <v>13</v>
      </c>
      <c r="F408" s="3" t="s">
        <v>14</v>
      </c>
      <c r="G408" s="3" t="s">
        <v>15</v>
      </c>
      <c r="H408" t="str">
        <f t="shared" si="12"/>
        <v>September</v>
      </c>
      <c r="I408">
        <f t="shared" si="13"/>
        <v>38</v>
      </c>
    </row>
    <row r="409" spans="1:9" x14ac:dyDescent="0.25">
      <c r="A409" s="2">
        <v>45554</v>
      </c>
      <c r="B409" s="5" t="s">
        <v>33</v>
      </c>
      <c r="C409">
        <f>ROUND(IF(ISBLANK('original data'!C409),0,'original data'!C409),0)</f>
        <v>1147</v>
      </c>
      <c r="D409">
        <f>ROUND(IF(ISBLANK('original data'!D409),0,'original data'!D409),0)</f>
        <v>0</v>
      </c>
      <c r="E409" s="3" t="s">
        <v>35</v>
      </c>
      <c r="F409" s="3" t="s">
        <v>36</v>
      </c>
      <c r="G409" s="3" t="s">
        <v>15</v>
      </c>
      <c r="H409" t="str">
        <f t="shared" si="12"/>
        <v>September</v>
      </c>
      <c r="I409">
        <f t="shared" si="13"/>
        <v>38</v>
      </c>
    </row>
    <row r="410" spans="1:9" x14ac:dyDescent="0.25">
      <c r="A410" s="2">
        <v>45554</v>
      </c>
      <c r="B410" s="5" t="s">
        <v>81</v>
      </c>
      <c r="C410">
        <f>ROUND(IF(ISBLANK('original data'!C410),0,'original data'!C410),0)</f>
        <v>2539</v>
      </c>
      <c r="D410">
        <f>ROUND(IF(ISBLANK('original data'!D410),0,'original data'!D410),0)</f>
        <v>0</v>
      </c>
      <c r="E410" s="3" t="s">
        <v>39</v>
      </c>
      <c r="F410" s="3" t="s">
        <v>36</v>
      </c>
      <c r="G410" s="3" t="s">
        <v>15</v>
      </c>
      <c r="H410" t="str">
        <f t="shared" si="12"/>
        <v>September</v>
      </c>
      <c r="I410">
        <f t="shared" si="13"/>
        <v>38</v>
      </c>
    </row>
    <row r="411" spans="1:9" x14ac:dyDescent="0.25">
      <c r="A411" s="2">
        <v>45554</v>
      </c>
      <c r="B411" s="5" t="s">
        <v>40</v>
      </c>
      <c r="C411">
        <f>ROUND(IF(ISBLANK('original data'!C411),0,'original data'!C411),0)</f>
        <v>1442</v>
      </c>
      <c r="D411">
        <f>ROUND(IF(ISBLANK('original data'!D411),0,'original data'!D411),0)</f>
        <v>0</v>
      </c>
      <c r="E411" s="3" t="s">
        <v>42</v>
      </c>
      <c r="F411" s="3" t="s">
        <v>14</v>
      </c>
      <c r="G411" s="3" t="s">
        <v>15</v>
      </c>
      <c r="H411" t="str">
        <f t="shared" si="12"/>
        <v>September</v>
      </c>
      <c r="I411">
        <f t="shared" si="13"/>
        <v>38</v>
      </c>
    </row>
    <row r="412" spans="1:9" x14ac:dyDescent="0.25">
      <c r="A412" s="2">
        <v>45555</v>
      </c>
      <c r="B412" s="5" t="s">
        <v>43</v>
      </c>
      <c r="C412">
        <f>ROUND(IF(ISBLANK('original data'!C412),0,'original data'!C412),0)</f>
        <v>869</v>
      </c>
      <c r="D412">
        <f>ROUND(IF(ISBLANK('original data'!D412),0,'original data'!D412),0)</f>
        <v>0</v>
      </c>
      <c r="E412" s="3" t="s">
        <v>45</v>
      </c>
      <c r="F412" s="3" t="s">
        <v>23</v>
      </c>
      <c r="G412" s="3" t="s">
        <v>15</v>
      </c>
      <c r="H412" t="str">
        <f t="shared" si="12"/>
        <v>September</v>
      </c>
      <c r="I412">
        <f t="shared" si="13"/>
        <v>38</v>
      </c>
    </row>
    <row r="413" spans="1:9" x14ac:dyDescent="0.25">
      <c r="A413" s="2">
        <v>45556</v>
      </c>
      <c r="B413" s="5" t="s">
        <v>46</v>
      </c>
      <c r="C413">
        <f>ROUND(IF(ISBLANK('original data'!C413),0,'original data'!C413),0)</f>
        <v>0</v>
      </c>
      <c r="D413">
        <f>ROUND(IF(ISBLANK('original data'!D413),0,'original data'!D413),0)</f>
        <v>2400</v>
      </c>
      <c r="E413" s="3" t="s">
        <v>48</v>
      </c>
      <c r="F413" s="3" t="s">
        <v>49</v>
      </c>
      <c r="G413" s="3" t="s">
        <v>10</v>
      </c>
      <c r="H413" t="str">
        <f t="shared" si="12"/>
        <v>September</v>
      </c>
      <c r="I413">
        <f t="shared" si="13"/>
        <v>38</v>
      </c>
    </row>
    <row r="414" spans="1:9" x14ac:dyDescent="0.25">
      <c r="A414" s="2">
        <v>45556</v>
      </c>
      <c r="B414" s="5" t="s">
        <v>11</v>
      </c>
      <c r="C414">
        <f>ROUND(IF(ISBLANK('original data'!C414),0,'original data'!C414),0)</f>
        <v>120</v>
      </c>
      <c r="D414">
        <f>ROUND(IF(ISBLANK('original data'!D414),0,'original data'!D414),0)</f>
        <v>0</v>
      </c>
      <c r="E414" s="3" t="s">
        <v>13</v>
      </c>
      <c r="F414" s="3" t="s">
        <v>14</v>
      </c>
      <c r="G414" s="3" t="s">
        <v>15</v>
      </c>
      <c r="H414" t="str">
        <f t="shared" si="12"/>
        <v>September</v>
      </c>
      <c r="I414">
        <f t="shared" si="13"/>
        <v>38</v>
      </c>
    </row>
    <row r="415" spans="1:9" x14ac:dyDescent="0.25">
      <c r="A415" s="2">
        <v>45557</v>
      </c>
      <c r="B415" s="5" t="s">
        <v>11</v>
      </c>
      <c r="C415">
        <f>ROUND(IF(ISBLANK('original data'!C415),0,'original data'!C415),0)</f>
        <v>120</v>
      </c>
      <c r="D415">
        <f>ROUND(IF(ISBLANK('original data'!D415),0,'original data'!D415),0)</f>
        <v>0</v>
      </c>
      <c r="E415" s="3" t="s">
        <v>13</v>
      </c>
      <c r="F415" s="3" t="s">
        <v>14</v>
      </c>
      <c r="G415" s="3" t="s">
        <v>15</v>
      </c>
      <c r="H415" t="str">
        <f t="shared" si="12"/>
        <v>September</v>
      </c>
      <c r="I415">
        <f t="shared" si="13"/>
        <v>39</v>
      </c>
    </row>
    <row r="416" spans="1:9" x14ac:dyDescent="0.25">
      <c r="A416" s="2">
        <v>45557</v>
      </c>
      <c r="B416" s="5" t="s">
        <v>51</v>
      </c>
      <c r="C416">
        <f>ROUND(IF(ISBLANK('original data'!C416),0,'original data'!C416),0)</f>
        <v>960</v>
      </c>
      <c r="D416">
        <f>ROUND(IF(ISBLANK('original data'!D416),0,'original data'!D416),0)</f>
        <v>0</v>
      </c>
      <c r="E416" s="3" t="s">
        <v>51</v>
      </c>
      <c r="F416" s="3" t="s">
        <v>19</v>
      </c>
      <c r="G416" s="3" t="s">
        <v>15</v>
      </c>
      <c r="H416" t="str">
        <f t="shared" si="12"/>
        <v>September</v>
      </c>
      <c r="I416">
        <f t="shared" si="13"/>
        <v>39</v>
      </c>
    </row>
    <row r="417" spans="1:9" x14ac:dyDescent="0.25">
      <c r="A417" s="2">
        <v>45558</v>
      </c>
      <c r="B417" s="5" t="s">
        <v>52</v>
      </c>
      <c r="C417">
        <f>ROUND(IF(ISBLANK('original data'!C417),0,'original data'!C417),0)</f>
        <v>1272</v>
      </c>
      <c r="D417">
        <f>ROUND(IF(ISBLANK('original data'!D417),0,'original data'!D417),0)</f>
        <v>0</v>
      </c>
      <c r="E417" s="3" t="s">
        <v>54</v>
      </c>
      <c r="F417" s="3" t="s">
        <v>36</v>
      </c>
      <c r="G417" s="3" t="s">
        <v>15</v>
      </c>
      <c r="H417" t="str">
        <f t="shared" si="12"/>
        <v>September</v>
      </c>
      <c r="I417">
        <f t="shared" si="13"/>
        <v>39</v>
      </c>
    </row>
    <row r="418" spans="1:9" x14ac:dyDescent="0.25">
      <c r="A418" s="2">
        <v>45558</v>
      </c>
      <c r="B418" s="5" t="s">
        <v>55</v>
      </c>
      <c r="C418">
        <f>ROUND(IF(ISBLANK('original data'!C418),0,'original data'!C418),0)</f>
        <v>840</v>
      </c>
      <c r="D418">
        <f>ROUND(IF(ISBLANK('original data'!D418),0,'original data'!D418),0)</f>
        <v>0</v>
      </c>
      <c r="E418" s="3" t="s">
        <v>35</v>
      </c>
      <c r="F418" s="3" t="s">
        <v>36</v>
      </c>
      <c r="G418" s="3" t="s">
        <v>15</v>
      </c>
      <c r="H418" t="str">
        <f t="shared" si="12"/>
        <v>September</v>
      </c>
      <c r="I418">
        <f t="shared" si="13"/>
        <v>39</v>
      </c>
    </row>
    <row r="419" spans="1:9" x14ac:dyDescent="0.25">
      <c r="A419" s="2">
        <v>45558</v>
      </c>
      <c r="B419" s="5" t="s">
        <v>11</v>
      </c>
      <c r="C419">
        <f>ROUND(IF(ISBLANK('original data'!C419),0,'original data'!C419),0)</f>
        <v>120</v>
      </c>
      <c r="D419">
        <f>ROUND(IF(ISBLANK('original data'!D419),0,'original data'!D419),0)</f>
        <v>0</v>
      </c>
      <c r="E419" s="3" t="s">
        <v>13</v>
      </c>
      <c r="F419" s="3" t="s">
        <v>14</v>
      </c>
      <c r="G419" s="3" t="s">
        <v>15</v>
      </c>
      <c r="H419" t="str">
        <f t="shared" si="12"/>
        <v>September</v>
      </c>
      <c r="I419">
        <f t="shared" si="13"/>
        <v>39</v>
      </c>
    </row>
    <row r="420" spans="1:9" x14ac:dyDescent="0.25">
      <c r="A420" s="2">
        <v>45559</v>
      </c>
      <c r="B420" s="5" t="s">
        <v>11</v>
      </c>
      <c r="C420">
        <f>ROUND(IF(ISBLANK('original data'!C420),0,'original data'!C420),0)</f>
        <v>120</v>
      </c>
      <c r="D420">
        <f>ROUND(IF(ISBLANK('original data'!D420),0,'original data'!D420),0)</f>
        <v>0</v>
      </c>
      <c r="E420" s="3" t="s">
        <v>13</v>
      </c>
      <c r="F420" s="3" t="s">
        <v>14</v>
      </c>
      <c r="G420" s="3" t="s">
        <v>15</v>
      </c>
      <c r="H420" t="str">
        <f t="shared" si="12"/>
        <v>September</v>
      </c>
      <c r="I420">
        <f t="shared" si="13"/>
        <v>39</v>
      </c>
    </row>
    <row r="421" spans="1:9" x14ac:dyDescent="0.25">
      <c r="A421" s="2">
        <v>45560</v>
      </c>
      <c r="B421" s="5" t="s">
        <v>11</v>
      </c>
      <c r="C421">
        <f>ROUND(IF(ISBLANK('original data'!C421),0,'original data'!C421),0)</f>
        <v>120</v>
      </c>
      <c r="D421">
        <f>ROUND(IF(ISBLANK('original data'!D421),0,'original data'!D421),0)</f>
        <v>0</v>
      </c>
      <c r="E421" s="3" t="s">
        <v>13</v>
      </c>
      <c r="F421" s="3" t="s">
        <v>14</v>
      </c>
      <c r="G421" s="3" t="s">
        <v>15</v>
      </c>
      <c r="H421" t="str">
        <f t="shared" si="12"/>
        <v>September</v>
      </c>
      <c r="I421">
        <f t="shared" si="13"/>
        <v>39</v>
      </c>
    </row>
    <row r="422" spans="1:9" x14ac:dyDescent="0.25">
      <c r="A422" s="2">
        <v>45560</v>
      </c>
      <c r="B422" s="5" t="s">
        <v>24</v>
      </c>
      <c r="C422">
        <f>ROUND(IF(ISBLANK('original data'!C422),0,'original data'!C422),0)</f>
        <v>4270</v>
      </c>
      <c r="D422">
        <f>ROUND(IF(ISBLANK('original data'!D422),0,'original data'!D422),0)</f>
        <v>0</v>
      </c>
      <c r="E422" s="3" t="s">
        <v>26</v>
      </c>
      <c r="F422" s="3" t="s">
        <v>19</v>
      </c>
      <c r="G422" s="3" t="s">
        <v>15</v>
      </c>
      <c r="H422" t="str">
        <f t="shared" si="12"/>
        <v>September</v>
      </c>
      <c r="I422">
        <f t="shared" si="13"/>
        <v>39</v>
      </c>
    </row>
    <row r="423" spans="1:9" x14ac:dyDescent="0.25">
      <c r="A423" s="2">
        <v>45561</v>
      </c>
      <c r="B423" s="5" t="s">
        <v>58</v>
      </c>
      <c r="C423">
        <f>ROUND(IF(ISBLANK('original data'!C423),0,'original data'!C423),0)</f>
        <v>1087</v>
      </c>
      <c r="D423">
        <f>ROUND(IF(ISBLANK('original data'!D423),0,'original data'!D423),0)</f>
        <v>0</v>
      </c>
      <c r="E423" s="3" t="s">
        <v>42</v>
      </c>
      <c r="F423" s="3" t="s">
        <v>14</v>
      </c>
      <c r="G423" s="3" t="s">
        <v>15</v>
      </c>
      <c r="H423" t="str">
        <f t="shared" si="12"/>
        <v>September</v>
      </c>
      <c r="I423">
        <f t="shared" si="13"/>
        <v>39</v>
      </c>
    </row>
    <row r="424" spans="1:9" x14ac:dyDescent="0.25">
      <c r="A424" s="2">
        <v>45562</v>
      </c>
      <c r="B424" s="5" t="s">
        <v>60</v>
      </c>
      <c r="C424">
        <f>ROUND(IF(ISBLANK('original data'!C424),0,'original data'!C424),0)</f>
        <v>482</v>
      </c>
      <c r="D424">
        <f>ROUND(IF(ISBLANK('original data'!D424),0,'original data'!D424),0)</f>
        <v>0</v>
      </c>
      <c r="E424" s="3" t="s">
        <v>42</v>
      </c>
      <c r="F424" s="3" t="s">
        <v>14</v>
      </c>
      <c r="G424" s="3" t="s">
        <v>15</v>
      </c>
      <c r="H424" t="str">
        <f t="shared" si="12"/>
        <v>September</v>
      </c>
      <c r="I424">
        <f t="shared" si="13"/>
        <v>39</v>
      </c>
    </row>
    <row r="425" spans="1:9" x14ac:dyDescent="0.25">
      <c r="A425" s="2">
        <v>45563</v>
      </c>
      <c r="B425" s="5" t="s">
        <v>62</v>
      </c>
      <c r="C425">
        <f>ROUND(IF(ISBLANK('original data'!C425),0,'original data'!C425),0)</f>
        <v>1320</v>
      </c>
      <c r="D425">
        <f>ROUND(IF(ISBLANK('original data'!D425),0,'original data'!D425),0)</f>
        <v>0</v>
      </c>
      <c r="E425" s="3" t="s">
        <v>64</v>
      </c>
      <c r="F425" s="3" t="s">
        <v>65</v>
      </c>
      <c r="G425" s="3" t="s">
        <v>15</v>
      </c>
      <c r="H425" t="str">
        <f t="shared" si="12"/>
        <v>September</v>
      </c>
      <c r="I425">
        <f t="shared" si="13"/>
        <v>39</v>
      </c>
    </row>
    <row r="426" spans="1:9" x14ac:dyDescent="0.25">
      <c r="A426" s="2">
        <v>45563</v>
      </c>
      <c r="B426" s="5" t="s">
        <v>30</v>
      </c>
      <c r="C426">
        <f>ROUND(IF(ISBLANK('original data'!C426),0,'original data'!C426),0)</f>
        <v>1694</v>
      </c>
      <c r="D426">
        <f>ROUND(IF(ISBLANK('original data'!D426),0,'original data'!D426),0)</f>
        <v>0</v>
      </c>
      <c r="E426" s="3" t="s">
        <v>67</v>
      </c>
      <c r="F426" s="3" t="s">
        <v>23</v>
      </c>
      <c r="G426" s="3" t="s">
        <v>15</v>
      </c>
      <c r="H426" t="str">
        <f t="shared" si="12"/>
        <v>September</v>
      </c>
      <c r="I426">
        <f t="shared" si="13"/>
        <v>39</v>
      </c>
    </row>
    <row r="427" spans="1:9" x14ac:dyDescent="0.25">
      <c r="A427" s="2">
        <v>45563</v>
      </c>
      <c r="B427" s="5" t="s">
        <v>11</v>
      </c>
      <c r="C427">
        <f>ROUND(IF(ISBLANK('original data'!C427),0,'original data'!C427),0)</f>
        <v>120</v>
      </c>
      <c r="D427">
        <f>ROUND(IF(ISBLANK('original data'!D427),0,'original data'!D427),0)</f>
        <v>0</v>
      </c>
      <c r="E427" s="3" t="s">
        <v>13</v>
      </c>
      <c r="F427" s="3" t="s">
        <v>14</v>
      </c>
      <c r="G427" s="3" t="s">
        <v>15</v>
      </c>
      <c r="H427" t="str">
        <f t="shared" si="12"/>
        <v>September</v>
      </c>
      <c r="I427">
        <f t="shared" si="13"/>
        <v>39</v>
      </c>
    </row>
    <row r="428" spans="1:9" x14ac:dyDescent="0.25">
      <c r="A428" s="2">
        <v>45564</v>
      </c>
      <c r="B428" s="5" t="s">
        <v>11</v>
      </c>
      <c r="C428">
        <f>ROUND(IF(ISBLANK('original data'!C428),0,'original data'!C428),0)</f>
        <v>120</v>
      </c>
      <c r="D428">
        <f>ROUND(IF(ISBLANK('original data'!D428),0,'original data'!D428),0)</f>
        <v>0</v>
      </c>
      <c r="E428" s="3" t="s">
        <v>13</v>
      </c>
      <c r="F428" s="3" t="s">
        <v>14</v>
      </c>
      <c r="G428" s="3" t="s">
        <v>15</v>
      </c>
      <c r="H428" t="str">
        <f t="shared" si="12"/>
        <v>September</v>
      </c>
      <c r="I428">
        <f t="shared" si="13"/>
        <v>40</v>
      </c>
    </row>
    <row r="429" spans="1:9" x14ac:dyDescent="0.25">
      <c r="A429" s="2">
        <v>45565</v>
      </c>
      <c r="B429" s="5" t="s">
        <v>11</v>
      </c>
      <c r="C429">
        <f>ROUND(IF(ISBLANK('original data'!C429),0,'original data'!C429),0)</f>
        <v>120</v>
      </c>
      <c r="D429">
        <f>ROUND(IF(ISBLANK('original data'!D429),0,'original data'!D429),0)</f>
        <v>0</v>
      </c>
      <c r="E429" s="3" t="s">
        <v>13</v>
      </c>
      <c r="F429" s="3" t="s">
        <v>14</v>
      </c>
      <c r="G429" s="3" t="s">
        <v>15</v>
      </c>
      <c r="H429" t="str">
        <f t="shared" si="12"/>
        <v>September</v>
      </c>
      <c r="I429">
        <f t="shared" si="13"/>
        <v>40</v>
      </c>
    </row>
    <row r="430" spans="1:9" x14ac:dyDescent="0.25">
      <c r="A430" s="2">
        <v>45566</v>
      </c>
      <c r="B430" s="5" t="s">
        <v>11</v>
      </c>
      <c r="C430">
        <f>ROUND(IF(ISBLANK('original data'!C430),0,'original data'!C430),0)</f>
        <v>120</v>
      </c>
      <c r="D430">
        <f>ROUND(IF(ISBLANK('original data'!D430),0,'original data'!D430),0)</f>
        <v>0</v>
      </c>
      <c r="E430" s="3" t="s">
        <v>13</v>
      </c>
      <c r="F430" s="3" t="s">
        <v>14</v>
      </c>
      <c r="G430" s="3" t="s">
        <v>15</v>
      </c>
      <c r="H430" t="str">
        <f t="shared" si="12"/>
        <v>October</v>
      </c>
      <c r="I430">
        <f t="shared" si="13"/>
        <v>40</v>
      </c>
    </row>
    <row r="431" spans="1:9" x14ac:dyDescent="0.25">
      <c r="A431" s="2">
        <v>45567</v>
      </c>
      <c r="B431" s="5" t="s">
        <v>11</v>
      </c>
      <c r="C431">
        <f>ROUND(IF(ISBLANK('original data'!C431),0,'original data'!C431),0)</f>
        <v>120</v>
      </c>
      <c r="D431">
        <f>ROUND(IF(ISBLANK('original data'!D431),0,'original data'!D431),0)</f>
        <v>0</v>
      </c>
      <c r="E431" s="3" t="s">
        <v>13</v>
      </c>
      <c r="F431" s="3" t="s">
        <v>14</v>
      </c>
      <c r="G431" s="3" t="s">
        <v>15</v>
      </c>
      <c r="H431" t="str">
        <f t="shared" si="12"/>
        <v>October</v>
      </c>
      <c r="I431">
        <f t="shared" si="13"/>
        <v>40</v>
      </c>
    </row>
    <row r="432" spans="1:9" x14ac:dyDescent="0.25">
      <c r="A432" s="2">
        <v>45567</v>
      </c>
      <c r="B432" s="5" t="s">
        <v>24</v>
      </c>
      <c r="C432">
        <f>ROUND(IF(ISBLANK('original data'!C432),0,'original data'!C432),0)</f>
        <v>5352</v>
      </c>
      <c r="D432">
        <f>ROUND(IF(ISBLANK('original data'!D432),0,'original data'!D432),0)</f>
        <v>0</v>
      </c>
      <c r="E432" s="3" t="s">
        <v>26</v>
      </c>
      <c r="F432" s="3" t="s">
        <v>19</v>
      </c>
      <c r="G432" s="3" t="s">
        <v>15</v>
      </c>
      <c r="H432" t="str">
        <f t="shared" si="12"/>
        <v>October</v>
      </c>
      <c r="I432">
        <f t="shared" si="13"/>
        <v>40</v>
      </c>
    </row>
    <row r="433" spans="1:9" x14ac:dyDescent="0.25">
      <c r="A433" s="2">
        <v>45568</v>
      </c>
      <c r="B433" s="5" t="s">
        <v>69</v>
      </c>
      <c r="C433">
        <f>ROUND(IF(ISBLANK('original data'!C433),0,'original data'!C433),0)</f>
        <v>3190</v>
      </c>
      <c r="D433">
        <f>ROUND(IF(ISBLANK('original data'!D433),0,'original data'!D433),0)</f>
        <v>0</v>
      </c>
      <c r="E433" s="3" t="s">
        <v>39</v>
      </c>
      <c r="F433" s="3" t="s">
        <v>36</v>
      </c>
      <c r="G433" s="3" t="s">
        <v>15</v>
      </c>
      <c r="H433" t="str">
        <f t="shared" si="12"/>
        <v>October</v>
      </c>
      <c r="I433">
        <f t="shared" si="13"/>
        <v>40</v>
      </c>
    </row>
    <row r="434" spans="1:9" x14ac:dyDescent="0.25">
      <c r="A434" s="2">
        <v>45568</v>
      </c>
      <c r="B434" s="5" t="s">
        <v>94</v>
      </c>
      <c r="C434">
        <f>ROUND(IF(ISBLANK('original data'!C434),0,'original data'!C434),0)</f>
        <v>4200</v>
      </c>
      <c r="D434">
        <f>ROUND(IF(ISBLANK('original data'!D434),0,'original data'!D434),0)</f>
        <v>0</v>
      </c>
      <c r="E434" s="3" t="s">
        <v>39</v>
      </c>
      <c r="F434" s="3" t="s">
        <v>36</v>
      </c>
      <c r="G434" s="3" t="s">
        <v>15</v>
      </c>
      <c r="H434" t="str">
        <f t="shared" si="12"/>
        <v>October</v>
      </c>
      <c r="I434">
        <f t="shared" si="13"/>
        <v>40</v>
      </c>
    </row>
    <row r="435" spans="1:9" x14ac:dyDescent="0.25">
      <c r="A435" s="2">
        <v>45569</v>
      </c>
      <c r="B435" s="5" t="s">
        <v>37</v>
      </c>
      <c r="C435">
        <f>ROUND(IF(ISBLANK('original data'!C435),0,'original data'!C435),0)</f>
        <v>3682</v>
      </c>
      <c r="D435">
        <f>ROUND(IF(ISBLANK('original data'!D435),0,'original data'!D435),0)</f>
        <v>0</v>
      </c>
      <c r="E435" s="3" t="s">
        <v>39</v>
      </c>
      <c r="F435" s="3" t="s">
        <v>36</v>
      </c>
      <c r="G435" s="3" t="s">
        <v>15</v>
      </c>
      <c r="H435" t="str">
        <f t="shared" si="12"/>
        <v>October</v>
      </c>
      <c r="I435">
        <f t="shared" si="13"/>
        <v>40</v>
      </c>
    </row>
    <row r="436" spans="1:9" x14ac:dyDescent="0.25">
      <c r="A436" s="2">
        <v>45569</v>
      </c>
      <c r="B436" s="5" t="s">
        <v>43</v>
      </c>
      <c r="C436">
        <f>ROUND(IF(ISBLANK('original data'!C436),0,'original data'!C436),0)</f>
        <v>749</v>
      </c>
      <c r="D436">
        <f>ROUND(IF(ISBLANK('original data'!D436),0,'original data'!D436),0)</f>
        <v>0</v>
      </c>
      <c r="E436" s="3" t="s">
        <v>45</v>
      </c>
      <c r="F436" s="3" t="s">
        <v>23</v>
      </c>
      <c r="G436" s="3" t="s">
        <v>15</v>
      </c>
      <c r="H436" t="str">
        <f t="shared" si="12"/>
        <v>October</v>
      </c>
      <c r="I436">
        <f t="shared" si="13"/>
        <v>40</v>
      </c>
    </row>
    <row r="437" spans="1:9" x14ac:dyDescent="0.25">
      <c r="A437" s="2">
        <v>45569</v>
      </c>
      <c r="B437" s="5" t="s">
        <v>121</v>
      </c>
      <c r="C437">
        <f>ROUND(IF(ISBLANK('original data'!C437),0,'original data'!C437),0)</f>
        <v>360</v>
      </c>
      <c r="D437">
        <f>ROUND(IF(ISBLANK('original data'!D437),0,'original data'!D437),0)</f>
        <v>0</v>
      </c>
      <c r="E437" s="3" t="s">
        <v>42</v>
      </c>
      <c r="F437" s="3" t="s">
        <v>14</v>
      </c>
      <c r="G437" s="3" t="s">
        <v>15</v>
      </c>
      <c r="H437" t="str">
        <f t="shared" si="12"/>
        <v>October</v>
      </c>
      <c r="I437">
        <f t="shared" si="13"/>
        <v>40</v>
      </c>
    </row>
    <row r="438" spans="1:9" x14ac:dyDescent="0.25">
      <c r="A438" s="2">
        <v>45570</v>
      </c>
      <c r="B438" s="5" t="s">
        <v>11</v>
      </c>
      <c r="C438">
        <f>ROUND(IF(ISBLANK('original data'!C438),0,'original data'!C438),0)</f>
        <v>120</v>
      </c>
      <c r="D438">
        <f>ROUND(IF(ISBLANK('original data'!D438),0,'original data'!D438),0)</f>
        <v>0</v>
      </c>
      <c r="E438" s="3" t="s">
        <v>13</v>
      </c>
      <c r="F438" s="3" t="s">
        <v>14</v>
      </c>
      <c r="G438" s="3" t="s">
        <v>15</v>
      </c>
      <c r="H438" t="str">
        <f t="shared" si="12"/>
        <v>October</v>
      </c>
      <c r="I438">
        <f t="shared" si="13"/>
        <v>40</v>
      </c>
    </row>
    <row r="439" spans="1:9" x14ac:dyDescent="0.25">
      <c r="A439" s="2">
        <v>45572</v>
      </c>
      <c r="B439" s="5" t="s">
        <v>11</v>
      </c>
      <c r="C439">
        <f>ROUND(IF(ISBLANK('original data'!C439),0,'original data'!C439),0)</f>
        <v>120</v>
      </c>
      <c r="D439">
        <f>ROUND(IF(ISBLANK('original data'!D439),0,'original data'!D439),0)</f>
        <v>0</v>
      </c>
      <c r="E439" s="3" t="s">
        <v>13</v>
      </c>
      <c r="F439" s="3" t="s">
        <v>14</v>
      </c>
      <c r="G439" s="3" t="s">
        <v>15</v>
      </c>
      <c r="H439" t="str">
        <f t="shared" si="12"/>
        <v>October</v>
      </c>
      <c r="I439">
        <f t="shared" si="13"/>
        <v>41</v>
      </c>
    </row>
    <row r="440" spans="1:9" x14ac:dyDescent="0.25">
      <c r="A440" s="2">
        <v>45572</v>
      </c>
      <c r="B440" s="5" t="s">
        <v>7</v>
      </c>
      <c r="C440">
        <f>ROUND(IF(ISBLANK('original data'!C440),0,'original data'!C440),0)</f>
        <v>0</v>
      </c>
      <c r="D440">
        <f>ROUND(IF(ISBLANK('original data'!D440),0,'original data'!D440),0)</f>
        <v>120000</v>
      </c>
      <c r="E440" s="3" t="s">
        <v>75</v>
      </c>
      <c r="F440" s="3" t="s">
        <v>9</v>
      </c>
      <c r="G440" s="3" t="s">
        <v>10</v>
      </c>
      <c r="H440" t="str">
        <f t="shared" si="12"/>
        <v>October</v>
      </c>
      <c r="I440">
        <f t="shared" si="13"/>
        <v>41</v>
      </c>
    </row>
    <row r="441" spans="1:9" x14ac:dyDescent="0.25">
      <c r="A441" s="2">
        <v>45573</v>
      </c>
      <c r="B441" s="5" t="s">
        <v>11</v>
      </c>
      <c r="C441">
        <f>ROUND(IF(ISBLANK('original data'!C441),0,'original data'!C441),0)</f>
        <v>120</v>
      </c>
      <c r="D441">
        <f>ROUND(IF(ISBLANK('original data'!D441),0,'original data'!D441),0)</f>
        <v>0</v>
      </c>
      <c r="E441" s="3" t="s">
        <v>13</v>
      </c>
      <c r="F441" s="3" t="s">
        <v>14</v>
      </c>
      <c r="G441" s="3" t="s">
        <v>15</v>
      </c>
      <c r="H441" t="str">
        <f t="shared" si="12"/>
        <v>October</v>
      </c>
      <c r="I441">
        <f t="shared" si="13"/>
        <v>41</v>
      </c>
    </row>
    <row r="442" spans="1:9" x14ac:dyDescent="0.25">
      <c r="A442" s="2">
        <v>45575</v>
      </c>
      <c r="B442" s="5" t="s">
        <v>16</v>
      </c>
      <c r="C442">
        <f>ROUND(IF(ISBLANK('original data'!C442),0,'original data'!C442),0)</f>
        <v>21600</v>
      </c>
      <c r="D442">
        <f>ROUND(IF(ISBLANK('original data'!D442),0,'original data'!D442),0)</f>
        <v>0</v>
      </c>
      <c r="E442" s="3" t="s">
        <v>18</v>
      </c>
      <c r="F442" s="3" t="s">
        <v>19</v>
      </c>
      <c r="G442" s="3" t="s">
        <v>15</v>
      </c>
      <c r="H442" t="str">
        <f t="shared" si="12"/>
        <v>October</v>
      </c>
      <c r="I442">
        <f t="shared" si="13"/>
        <v>41</v>
      </c>
    </row>
    <row r="443" spans="1:9" x14ac:dyDescent="0.25">
      <c r="A443" s="2">
        <v>45575</v>
      </c>
      <c r="B443" s="5" t="s">
        <v>20</v>
      </c>
      <c r="C443">
        <f>ROUND(IF(ISBLANK('original data'!C443),0,'original data'!C443),0)</f>
        <v>3600</v>
      </c>
      <c r="D443">
        <f>ROUND(IF(ISBLANK('original data'!D443),0,'original data'!D443),0)</f>
        <v>0</v>
      </c>
      <c r="E443" s="3" t="s">
        <v>22</v>
      </c>
      <c r="F443" s="3" t="s">
        <v>23</v>
      </c>
      <c r="G443" s="3" t="s">
        <v>15</v>
      </c>
      <c r="H443" t="str">
        <f t="shared" si="12"/>
        <v>October</v>
      </c>
      <c r="I443">
        <f t="shared" si="13"/>
        <v>41</v>
      </c>
    </row>
    <row r="444" spans="1:9" x14ac:dyDescent="0.25">
      <c r="A444" s="2">
        <v>45575</v>
      </c>
      <c r="B444" s="5" t="s">
        <v>11</v>
      </c>
      <c r="C444">
        <f>ROUND(IF(ISBLANK('original data'!C444),0,'original data'!C444),0)</f>
        <v>120</v>
      </c>
      <c r="D444">
        <f>ROUND(IF(ISBLANK('original data'!D444),0,'original data'!D444),0)</f>
        <v>0</v>
      </c>
      <c r="E444" s="3" t="s">
        <v>13</v>
      </c>
      <c r="F444" s="3" t="s">
        <v>14</v>
      </c>
      <c r="G444" s="3" t="s">
        <v>15</v>
      </c>
      <c r="H444" t="str">
        <f t="shared" si="12"/>
        <v>October</v>
      </c>
      <c r="I444">
        <f t="shared" si="13"/>
        <v>41</v>
      </c>
    </row>
    <row r="445" spans="1:9" x14ac:dyDescent="0.25">
      <c r="A445" s="2">
        <v>45575</v>
      </c>
      <c r="B445" s="5" t="s">
        <v>11</v>
      </c>
      <c r="C445">
        <f>ROUND(IF(ISBLANK('original data'!C445),0,'original data'!C445),0)</f>
        <v>120</v>
      </c>
      <c r="D445">
        <f>ROUND(IF(ISBLANK('original data'!D445),0,'original data'!D445),0)</f>
        <v>0</v>
      </c>
      <c r="E445" s="3" t="s">
        <v>13</v>
      </c>
      <c r="F445" s="3" t="s">
        <v>14</v>
      </c>
      <c r="G445" s="3" t="s">
        <v>15</v>
      </c>
      <c r="H445" t="str">
        <f t="shared" si="12"/>
        <v>October</v>
      </c>
      <c r="I445">
        <f t="shared" si="13"/>
        <v>41</v>
      </c>
    </row>
    <row r="446" spans="1:9" x14ac:dyDescent="0.25">
      <c r="A446" s="2">
        <v>45576</v>
      </c>
      <c r="B446" s="5" t="s">
        <v>11</v>
      </c>
      <c r="C446">
        <f>ROUND(IF(ISBLANK('original data'!C446),0,'original data'!C446),0)</f>
        <v>120</v>
      </c>
      <c r="D446">
        <f>ROUND(IF(ISBLANK('original data'!D446),0,'original data'!D446),0)</f>
        <v>0</v>
      </c>
      <c r="E446" s="3" t="s">
        <v>13</v>
      </c>
      <c r="F446" s="3" t="s">
        <v>14</v>
      </c>
      <c r="G446" s="3" t="s">
        <v>15</v>
      </c>
      <c r="H446" t="str">
        <f t="shared" si="12"/>
        <v>October</v>
      </c>
      <c r="I446">
        <f t="shared" si="13"/>
        <v>41</v>
      </c>
    </row>
    <row r="447" spans="1:9" x14ac:dyDescent="0.25">
      <c r="A447" s="2">
        <v>45577</v>
      </c>
      <c r="B447" s="5" t="s">
        <v>11</v>
      </c>
      <c r="C447">
        <f>ROUND(IF(ISBLANK('original data'!C447),0,'original data'!C447),0)</f>
        <v>120</v>
      </c>
      <c r="D447">
        <f>ROUND(IF(ISBLANK('original data'!D447),0,'original data'!D447),0)</f>
        <v>0</v>
      </c>
      <c r="E447" s="3" t="s">
        <v>13</v>
      </c>
      <c r="F447" s="3" t="s">
        <v>14</v>
      </c>
      <c r="G447" s="3" t="s">
        <v>15</v>
      </c>
      <c r="H447" t="str">
        <f t="shared" si="12"/>
        <v>October</v>
      </c>
      <c r="I447">
        <f t="shared" si="13"/>
        <v>41</v>
      </c>
    </row>
    <row r="448" spans="1:9" x14ac:dyDescent="0.25">
      <c r="A448" s="2">
        <v>45577</v>
      </c>
      <c r="B448" s="5" t="s">
        <v>24</v>
      </c>
      <c r="C448">
        <f>ROUND(IF(ISBLANK('original data'!C448),0,'original data'!C448),0)</f>
        <v>2520</v>
      </c>
      <c r="D448">
        <f>ROUND(IF(ISBLANK('original data'!D448),0,'original data'!D448),0)</f>
        <v>0</v>
      </c>
      <c r="E448" s="3" t="s">
        <v>26</v>
      </c>
      <c r="F448" s="3" t="s">
        <v>19</v>
      </c>
      <c r="G448" s="3" t="s">
        <v>15</v>
      </c>
      <c r="H448" t="str">
        <f t="shared" si="12"/>
        <v>October</v>
      </c>
      <c r="I448">
        <f t="shared" si="13"/>
        <v>41</v>
      </c>
    </row>
    <row r="449" spans="1:9" x14ac:dyDescent="0.25">
      <c r="A449" s="2">
        <v>45580</v>
      </c>
      <c r="B449" s="5" t="s">
        <v>27</v>
      </c>
      <c r="C449">
        <f>ROUND(IF(ISBLANK('original data'!C449),0,'original data'!C449),0)</f>
        <v>1416</v>
      </c>
      <c r="D449">
        <f>ROUND(IF(ISBLANK('original data'!D449),0,'original data'!D449),0)</f>
        <v>0</v>
      </c>
      <c r="E449" s="3" t="s">
        <v>29</v>
      </c>
      <c r="F449" s="3" t="s">
        <v>19</v>
      </c>
      <c r="G449" s="3" t="s">
        <v>15</v>
      </c>
      <c r="H449" t="str">
        <f t="shared" si="12"/>
        <v>October</v>
      </c>
      <c r="I449">
        <f t="shared" si="13"/>
        <v>42</v>
      </c>
    </row>
    <row r="450" spans="1:9" x14ac:dyDescent="0.25">
      <c r="A450" s="2">
        <v>45580</v>
      </c>
      <c r="B450" s="5" t="s">
        <v>11</v>
      </c>
      <c r="C450">
        <f>ROUND(IF(ISBLANK('original data'!C450),0,'original data'!C450),0)</f>
        <v>120</v>
      </c>
      <c r="D450">
        <f>ROUND(IF(ISBLANK('original data'!D450),0,'original data'!D450),0)</f>
        <v>0</v>
      </c>
      <c r="E450" s="3" t="s">
        <v>13</v>
      </c>
      <c r="F450" s="3" t="s">
        <v>14</v>
      </c>
      <c r="G450" s="3" t="s">
        <v>15</v>
      </c>
      <c r="H450" t="str">
        <f t="shared" si="12"/>
        <v>October</v>
      </c>
      <c r="I450">
        <f t="shared" si="13"/>
        <v>42</v>
      </c>
    </row>
    <row r="451" spans="1:9" x14ac:dyDescent="0.25">
      <c r="A451" s="2">
        <v>45581</v>
      </c>
      <c r="B451" s="5" t="s">
        <v>11</v>
      </c>
      <c r="C451">
        <f>ROUND(IF(ISBLANK('original data'!C451),0,'original data'!C451),0)</f>
        <v>120</v>
      </c>
      <c r="D451">
        <f>ROUND(IF(ISBLANK('original data'!D451),0,'original data'!D451),0)</f>
        <v>0</v>
      </c>
      <c r="E451" s="3" t="s">
        <v>13</v>
      </c>
      <c r="F451" s="3" t="s">
        <v>14</v>
      </c>
      <c r="G451" s="3" t="s">
        <v>15</v>
      </c>
      <c r="H451" t="str">
        <f t="shared" ref="H451:H487" si="14">TEXT(A451,"MMMM")</f>
        <v>October</v>
      </c>
      <c r="I451">
        <f t="shared" ref="I451:I487" si="15">WEEKNUM(A451)</f>
        <v>42</v>
      </c>
    </row>
    <row r="452" spans="1:9" x14ac:dyDescent="0.25">
      <c r="A452" s="2">
        <v>45582</v>
      </c>
      <c r="B452" s="5" t="s">
        <v>30</v>
      </c>
      <c r="C452">
        <f>ROUND(IF(ISBLANK('original data'!C452),0,'original data'!C452),0)</f>
        <v>2074</v>
      </c>
      <c r="D452">
        <f>ROUND(IF(ISBLANK('original data'!D452),0,'original data'!D452),0)</f>
        <v>0</v>
      </c>
      <c r="E452" s="3" t="s">
        <v>67</v>
      </c>
      <c r="F452" s="3" t="s">
        <v>23</v>
      </c>
      <c r="G452" s="3" t="s">
        <v>15</v>
      </c>
      <c r="H452" t="str">
        <f t="shared" si="14"/>
        <v>October</v>
      </c>
      <c r="I452">
        <f t="shared" si="15"/>
        <v>42</v>
      </c>
    </row>
    <row r="453" spans="1:9" x14ac:dyDescent="0.25">
      <c r="A453" s="2">
        <v>45582</v>
      </c>
      <c r="B453" s="5" t="s">
        <v>11</v>
      </c>
      <c r="C453">
        <f>ROUND(IF(ISBLANK('original data'!C453),0,'original data'!C453),0)</f>
        <v>120</v>
      </c>
      <c r="D453">
        <f>ROUND(IF(ISBLANK('original data'!D453),0,'original data'!D453),0)</f>
        <v>0</v>
      </c>
      <c r="E453" s="3" t="s">
        <v>13</v>
      </c>
      <c r="F453" s="3" t="s">
        <v>14</v>
      </c>
      <c r="G453" s="3" t="s">
        <v>15</v>
      </c>
      <c r="H453" t="str">
        <f t="shared" si="14"/>
        <v>October</v>
      </c>
      <c r="I453">
        <f t="shared" si="15"/>
        <v>42</v>
      </c>
    </row>
    <row r="454" spans="1:9" x14ac:dyDescent="0.25">
      <c r="A454" s="2">
        <v>45583</v>
      </c>
      <c r="B454" s="5" t="s">
        <v>11</v>
      </c>
      <c r="C454">
        <f>ROUND(IF(ISBLANK('original data'!C454),0,'original data'!C454),0)</f>
        <v>120</v>
      </c>
      <c r="D454">
        <f>ROUND(IF(ISBLANK('original data'!D454),0,'original data'!D454),0)</f>
        <v>0</v>
      </c>
      <c r="E454" s="3" t="s">
        <v>13</v>
      </c>
      <c r="F454" s="3" t="s">
        <v>14</v>
      </c>
      <c r="G454" s="3" t="s">
        <v>15</v>
      </c>
      <c r="H454" t="str">
        <f t="shared" si="14"/>
        <v>October</v>
      </c>
      <c r="I454">
        <f t="shared" si="15"/>
        <v>42</v>
      </c>
    </row>
    <row r="455" spans="1:9" x14ac:dyDescent="0.25">
      <c r="A455" s="2">
        <v>45584</v>
      </c>
      <c r="B455" s="5" t="s">
        <v>24</v>
      </c>
      <c r="C455">
        <f>ROUND(IF(ISBLANK('original data'!C455),0,'original data'!C455),0)</f>
        <v>3454</v>
      </c>
      <c r="D455">
        <f>ROUND(IF(ISBLANK('original data'!D455),0,'original data'!D455),0)</f>
        <v>0</v>
      </c>
      <c r="E455" s="3" t="s">
        <v>26</v>
      </c>
      <c r="F455" s="3" t="s">
        <v>19</v>
      </c>
      <c r="G455" s="3" t="s">
        <v>15</v>
      </c>
      <c r="H455" t="str">
        <f t="shared" si="14"/>
        <v>October</v>
      </c>
      <c r="I455">
        <f t="shared" si="15"/>
        <v>42</v>
      </c>
    </row>
    <row r="456" spans="1:9" x14ac:dyDescent="0.25">
      <c r="A456" s="2">
        <v>45584</v>
      </c>
      <c r="B456" s="5" t="s">
        <v>11</v>
      </c>
      <c r="C456">
        <f>ROUND(IF(ISBLANK('original data'!C456),0,'original data'!C456),0)</f>
        <v>120</v>
      </c>
      <c r="D456">
        <f>ROUND(IF(ISBLANK('original data'!D456),0,'original data'!D456),0)</f>
        <v>0</v>
      </c>
      <c r="E456" s="3" t="s">
        <v>13</v>
      </c>
      <c r="F456" s="3" t="s">
        <v>14</v>
      </c>
      <c r="G456" s="3" t="s">
        <v>15</v>
      </c>
      <c r="H456" t="str">
        <f t="shared" si="14"/>
        <v>October</v>
      </c>
      <c r="I456">
        <f t="shared" si="15"/>
        <v>42</v>
      </c>
    </row>
    <row r="457" spans="1:9" x14ac:dyDescent="0.25">
      <c r="A457" s="2">
        <v>45585</v>
      </c>
      <c r="B457" s="5" t="s">
        <v>11</v>
      </c>
      <c r="C457">
        <f>ROUND(IF(ISBLANK('original data'!C457),0,'original data'!C457),0)</f>
        <v>120</v>
      </c>
      <c r="D457">
        <f>ROUND(IF(ISBLANK('original data'!D457),0,'original data'!D457),0)</f>
        <v>0</v>
      </c>
      <c r="E457" s="3" t="s">
        <v>13</v>
      </c>
      <c r="F457" s="3" t="s">
        <v>14</v>
      </c>
      <c r="G457" s="3" t="s">
        <v>15</v>
      </c>
      <c r="H457" t="str">
        <f t="shared" si="14"/>
        <v>October</v>
      </c>
      <c r="I457">
        <f t="shared" si="15"/>
        <v>43</v>
      </c>
    </row>
    <row r="458" spans="1:9" x14ac:dyDescent="0.25">
      <c r="A458" s="2">
        <v>45585</v>
      </c>
      <c r="B458" s="5" t="s">
        <v>33</v>
      </c>
      <c r="C458">
        <f>ROUND(IF(ISBLANK('original data'!C458),0,'original data'!C458),0)</f>
        <v>1171</v>
      </c>
      <c r="D458">
        <f>ROUND(IF(ISBLANK('original data'!D458),0,'original data'!D458),0)</f>
        <v>0</v>
      </c>
      <c r="E458" s="3" t="s">
        <v>35</v>
      </c>
      <c r="F458" s="3" t="s">
        <v>36</v>
      </c>
      <c r="G458" s="3" t="s">
        <v>15</v>
      </c>
      <c r="H458" t="str">
        <f t="shared" si="14"/>
        <v>October</v>
      </c>
      <c r="I458">
        <f t="shared" si="15"/>
        <v>43</v>
      </c>
    </row>
    <row r="459" spans="1:9" x14ac:dyDescent="0.25">
      <c r="A459" s="2">
        <v>45585</v>
      </c>
      <c r="B459" s="5" t="s">
        <v>81</v>
      </c>
      <c r="C459">
        <f>ROUND(IF(ISBLANK('original data'!C459),0,'original data'!C459),0)</f>
        <v>2561</v>
      </c>
      <c r="D459">
        <f>ROUND(IF(ISBLANK('original data'!D459),0,'original data'!D459),0)</f>
        <v>0</v>
      </c>
      <c r="E459" s="3" t="s">
        <v>39</v>
      </c>
      <c r="F459" s="3" t="s">
        <v>36</v>
      </c>
      <c r="G459" s="3" t="s">
        <v>15</v>
      </c>
      <c r="H459" t="str">
        <f t="shared" si="14"/>
        <v>October</v>
      </c>
      <c r="I459">
        <f t="shared" si="15"/>
        <v>43</v>
      </c>
    </row>
    <row r="460" spans="1:9" x14ac:dyDescent="0.25">
      <c r="A460" s="2">
        <v>45585</v>
      </c>
      <c r="B460" s="5" t="s">
        <v>40</v>
      </c>
      <c r="C460">
        <f>ROUND(IF(ISBLANK('original data'!C460),0,'original data'!C460),0)</f>
        <v>1466</v>
      </c>
      <c r="D460">
        <f>ROUND(IF(ISBLANK('original data'!D460),0,'original data'!D460),0)</f>
        <v>0</v>
      </c>
      <c r="E460" s="3" t="s">
        <v>42</v>
      </c>
      <c r="F460" s="3" t="s">
        <v>14</v>
      </c>
      <c r="G460" s="3" t="s">
        <v>15</v>
      </c>
      <c r="H460" t="str">
        <f t="shared" si="14"/>
        <v>October</v>
      </c>
      <c r="I460">
        <f t="shared" si="15"/>
        <v>43</v>
      </c>
    </row>
    <row r="461" spans="1:9" x14ac:dyDescent="0.25">
      <c r="A461" s="2">
        <v>45586</v>
      </c>
      <c r="B461" s="5" t="s">
        <v>43</v>
      </c>
      <c r="C461">
        <f>ROUND(IF(ISBLANK('original data'!C461),0,'original data'!C461),0)</f>
        <v>893</v>
      </c>
      <c r="D461">
        <f>ROUND(IF(ISBLANK('original data'!D461),0,'original data'!D461),0)</f>
        <v>0</v>
      </c>
      <c r="E461" s="3" t="s">
        <v>45</v>
      </c>
      <c r="F461" s="3" t="s">
        <v>23</v>
      </c>
      <c r="G461" s="3" t="s">
        <v>15</v>
      </c>
      <c r="H461" t="str">
        <f t="shared" si="14"/>
        <v>October</v>
      </c>
      <c r="I461">
        <f t="shared" si="15"/>
        <v>43</v>
      </c>
    </row>
    <row r="462" spans="1:9" x14ac:dyDescent="0.25">
      <c r="A462" s="2">
        <v>45587</v>
      </c>
      <c r="B462" s="5" t="s">
        <v>46</v>
      </c>
      <c r="C462">
        <f>ROUND(IF(ISBLANK('original data'!C462),0,'original data'!C462),0)</f>
        <v>0</v>
      </c>
      <c r="D462">
        <f>ROUND(IF(ISBLANK('original data'!D462),0,'original data'!D462),0)</f>
        <v>2400</v>
      </c>
      <c r="E462" s="3" t="s">
        <v>48</v>
      </c>
      <c r="F462" s="3" t="s">
        <v>49</v>
      </c>
      <c r="G462" s="3" t="s">
        <v>10</v>
      </c>
      <c r="H462" t="str">
        <f t="shared" si="14"/>
        <v>October</v>
      </c>
      <c r="I462">
        <f t="shared" si="15"/>
        <v>43</v>
      </c>
    </row>
    <row r="463" spans="1:9" x14ac:dyDescent="0.25">
      <c r="A463" s="2">
        <v>45587</v>
      </c>
      <c r="B463" s="5" t="s">
        <v>11</v>
      </c>
      <c r="C463">
        <f>ROUND(IF(ISBLANK('original data'!C463),0,'original data'!C463),0)</f>
        <v>120</v>
      </c>
      <c r="D463">
        <f>ROUND(IF(ISBLANK('original data'!D463),0,'original data'!D463),0)</f>
        <v>0</v>
      </c>
      <c r="E463" s="3" t="s">
        <v>13</v>
      </c>
      <c r="F463" s="3" t="s">
        <v>14</v>
      </c>
      <c r="G463" s="3" t="s">
        <v>15</v>
      </c>
      <c r="H463" t="str">
        <f t="shared" si="14"/>
        <v>October</v>
      </c>
      <c r="I463">
        <f t="shared" si="15"/>
        <v>43</v>
      </c>
    </row>
    <row r="464" spans="1:9" x14ac:dyDescent="0.25">
      <c r="A464" s="2">
        <v>45588</v>
      </c>
      <c r="B464" s="5" t="s">
        <v>11</v>
      </c>
      <c r="C464">
        <f>ROUND(IF(ISBLANK('original data'!C464),0,'original data'!C464),0)</f>
        <v>120</v>
      </c>
      <c r="D464">
        <f>ROUND(IF(ISBLANK('original data'!D464),0,'original data'!D464),0)</f>
        <v>0</v>
      </c>
      <c r="E464" s="3" t="s">
        <v>13</v>
      </c>
      <c r="F464" s="3" t="s">
        <v>14</v>
      </c>
      <c r="G464" s="3" t="s">
        <v>15</v>
      </c>
      <c r="H464" t="str">
        <f t="shared" si="14"/>
        <v>October</v>
      </c>
      <c r="I464">
        <f t="shared" si="15"/>
        <v>43</v>
      </c>
    </row>
    <row r="465" spans="1:9" x14ac:dyDescent="0.25">
      <c r="A465" s="2">
        <v>45588</v>
      </c>
      <c r="B465" s="5" t="s">
        <v>106</v>
      </c>
      <c r="C465">
        <f>ROUND(IF(ISBLANK('original data'!C465),0,'original data'!C465),0)</f>
        <v>1800</v>
      </c>
      <c r="D465">
        <f>ROUND(IF(ISBLANK('original data'!D465),0,'original data'!D465),0)</f>
        <v>0</v>
      </c>
      <c r="E465" s="3" t="s">
        <v>108</v>
      </c>
      <c r="F465" s="3" t="s">
        <v>109</v>
      </c>
      <c r="G465" s="3" t="s">
        <v>15</v>
      </c>
      <c r="H465" t="str">
        <f t="shared" si="14"/>
        <v>October</v>
      </c>
      <c r="I465">
        <f t="shared" si="15"/>
        <v>43</v>
      </c>
    </row>
    <row r="466" spans="1:9" x14ac:dyDescent="0.25">
      <c r="A466" s="2">
        <v>45588</v>
      </c>
      <c r="B466" s="5" t="s">
        <v>51</v>
      </c>
      <c r="C466">
        <f>ROUND(IF(ISBLANK('original data'!C466),0,'original data'!C466),0)</f>
        <v>960</v>
      </c>
      <c r="D466">
        <f>ROUND(IF(ISBLANK('original data'!D466),0,'original data'!D466),0)</f>
        <v>0</v>
      </c>
      <c r="E466" s="3" t="s">
        <v>51</v>
      </c>
      <c r="F466" s="3" t="s">
        <v>19</v>
      </c>
      <c r="G466" s="3" t="s">
        <v>15</v>
      </c>
      <c r="H466" t="str">
        <f t="shared" si="14"/>
        <v>October</v>
      </c>
      <c r="I466">
        <f t="shared" si="15"/>
        <v>43</v>
      </c>
    </row>
    <row r="467" spans="1:9" x14ac:dyDescent="0.25">
      <c r="A467" s="2">
        <v>45589</v>
      </c>
      <c r="B467" s="5" t="s">
        <v>52</v>
      </c>
      <c r="C467">
        <f>ROUND(IF(ISBLANK('original data'!C467),0,'original data'!C467),0)</f>
        <v>1298</v>
      </c>
      <c r="D467">
        <f>ROUND(IF(ISBLANK('original data'!D467),0,'original data'!D467),0)</f>
        <v>0</v>
      </c>
      <c r="E467" s="3" t="s">
        <v>54</v>
      </c>
      <c r="F467" s="3" t="s">
        <v>36</v>
      </c>
      <c r="G467" s="3" t="s">
        <v>15</v>
      </c>
      <c r="H467" t="str">
        <f t="shared" si="14"/>
        <v>October</v>
      </c>
      <c r="I467">
        <f t="shared" si="15"/>
        <v>43</v>
      </c>
    </row>
    <row r="468" spans="1:9" x14ac:dyDescent="0.25">
      <c r="A468" s="2">
        <v>45589</v>
      </c>
      <c r="B468" s="5" t="s">
        <v>55</v>
      </c>
      <c r="C468">
        <f>ROUND(IF(ISBLANK('original data'!C468),0,'original data'!C468),0)</f>
        <v>840</v>
      </c>
      <c r="D468">
        <f>ROUND(IF(ISBLANK('original data'!D468),0,'original data'!D468),0)</f>
        <v>0</v>
      </c>
      <c r="E468" s="3" t="s">
        <v>35</v>
      </c>
      <c r="F468" s="3" t="s">
        <v>36</v>
      </c>
      <c r="G468" s="3" t="s">
        <v>15</v>
      </c>
      <c r="H468" t="str">
        <f t="shared" si="14"/>
        <v>October</v>
      </c>
      <c r="I468">
        <f t="shared" si="15"/>
        <v>43</v>
      </c>
    </row>
    <row r="469" spans="1:9" x14ac:dyDescent="0.25">
      <c r="A469" s="2">
        <v>45589</v>
      </c>
      <c r="B469" s="5" t="s">
        <v>11</v>
      </c>
      <c r="C469">
        <f>ROUND(IF(ISBLANK('original data'!C469),0,'original data'!C469),0)</f>
        <v>120</v>
      </c>
      <c r="D469">
        <f>ROUND(IF(ISBLANK('original data'!D469),0,'original data'!D469),0)</f>
        <v>0</v>
      </c>
      <c r="E469" s="3" t="s">
        <v>13</v>
      </c>
      <c r="F469" s="3" t="s">
        <v>14</v>
      </c>
      <c r="G469" s="3" t="s">
        <v>15</v>
      </c>
      <c r="H469" t="str">
        <f t="shared" si="14"/>
        <v>October</v>
      </c>
      <c r="I469">
        <f t="shared" si="15"/>
        <v>43</v>
      </c>
    </row>
    <row r="470" spans="1:9" x14ac:dyDescent="0.25">
      <c r="A470" s="2">
        <v>45590</v>
      </c>
      <c r="B470" s="5" t="s">
        <v>11</v>
      </c>
      <c r="C470">
        <f>ROUND(IF(ISBLANK('original data'!C470),0,'original data'!C470),0)</f>
        <v>120</v>
      </c>
      <c r="D470">
        <f>ROUND(IF(ISBLANK('original data'!D470),0,'original data'!D470),0)</f>
        <v>0</v>
      </c>
      <c r="E470" s="3" t="s">
        <v>13</v>
      </c>
      <c r="F470" s="3" t="s">
        <v>14</v>
      </c>
      <c r="G470" s="3" t="s">
        <v>15</v>
      </c>
      <c r="H470" t="str">
        <f t="shared" si="14"/>
        <v>October</v>
      </c>
      <c r="I470">
        <f t="shared" si="15"/>
        <v>43</v>
      </c>
    </row>
    <row r="471" spans="1:9" x14ac:dyDescent="0.25">
      <c r="A471" s="2">
        <v>45591</v>
      </c>
      <c r="B471" s="5" t="s">
        <v>11</v>
      </c>
      <c r="C471">
        <f>ROUND(IF(ISBLANK('original data'!C471),0,'original data'!C471),0)</f>
        <v>120</v>
      </c>
      <c r="D471">
        <f>ROUND(IF(ISBLANK('original data'!D471),0,'original data'!D471),0)</f>
        <v>0</v>
      </c>
      <c r="E471" s="3" t="s">
        <v>13</v>
      </c>
      <c r="F471" s="3" t="s">
        <v>14</v>
      </c>
      <c r="G471" s="3" t="s">
        <v>15</v>
      </c>
      <c r="H471" t="str">
        <f t="shared" si="14"/>
        <v>October</v>
      </c>
      <c r="I471">
        <f t="shared" si="15"/>
        <v>43</v>
      </c>
    </row>
    <row r="472" spans="1:9" x14ac:dyDescent="0.25">
      <c r="A472" s="2">
        <v>45591</v>
      </c>
      <c r="B472" s="5" t="s">
        <v>24</v>
      </c>
      <c r="C472">
        <f>ROUND(IF(ISBLANK('original data'!C472),0,'original data'!C472),0)</f>
        <v>4294</v>
      </c>
      <c r="D472">
        <f>ROUND(IF(ISBLANK('original data'!D472),0,'original data'!D472),0)</f>
        <v>0</v>
      </c>
      <c r="E472" s="3" t="s">
        <v>26</v>
      </c>
      <c r="F472" s="3" t="s">
        <v>19</v>
      </c>
      <c r="G472" s="3" t="s">
        <v>15</v>
      </c>
      <c r="H472" t="str">
        <f t="shared" si="14"/>
        <v>October</v>
      </c>
      <c r="I472">
        <f t="shared" si="15"/>
        <v>43</v>
      </c>
    </row>
    <row r="473" spans="1:9" x14ac:dyDescent="0.25">
      <c r="A473" s="2">
        <v>45592</v>
      </c>
      <c r="B473" s="5" t="s">
        <v>58</v>
      </c>
      <c r="C473">
        <f>ROUND(IF(ISBLANK('original data'!C473),0,'original data'!C473),0)</f>
        <v>1109</v>
      </c>
      <c r="D473">
        <f>ROUND(IF(ISBLANK('original data'!D473),0,'original data'!D473),0)</f>
        <v>0</v>
      </c>
      <c r="E473" s="3" t="s">
        <v>42</v>
      </c>
      <c r="F473" s="3" t="s">
        <v>14</v>
      </c>
      <c r="G473" s="3" t="s">
        <v>15</v>
      </c>
      <c r="H473" t="str">
        <f t="shared" si="14"/>
        <v>October</v>
      </c>
      <c r="I473">
        <f t="shared" si="15"/>
        <v>44</v>
      </c>
    </row>
    <row r="474" spans="1:9" x14ac:dyDescent="0.25">
      <c r="A474" s="2">
        <v>45593</v>
      </c>
      <c r="B474" s="5" t="s">
        <v>60</v>
      </c>
      <c r="C474">
        <f>ROUND(IF(ISBLANK('original data'!C474),0,'original data'!C474),0)</f>
        <v>506</v>
      </c>
      <c r="D474">
        <f>ROUND(IF(ISBLANK('original data'!D474),0,'original data'!D474),0)</f>
        <v>0</v>
      </c>
      <c r="E474" s="3" t="s">
        <v>42</v>
      </c>
      <c r="F474" s="3" t="s">
        <v>14</v>
      </c>
      <c r="G474" s="3" t="s">
        <v>15</v>
      </c>
      <c r="H474" t="str">
        <f t="shared" si="14"/>
        <v>October</v>
      </c>
      <c r="I474">
        <f t="shared" si="15"/>
        <v>44</v>
      </c>
    </row>
    <row r="475" spans="1:9" x14ac:dyDescent="0.25">
      <c r="A475" s="2">
        <v>45594</v>
      </c>
      <c r="B475" s="5" t="s">
        <v>62</v>
      </c>
      <c r="C475">
        <f>ROUND(IF(ISBLANK('original data'!C475),0,'original data'!C475),0)</f>
        <v>1320</v>
      </c>
      <c r="D475">
        <f>ROUND(IF(ISBLANK('original data'!D475),0,'original data'!D475),0)</f>
        <v>0</v>
      </c>
      <c r="E475" s="3" t="s">
        <v>64</v>
      </c>
      <c r="F475" s="3" t="s">
        <v>65</v>
      </c>
      <c r="G475" s="3" t="s">
        <v>15</v>
      </c>
      <c r="H475" t="str">
        <f t="shared" si="14"/>
        <v>October</v>
      </c>
      <c r="I475">
        <f t="shared" si="15"/>
        <v>44</v>
      </c>
    </row>
    <row r="476" spans="1:9" x14ac:dyDescent="0.25">
      <c r="A476" s="2">
        <v>45594</v>
      </c>
      <c r="B476" s="5" t="s">
        <v>30</v>
      </c>
      <c r="C476">
        <f>ROUND(IF(ISBLANK('original data'!C476),0,'original data'!C476),0)</f>
        <v>1716</v>
      </c>
      <c r="D476">
        <f>ROUND(IF(ISBLANK('original data'!D476),0,'original data'!D476),0)</f>
        <v>0</v>
      </c>
      <c r="E476" s="3" t="s">
        <v>67</v>
      </c>
      <c r="F476" s="3" t="s">
        <v>23</v>
      </c>
      <c r="G476" s="3" t="s">
        <v>15</v>
      </c>
      <c r="H476" t="str">
        <f t="shared" si="14"/>
        <v>October</v>
      </c>
      <c r="I476">
        <f t="shared" si="15"/>
        <v>44</v>
      </c>
    </row>
    <row r="477" spans="1:9" x14ac:dyDescent="0.25">
      <c r="A477" s="2">
        <v>45594</v>
      </c>
      <c r="B477" s="5" t="s">
        <v>11</v>
      </c>
      <c r="C477">
        <f>ROUND(IF(ISBLANK('original data'!C477),0,'original data'!C477),0)</f>
        <v>120</v>
      </c>
      <c r="D477">
        <f>ROUND(IF(ISBLANK('original data'!D477),0,'original data'!D477),0)</f>
        <v>0</v>
      </c>
      <c r="E477" s="3" t="s">
        <v>13</v>
      </c>
      <c r="F477" s="3" t="s">
        <v>14</v>
      </c>
      <c r="G477" s="3" t="s">
        <v>15</v>
      </c>
      <c r="H477" t="str">
        <f t="shared" si="14"/>
        <v>October</v>
      </c>
      <c r="I477">
        <f t="shared" si="15"/>
        <v>44</v>
      </c>
    </row>
    <row r="478" spans="1:9" x14ac:dyDescent="0.25">
      <c r="A478" s="2">
        <v>45595</v>
      </c>
      <c r="B478" s="5" t="s">
        <v>11</v>
      </c>
      <c r="C478">
        <f>ROUND(IF(ISBLANK('original data'!C478),0,'original data'!C478),0)</f>
        <v>120</v>
      </c>
      <c r="D478">
        <f>ROUND(IF(ISBLANK('original data'!D478),0,'original data'!D478),0)</f>
        <v>0</v>
      </c>
      <c r="E478" s="3" t="s">
        <v>13</v>
      </c>
      <c r="F478" s="3" t="s">
        <v>14</v>
      </c>
      <c r="G478" s="3" t="s">
        <v>15</v>
      </c>
      <c r="H478" t="str">
        <f t="shared" si="14"/>
        <v>October</v>
      </c>
      <c r="I478">
        <f t="shared" si="15"/>
        <v>44</v>
      </c>
    </row>
    <row r="479" spans="1:9" x14ac:dyDescent="0.25">
      <c r="A479" s="2">
        <v>45596</v>
      </c>
      <c r="B479" s="5" t="s">
        <v>11</v>
      </c>
      <c r="C479">
        <f>ROUND(IF(ISBLANK('original data'!C479),0,'original data'!C479),0)</f>
        <v>120</v>
      </c>
      <c r="D479">
        <f>ROUND(IF(ISBLANK('original data'!D479),0,'original data'!D479),0)</f>
        <v>0</v>
      </c>
      <c r="E479" s="3" t="s">
        <v>13</v>
      </c>
      <c r="F479" s="3" t="s">
        <v>14</v>
      </c>
      <c r="G479" s="3" t="s">
        <v>15</v>
      </c>
      <c r="H479" t="str">
        <f t="shared" si="14"/>
        <v>October</v>
      </c>
      <c r="I479">
        <f t="shared" si="15"/>
        <v>44</v>
      </c>
    </row>
    <row r="480" spans="1:9" x14ac:dyDescent="0.25">
      <c r="A480" s="2">
        <v>45597</v>
      </c>
      <c r="B480" s="5" t="s">
        <v>11</v>
      </c>
      <c r="C480">
        <f>ROUND(IF(ISBLANK('original data'!C480),0,'original data'!C480),0)</f>
        <v>120</v>
      </c>
      <c r="D480">
        <f>ROUND(IF(ISBLANK('original data'!D480),0,'original data'!D480),0)</f>
        <v>0</v>
      </c>
      <c r="E480" s="3" t="s">
        <v>13</v>
      </c>
      <c r="F480" s="3" t="s">
        <v>14</v>
      </c>
      <c r="G480" s="3" t="s">
        <v>15</v>
      </c>
      <c r="H480" t="str">
        <f t="shared" si="14"/>
        <v>November</v>
      </c>
      <c r="I480">
        <f t="shared" si="15"/>
        <v>44</v>
      </c>
    </row>
    <row r="481" spans="1:9" x14ac:dyDescent="0.25">
      <c r="A481" s="2">
        <v>45598</v>
      </c>
      <c r="B481" s="5" t="s">
        <v>11</v>
      </c>
      <c r="C481">
        <f>ROUND(IF(ISBLANK('original data'!C481),0,'original data'!C481),0)</f>
        <v>120</v>
      </c>
      <c r="D481">
        <f>ROUND(IF(ISBLANK('original data'!D481),0,'original data'!D481),0)</f>
        <v>0</v>
      </c>
      <c r="E481" s="3" t="s">
        <v>13</v>
      </c>
      <c r="F481" s="3" t="s">
        <v>14</v>
      </c>
      <c r="G481" s="3" t="s">
        <v>15</v>
      </c>
      <c r="H481" t="str">
        <f t="shared" si="14"/>
        <v>November</v>
      </c>
      <c r="I481">
        <f t="shared" si="15"/>
        <v>44</v>
      </c>
    </row>
    <row r="482" spans="1:9" x14ac:dyDescent="0.25">
      <c r="A482" s="2">
        <v>45598</v>
      </c>
      <c r="B482" s="5" t="s">
        <v>24</v>
      </c>
      <c r="C482">
        <f>ROUND(IF(ISBLANK('original data'!C482),0,'original data'!C482),0)</f>
        <v>4536</v>
      </c>
      <c r="D482">
        <f>ROUND(IF(ISBLANK('original data'!D482),0,'original data'!D482),0)</f>
        <v>0</v>
      </c>
      <c r="E482" s="3" t="s">
        <v>26</v>
      </c>
      <c r="F482" s="3" t="s">
        <v>19</v>
      </c>
      <c r="G482" s="3" t="s">
        <v>15</v>
      </c>
      <c r="H482" t="str">
        <f t="shared" si="14"/>
        <v>November</v>
      </c>
      <c r="I482">
        <f t="shared" si="15"/>
        <v>44</v>
      </c>
    </row>
    <row r="483" spans="1:9" x14ac:dyDescent="0.25">
      <c r="A483" s="2">
        <v>45599</v>
      </c>
      <c r="B483" s="5" t="s">
        <v>69</v>
      </c>
      <c r="C483">
        <f>ROUND(IF(ISBLANK('original data'!C483),0,'original data'!C483),0)</f>
        <v>3211</v>
      </c>
      <c r="D483">
        <f>ROUND(IF(ISBLANK('original data'!D483),0,'original data'!D483),0)</f>
        <v>0</v>
      </c>
      <c r="E483" s="3" t="s">
        <v>39</v>
      </c>
      <c r="F483" s="3" t="s">
        <v>36</v>
      </c>
      <c r="G483" s="3" t="s">
        <v>15</v>
      </c>
      <c r="H483" t="str">
        <f t="shared" si="14"/>
        <v>November</v>
      </c>
      <c r="I483">
        <f t="shared" si="15"/>
        <v>45</v>
      </c>
    </row>
    <row r="484" spans="1:9" x14ac:dyDescent="0.25">
      <c r="A484" s="2">
        <v>45599</v>
      </c>
      <c r="B484" s="5" t="s">
        <v>71</v>
      </c>
      <c r="C484">
        <f>ROUND(IF(ISBLANK('original data'!C484),0,'original data'!C484),0)</f>
        <v>4426</v>
      </c>
      <c r="D484">
        <f>ROUND(IF(ISBLANK('original data'!D484),0,'original data'!D484),0)</f>
        <v>0</v>
      </c>
      <c r="E484" s="3" t="s">
        <v>35</v>
      </c>
      <c r="F484" s="3" t="s">
        <v>36</v>
      </c>
      <c r="G484" s="3" t="s">
        <v>15</v>
      </c>
      <c r="H484" t="str">
        <f t="shared" si="14"/>
        <v>November</v>
      </c>
      <c r="I484">
        <f t="shared" si="15"/>
        <v>45</v>
      </c>
    </row>
    <row r="485" spans="1:9" x14ac:dyDescent="0.25">
      <c r="A485" s="2">
        <v>45600</v>
      </c>
      <c r="B485" s="5" t="s">
        <v>244</v>
      </c>
      <c r="C485">
        <f>ROUND(IF(ISBLANK('original data'!C485),0,'original data'!C485),0)</f>
        <v>3708</v>
      </c>
      <c r="D485">
        <f>ROUND(IF(ISBLANK('original data'!D485),0,'original data'!D485),0)</f>
        <v>0</v>
      </c>
      <c r="E485" s="3" t="s">
        <v>39</v>
      </c>
      <c r="F485" s="3" t="s">
        <v>36</v>
      </c>
      <c r="G485" s="3" t="s">
        <v>15</v>
      </c>
      <c r="H485" t="str">
        <f t="shared" si="14"/>
        <v>November</v>
      </c>
      <c r="I485">
        <f t="shared" si="15"/>
        <v>45</v>
      </c>
    </row>
    <row r="486" spans="1:9" x14ac:dyDescent="0.25">
      <c r="A486" s="2">
        <v>45600</v>
      </c>
      <c r="B486" s="5" t="s">
        <v>43</v>
      </c>
      <c r="C486">
        <f>ROUND(IF(ISBLANK('original data'!C486),0,'original data'!C486),0)</f>
        <v>770</v>
      </c>
      <c r="D486">
        <f>ROUND(IF(ISBLANK('original data'!D486),0,'original data'!D486),0)</f>
        <v>0</v>
      </c>
      <c r="E486" s="3" t="s">
        <v>45</v>
      </c>
      <c r="F486" s="3" t="s">
        <v>23</v>
      </c>
      <c r="G486" s="3" t="s">
        <v>15</v>
      </c>
      <c r="H486" t="str">
        <f t="shared" si="14"/>
        <v>November</v>
      </c>
      <c r="I486">
        <f t="shared" si="15"/>
        <v>45</v>
      </c>
    </row>
    <row r="487" spans="1:9" x14ac:dyDescent="0.25">
      <c r="A487" s="2">
        <v>45600</v>
      </c>
      <c r="B487" s="5" t="s">
        <v>121</v>
      </c>
      <c r="C487">
        <f>ROUND(IF(ISBLANK('original data'!C487),0,'original data'!C487),0)</f>
        <v>360</v>
      </c>
      <c r="D487">
        <f>ROUND(IF(ISBLANK('original data'!D487),0,'original data'!D487),0)</f>
        <v>0</v>
      </c>
      <c r="E487" s="3" t="s">
        <v>42</v>
      </c>
      <c r="F487" s="3" t="s">
        <v>14</v>
      </c>
      <c r="G487" s="3" t="s">
        <v>15</v>
      </c>
      <c r="H487" t="str">
        <f t="shared" si="14"/>
        <v>November</v>
      </c>
      <c r="I487">
        <f t="shared" si="15"/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099F3-9DFD-4482-B927-34B7023AC873}">
  <dimension ref="A3:AD63"/>
  <sheetViews>
    <sheetView tabSelected="1" workbookViewId="0">
      <selection activeCell="P29" sqref="P29"/>
    </sheetView>
  </sheetViews>
  <sheetFormatPr defaultRowHeight="13.2" x14ac:dyDescent="0.25"/>
  <cols>
    <col min="1" max="1" width="13.33203125" bestFit="1" customWidth="1"/>
    <col min="2" max="2" width="16.21875" bestFit="1" customWidth="1"/>
    <col min="3" max="3" width="13.109375" bestFit="1" customWidth="1"/>
    <col min="4" max="4" width="13.21875" bestFit="1" customWidth="1"/>
    <col min="5" max="5" width="14.6640625" bestFit="1" customWidth="1"/>
    <col min="6" max="6" width="5.109375" customWidth="1"/>
    <col min="7" max="7" width="13.33203125" bestFit="1" customWidth="1"/>
    <col min="8" max="8" width="13.109375" bestFit="1" customWidth="1"/>
    <col min="9" max="9" width="7.109375" customWidth="1"/>
    <col min="10" max="10" width="13.33203125" bestFit="1" customWidth="1"/>
    <col min="11" max="11" width="16.21875" bestFit="1" customWidth="1"/>
    <col min="12" max="12" width="13.109375" bestFit="1" customWidth="1"/>
    <col min="13" max="13" width="13.33203125" bestFit="1" customWidth="1"/>
    <col min="14" max="14" width="12.21875" bestFit="1" customWidth="1"/>
    <col min="15" max="15" width="13.109375" bestFit="1" customWidth="1"/>
    <col min="16" max="16" width="14.6640625" bestFit="1" customWidth="1"/>
    <col min="17" max="17" width="13.109375" customWidth="1"/>
    <col min="18" max="18" width="13.33203125" bestFit="1" customWidth="1"/>
    <col min="19" max="19" width="12.21875" bestFit="1" customWidth="1"/>
    <col min="20" max="20" width="13.109375" bestFit="1" customWidth="1"/>
    <col min="21" max="21" width="12" bestFit="1" customWidth="1"/>
    <col min="22" max="22" width="9" customWidth="1"/>
    <col min="23" max="24" width="12.21875" bestFit="1" customWidth="1"/>
    <col min="25" max="26" width="13.109375" bestFit="1" customWidth="1"/>
    <col min="27" max="28" width="14.6640625" bestFit="1" customWidth="1"/>
    <col min="29" max="29" width="12.21875" bestFit="1" customWidth="1"/>
    <col min="30" max="30" width="8.21875" bestFit="1" customWidth="1"/>
    <col min="31" max="31" width="12.21875" bestFit="1" customWidth="1"/>
    <col min="32" max="32" width="12" bestFit="1" customWidth="1"/>
  </cols>
  <sheetData>
    <row r="3" spans="1:30" x14ac:dyDescent="0.25">
      <c r="A3" s="15" t="s">
        <v>287</v>
      </c>
      <c r="B3" s="15"/>
      <c r="D3" s="15" t="s">
        <v>288</v>
      </c>
      <c r="E3" s="15"/>
      <c r="G3" s="15" t="s">
        <v>289</v>
      </c>
      <c r="H3" s="15"/>
      <c r="J3" s="15" t="s">
        <v>290</v>
      </c>
      <c r="K3" s="15"/>
      <c r="M3" s="15" t="s">
        <v>291</v>
      </c>
      <c r="N3" s="16"/>
      <c r="O3" s="16"/>
      <c r="P3" s="16"/>
    </row>
    <row r="4" spans="1:30" x14ac:dyDescent="0.25">
      <c r="A4" s="7" t="s">
        <v>247</v>
      </c>
      <c r="B4" t="s">
        <v>250</v>
      </c>
      <c r="D4" s="7" t="s">
        <v>247</v>
      </c>
      <c r="E4" t="s">
        <v>250</v>
      </c>
      <c r="G4" s="7" t="s">
        <v>247</v>
      </c>
      <c r="H4" t="s">
        <v>251</v>
      </c>
      <c r="J4" s="7" t="s">
        <v>250</v>
      </c>
      <c r="K4" s="7" t="s">
        <v>249</v>
      </c>
      <c r="M4" s="7" t="s">
        <v>247</v>
      </c>
      <c r="N4" t="s">
        <v>250</v>
      </c>
      <c r="O4" t="s">
        <v>251</v>
      </c>
      <c r="P4" t="s">
        <v>265</v>
      </c>
    </row>
    <row r="5" spans="1:30" x14ac:dyDescent="0.25">
      <c r="A5" s="8" t="s">
        <v>65</v>
      </c>
      <c r="B5" s="9">
        <v>13200</v>
      </c>
      <c r="D5" s="8" t="s">
        <v>65</v>
      </c>
      <c r="E5" s="9">
        <v>13200</v>
      </c>
      <c r="G5" s="8" t="s">
        <v>49</v>
      </c>
      <c r="H5" s="9">
        <v>370560</v>
      </c>
      <c r="J5" s="7" t="s">
        <v>247</v>
      </c>
      <c r="K5" t="s">
        <v>19</v>
      </c>
      <c r="M5" s="8" t="s">
        <v>253</v>
      </c>
      <c r="N5" s="9">
        <v>53496</v>
      </c>
      <c r="O5" s="9">
        <v>336000</v>
      </c>
      <c r="P5" s="9">
        <v>282504</v>
      </c>
      <c r="Q5" s="9"/>
    </row>
    <row r="6" spans="1:30" x14ac:dyDescent="0.25">
      <c r="A6" s="8" t="s">
        <v>14</v>
      </c>
      <c r="B6" s="9">
        <v>59372</v>
      </c>
      <c r="D6" s="8" t="s">
        <v>14</v>
      </c>
      <c r="E6" s="9">
        <v>59372</v>
      </c>
      <c r="G6" s="8" t="s">
        <v>9</v>
      </c>
      <c r="H6" s="9">
        <v>1200000</v>
      </c>
      <c r="J6" s="8" t="s">
        <v>16</v>
      </c>
      <c r="K6" s="11">
        <v>0.54878606489903348</v>
      </c>
      <c r="M6" s="8" t="s">
        <v>254</v>
      </c>
      <c r="N6" s="9">
        <v>70648</v>
      </c>
      <c r="O6" s="9">
        <v>139200</v>
      </c>
      <c r="P6" s="9">
        <v>68552</v>
      </c>
      <c r="Q6" s="9"/>
    </row>
    <row r="7" spans="1:30" x14ac:dyDescent="0.25">
      <c r="A7" s="8" t="s">
        <v>36</v>
      </c>
      <c r="B7" s="9">
        <v>168664</v>
      </c>
      <c r="D7" s="8" t="s">
        <v>23</v>
      </c>
      <c r="E7" s="9">
        <v>84352</v>
      </c>
      <c r="G7" s="8" t="s">
        <v>248</v>
      </c>
      <c r="H7" s="9">
        <v>1570560</v>
      </c>
      <c r="J7" s="8" t="s">
        <v>24</v>
      </c>
      <c r="K7" s="11">
        <v>0.3935532881431722</v>
      </c>
      <c r="M7" s="8" t="s">
        <v>255</v>
      </c>
      <c r="N7" s="9">
        <v>83007</v>
      </c>
      <c r="O7" s="9">
        <v>144000</v>
      </c>
      <c r="P7" s="9">
        <v>60993</v>
      </c>
      <c r="Q7" s="9"/>
    </row>
    <row r="8" spans="1:30" x14ac:dyDescent="0.25">
      <c r="A8" s="8" t="s">
        <v>19</v>
      </c>
      <c r="B8" s="9">
        <v>393596</v>
      </c>
      <c r="D8" s="8" t="s">
        <v>36</v>
      </c>
      <c r="E8" s="9">
        <v>168664</v>
      </c>
      <c r="J8" s="8" t="s">
        <v>51</v>
      </c>
      <c r="K8" s="11">
        <v>2.439049177329038E-2</v>
      </c>
      <c r="M8" s="8" t="s">
        <v>256</v>
      </c>
      <c r="N8" s="9">
        <v>62593</v>
      </c>
      <c r="O8" s="9">
        <v>176160</v>
      </c>
      <c r="P8" s="9">
        <v>113567</v>
      </c>
      <c r="Q8" s="9"/>
      <c r="W8" s="10"/>
    </row>
    <row r="9" spans="1:30" x14ac:dyDescent="0.25">
      <c r="A9" s="8" t="s">
        <v>109</v>
      </c>
      <c r="B9" s="9">
        <v>5400</v>
      </c>
      <c r="D9" s="8" t="s">
        <v>19</v>
      </c>
      <c r="E9" s="9">
        <v>393596</v>
      </c>
      <c r="J9" s="8" t="s">
        <v>27</v>
      </c>
      <c r="K9" s="11">
        <v>3.3270155184503908E-2</v>
      </c>
      <c r="M9" s="8" t="s">
        <v>257</v>
      </c>
      <c r="N9" s="9">
        <v>76271</v>
      </c>
      <c r="O9" s="9">
        <v>144000</v>
      </c>
      <c r="P9" s="9">
        <v>67729</v>
      </c>
      <c r="Q9" s="9"/>
    </row>
    <row r="10" spans="1:30" x14ac:dyDescent="0.25">
      <c r="A10" s="8" t="s">
        <v>23</v>
      </c>
      <c r="B10" s="9">
        <v>84352</v>
      </c>
      <c r="D10" s="8" t="s">
        <v>248</v>
      </c>
      <c r="E10" s="9">
        <v>719184</v>
      </c>
      <c r="J10" s="8" t="s">
        <v>248</v>
      </c>
      <c r="K10" s="11">
        <v>1</v>
      </c>
      <c r="M10" s="8" t="s">
        <v>258</v>
      </c>
      <c r="N10" s="9">
        <v>69372</v>
      </c>
      <c r="O10" s="9">
        <v>122400</v>
      </c>
      <c r="P10" s="9">
        <v>53028</v>
      </c>
      <c r="Q10" s="9"/>
      <c r="AC10" s="8"/>
      <c r="AD10" s="11"/>
    </row>
    <row r="11" spans="1:30" x14ac:dyDescent="0.25">
      <c r="A11" s="8" t="s">
        <v>248</v>
      </c>
      <c r="B11" s="9">
        <v>724584</v>
      </c>
      <c r="M11" s="8" t="s">
        <v>259</v>
      </c>
      <c r="N11" s="9">
        <v>72831</v>
      </c>
      <c r="O11" s="9">
        <v>124800</v>
      </c>
      <c r="P11" s="9">
        <v>51969</v>
      </c>
      <c r="Q11" s="9"/>
      <c r="AC11" s="8"/>
      <c r="AD11" s="12"/>
    </row>
    <row r="12" spans="1:30" x14ac:dyDescent="0.25">
      <c r="M12" s="8" t="s">
        <v>260</v>
      </c>
      <c r="N12" s="9">
        <v>72573</v>
      </c>
      <c r="O12" s="9">
        <v>139200</v>
      </c>
      <c r="P12" s="9">
        <v>66627</v>
      </c>
      <c r="Q12" s="9"/>
      <c r="AC12" s="8"/>
      <c r="AD12" s="12"/>
    </row>
    <row r="13" spans="1:30" x14ac:dyDescent="0.25">
      <c r="M13" s="8" t="s">
        <v>261</v>
      </c>
      <c r="N13" s="9">
        <v>71651</v>
      </c>
      <c r="O13" s="9">
        <v>122400</v>
      </c>
      <c r="P13" s="9">
        <v>50749</v>
      </c>
      <c r="Q13" s="9"/>
    </row>
    <row r="14" spans="1:30" x14ac:dyDescent="0.25">
      <c r="M14" s="8" t="s">
        <v>262</v>
      </c>
      <c r="N14" s="9">
        <v>74891</v>
      </c>
      <c r="O14" s="9">
        <v>122400</v>
      </c>
      <c r="P14" s="9">
        <v>47509</v>
      </c>
      <c r="Q14" s="9"/>
    </row>
    <row r="15" spans="1:30" x14ac:dyDescent="0.25">
      <c r="M15" s="8" t="s">
        <v>263</v>
      </c>
      <c r="N15" s="9">
        <v>17251</v>
      </c>
      <c r="O15" s="9">
        <v>0</v>
      </c>
      <c r="P15" s="9">
        <v>-17251</v>
      </c>
      <c r="Q15" s="9"/>
    </row>
    <row r="16" spans="1:30" x14ac:dyDescent="0.25">
      <c r="M16" s="8" t="s">
        <v>248</v>
      </c>
      <c r="N16" s="9">
        <v>724584</v>
      </c>
      <c r="O16" s="9">
        <v>1570560</v>
      </c>
      <c r="P16" s="9">
        <v>845976</v>
      </c>
      <c r="Q16" s="9"/>
    </row>
    <row r="17" spans="1:12" x14ac:dyDescent="0.25">
      <c r="A17" s="17" t="s">
        <v>292</v>
      </c>
      <c r="C17" s="17" t="s">
        <v>293</v>
      </c>
      <c r="E17" s="17" t="s">
        <v>294</v>
      </c>
      <c r="G17" s="15" t="s">
        <v>295</v>
      </c>
      <c r="H17" s="15"/>
      <c r="J17" s="15" t="s">
        <v>296</v>
      </c>
      <c r="K17" s="15"/>
      <c r="L17" s="15"/>
    </row>
    <row r="18" spans="1:12" x14ac:dyDescent="0.25">
      <c r="A18" t="s">
        <v>250</v>
      </c>
      <c r="C18" t="s">
        <v>251</v>
      </c>
      <c r="E18" t="s">
        <v>266</v>
      </c>
      <c r="G18" s="7" t="s">
        <v>267</v>
      </c>
      <c r="J18" s="7" t="s">
        <v>247</v>
      </c>
      <c r="K18" t="s">
        <v>250</v>
      </c>
      <c r="L18" t="s">
        <v>251</v>
      </c>
    </row>
    <row r="19" spans="1:12" x14ac:dyDescent="0.25">
      <c r="A19" s="9">
        <v>724584</v>
      </c>
      <c r="C19" s="9">
        <v>1570560</v>
      </c>
      <c r="E19" s="9">
        <v>845976</v>
      </c>
      <c r="G19" s="8" t="s">
        <v>251</v>
      </c>
      <c r="H19" s="11">
        <v>1</v>
      </c>
      <c r="J19" s="8">
        <v>2</v>
      </c>
      <c r="K19" s="9">
        <v>29520</v>
      </c>
      <c r="L19" s="9">
        <v>120000</v>
      </c>
    </row>
    <row r="20" spans="1:12" x14ac:dyDescent="0.25">
      <c r="G20" s="8" t="s">
        <v>268</v>
      </c>
      <c r="H20" s="12">
        <v>0.46135391198044012</v>
      </c>
      <c r="J20" s="8">
        <v>3</v>
      </c>
      <c r="K20" s="9">
        <v>6888</v>
      </c>
      <c r="L20" s="9">
        <v>0</v>
      </c>
    </row>
    <row r="21" spans="1:12" x14ac:dyDescent="0.25">
      <c r="G21" s="8" t="s">
        <v>269</v>
      </c>
      <c r="H21" s="12">
        <v>0.53864608801955993</v>
      </c>
      <c r="J21" s="8">
        <v>4</v>
      </c>
      <c r="K21" s="9">
        <v>12840</v>
      </c>
      <c r="L21" s="9">
        <v>216000</v>
      </c>
    </row>
    <row r="22" spans="1:12" x14ac:dyDescent="0.25">
      <c r="J22" s="8">
        <v>5</v>
      </c>
      <c r="K22" s="9">
        <v>8496</v>
      </c>
      <c r="L22" s="9">
        <v>0</v>
      </c>
    </row>
    <row r="23" spans="1:12" x14ac:dyDescent="0.25">
      <c r="J23" s="8">
        <v>6</v>
      </c>
      <c r="K23" s="9">
        <v>41952</v>
      </c>
      <c r="L23" s="9">
        <v>120000</v>
      </c>
    </row>
    <row r="24" spans="1:12" x14ac:dyDescent="0.25">
      <c r="J24" s="8">
        <v>7</v>
      </c>
      <c r="K24" s="9">
        <v>6960</v>
      </c>
      <c r="L24" s="9">
        <v>0</v>
      </c>
    </row>
    <row r="25" spans="1:12" x14ac:dyDescent="0.25">
      <c r="J25" s="8">
        <v>8</v>
      </c>
      <c r="K25" s="9">
        <v>13050</v>
      </c>
      <c r="L25" s="9">
        <v>19200</v>
      </c>
    </row>
    <row r="26" spans="1:12" x14ac:dyDescent="0.25">
      <c r="J26" s="8">
        <v>9</v>
      </c>
      <c r="K26" s="9">
        <v>8588</v>
      </c>
      <c r="L26" s="9">
        <v>0</v>
      </c>
    </row>
    <row r="27" spans="1:12" x14ac:dyDescent="0.25">
      <c r="J27" s="8">
        <v>10</v>
      </c>
      <c r="K27" s="9">
        <v>39770</v>
      </c>
      <c r="L27" s="9">
        <v>120000</v>
      </c>
    </row>
    <row r="28" spans="1:12" x14ac:dyDescent="0.25">
      <c r="J28" s="8">
        <v>11</v>
      </c>
      <c r="K28" s="9">
        <v>7032</v>
      </c>
      <c r="L28" s="9">
        <v>0</v>
      </c>
    </row>
    <row r="29" spans="1:12" x14ac:dyDescent="0.25">
      <c r="J29" s="8">
        <v>12</v>
      </c>
      <c r="K29" s="9">
        <v>14986</v>
      </c>
      <c r="L29" s="9">
        <v>24000</v>
      </c>
    </row>
    <row r="30" spans="1:12" x14ac:dyDescent="0.25">
      <c r="J30" s="8">
        <v>13</v>
      </c>
      <c r="K30" s="9">
        <v>9768</v>
      </c>
      <c r="L30" s="9">
        <v>0</v>
      </c>
    </row>
    <row r="31" spans="1:12" x14ac:dyDescent="0.25">
      <c r="J31" s="8">
        <v>14</v>
      </c>
      <c r="K31" s="9">
        <v>37471</v>
      </c>
      <c r="L31" s="9">
        <v>120000</v>
      </c>
    </row>
    <row r="32" spans="1:12" x14ac:dyDescent="0.25">
      <c r="J32" s="8">
        <v>15</v>
      </c>
      <c r="K32" s="9">
        <v>5674</v>
      </c>
      <c r="L32" s="9">
        <v>0</v>
      </c>
    </row>
    <row r="33" spans="10:12" x14ac:dyDescent="0.25">
      <c r="J33" s="8">
        <v>16</v>
      </c>
      <c r="K33" s="9">
        <v>11461</v>
      </c>
      <c r="L33" s="9">
        <v>56160</v>
      </c>
    </row>
    <row r="34" spans="10:12" x14ac:dyDescent="0.25">
      <c r="J34" s="8">
        <v>17</v>
      </c>
      <c r="K34" s="9">
        <v>10970</v>
      </c>
      <c r="L34" s="9">
        <v>0</v>
      </c>
    </row>
    <row r="35" spans="10:12" x14ac:dyDescent="0.25">
      <c r="J35" s="8">
        <v>18</v>
      </c>
      <c r="K35" s="9">
        <v>19368</v>
      </c>
      <c r="L35" s="9">
        <v>0</v>
      </c>
    </row>
    <row r="36" spans="10:12" x14ac:dyDescent="0.25">
      <c r="J36" s="8">
        <v>19</v>
      </c>
      <c r="K36" s="9">
        <v>29880</v>
      </c>
      <c r="L36" s="9">
        <v>120000</v>
      </c>
    </row>
    <row r="37" spans="10:12" x14ac:dyDescent="0.25">
      <c r="J37" s="8">
        <v>20</v>
      </c>
      <c r="K37" s="9">
        <v>12139</v>
      </c>
      <c r="L37" s="9">
        <v>0</v>
      </c>
    </row>
    <row r="38" spans="10:12" x14ac:dyDescent="0.25">
      <c r="J38" s="8">
        <v>21</v>
      </c>
      <c r="K38" s="9">
        <v>11306</v>
      </c>
      <c r="L38" s="9">
        <v>24000</v>
      </c>
    </row>
    <row r="39" spans="10:12" x14ac:dyDescent="0.25">
      <c r="J39" s="8">
        <v>22</v>
      </c>
      <c r="K39" s="9">
        <v>16627</v>
      </c>
      <c r="L39" s="9">
        <v>0</v>
      </c>
    </row>
    <row r="40" spans="10:12" x14ac:dyDescent="0.25">
      <c r="J40" s="8">
        <v>23</v>
      </c>
      <c r="K40" s="9">
        <v>30394</v>
      </c>
      <c r="L40" s="9">
        <v>120000</v>
      </c>
    </row>
    <row r="41" spans="10:12" x14ac:dyDescent="0.25">
      <c r="J41" s="8">
        <v>24</v>
      </c>
      <c r="K41" s="9">
        <v>6746</v>
      </c>
      <c r="L41" s="9">
        <v>0</v>
      </c>
    </row>
    <row r="42" spans="10:12" x14ac:dyDescent="0.25">
      <c r="J42" s="8">
        <v>25</v>
      </c>
      <c r="K42" s="9">
        <v>12795</v>
      </c>
      <c r="L42" s="9">
        <v>2400</v>
      </c>
    </row>
    <row r="43" spans="10:12" x14ac:dyDescent="0.25">
      <c r="J43" s="8">
        <v>26</v>
      </c>
      <c r="K43" s="9">
        <v>10586</v>
      </c>
      <c r="L43" s="9">
        <v>0</v>
      </c>
    </row>
    <row r="44" spans="10:12" x14ac:dyDescent="0.25">
      <c r="J44" s="8">
        <v>27</v>
      </c>
      <c r="K44" s="9">
        <v>16570</v>
      </c>
      <c r="L44" s="9">
        <v>120000</v>
      </c>
    </row>
    <row r="45" spans="10:12" x14ac:dyDescent="0.25">
      <c r="J45" s="8">
        <v>28</v>
      </c>
      <c r="K45" s="9">
        <v>30360</v>
      </c>
      <c r="L45" s="9">
        <v>0</v>
      </c>
    </row>
    <row r="46" spans="10:12" x14ac:dyDescent="0.25">
      <c r="J46" s="8">
        <v>29</v>
      </c>
      <c r="K46" s="9">
        <v>13249</v>
      </c>
      <c r="L46" s="9">
        <v>0</v>
      </c>
    </row>
    <row r="47" spans="10:12" x14ac:dyDescent="0.25">
      <c r="J47" s="8">
        <v>30</v>
      </c>
      <c r="K47" s="9">
        <v>9321</v>
      </c>
      <c r="L47" s="9">
        <v>4800</v>
      </c>
    </row>
    <row r="48" spans="10:12" x14ac:dyDescent="0.25">
      <c r="J48" s="8">
        <v>31</v>
      </c>
      <c r="K48" s="9">
        <v>20388</v>
      </c>
      <c r="L48" s="9">
        <v>0</v>
      </c>
    </row>
    <row r="49" spans="10:12" x14ac:dyDescent="0.25">
      <c r="J49" s="8">
        <v>32</v>
      </c>
      <c r="K49" s="9">
        <v>25920</v>
      </c>
      <c r="L49" s="9">
        <v>120000</v>
      </c>
    </row>
    <row r="50" spans="10:12" x14ac:dyDescent="0.25">
      <c r="J50" s="8">
        <v>33</v>
      </c>
      <c r="K50" s="9">
        <v>7277</v>
      </c>
      <c r="L50" s="9">
        <v>0</v>
      </c>
    </row>
    <row r="51" spans="10:12" x14ac:dyDescent="0.25">
      <c r="J51" s="8">
        <v>34</v>
      </c>
      <c r="K51" s="9">
        <v>13076</v>
      </c>
      <c r="L51" s="9">
        <v>19200</v>
      </c>
    </row>
    <row r="52" spans="10:12" x14ac:dyDescent="0.25">
      <c r="J52" s="8">
        <v>35</v>
      </c>
      <c r="K52" s="9">
        <v>9363</v>
      </c>
      <c r="L52" s="9">
        <v>0</v>
      </c>
    </row>
    <row r="53" spans="10:12" x14ac:dyDescent="0.25">
      <c r="J53" s="8">
        <v>36</v>
      </c>
      <c r="K53" s="9">
        <v>15574</v>
      </c>
      <c r="L53" s="9">
        <v>120000</v>
      </c>
    </row>
    <row r="54" spans="10:12" x14ac:dyDescent="0.25">
      <c r="J54" s="8">
        <v>37</v>
      </c>
      <c r="K54" s="9">
        <v>31116</v>
      </c>
      <c r="L54" s="9">
        <v>0</v>
      </c>
    </row>
    <row r="55" spans="10:12" x14ac:dyDescent="0.25">
      <c r="J55" s="8">
        <v>38</v>
      </c>
      <c r="K55" s="9">
        <v>12196</v>
      </c>
      <c r="L55" s="9">
        <v>2400</v>
      </c>
    </row>
    <row r="56" spans="10:12" x14ac:dyDescent="0.25">
      <c r="J56" s="8">
        <v>39</v>
      </c>
      <c r="K56" s="9">
        <v>12525</v>
      </c>
      <c r="L56" s="9">
        <v>0</v>
      </c>
    </row>
    <row r="57" spans="10:12" x14ac:dyDescent="0.25">
      <c r="J57" s="8">
        <v>40</v>
      </c>
      <c r="K57" s="9">
        <v>18133</v>
      </c>
      <c r="L57" s="9">
        <v>0</v>
      </c>
    </row>
    <row r="58" spans="10:12" x14ac:dyDescent="0.25">
      <c r="J58" s="8">
        <v>41</v>
      </c>
      <c r="K58" s="9">
        <v>28440</v>
      </c>
      <c r="L58" s="9">
        <v>120000</v>
      </c>
    </row>
    <row r="59" spans="10:12" x14ac:dyDescent="0.25">
      <c r="J59" s="8">
        <v>42</v>
      </c>
      <c r="K59" s="9">
        <v>7544</v>
      </c>
      <c r="L59" s="9">
        <v>0</v>
      </c>
    </row>
    <row r="60" spans="10:12" x14ac:dyDescent="0.25">
      <c r="J60" s="8">
        <v>43</v>
      </c>
      <c r="K60" s="9">
        <v>16003</v>
      </c>
      <c r="L60" s="9">
        <v>2400</v>
      </c>
    </row>
    <row r="61" spans="10:12" x14ac:dyDescent="0.25">
      <c r="J61" s="8">
        <v>44</v>
      </c>
      <c r="K61" s="9">
        <v>9787</v>
      </c>
      <c r="L61" s="9">
        <v>0</v>
      </c>
    </row>
    <row r="62" spans="10:12" x14ac:dyDescent="0.25">
      <c r="J62" s="8">
        <v>45</v>
      </c>
      <c r="K62" s="9">
        <v>12475</v>
      </c>
      <c r="L62" s="9">
        <v>0</v>
      </c>
    </row>
    <row r="63" spans="10:12" x14ac:dyDescent="0.25">
      <c r="J63" s="8" t="s">
        <v>248</v>
      </c>
      <c r="K63" s="9">
        <v>724584</v>
      </c>
      <c r="L63" s="9">
        <v>1570560</v>
      </c>
    </row>
  </sheetData>
  <mergeCells count="7">
    <mergeCell ref="A3:B3"/>
    <mergeCell ref="D3:E3"/>
    <mergeCell ref="G3:H3"/>
    <mergeCell ref="J3:K3"/>
    <mergeCell ref="M3:P3"/>
    <mergeCell ref="G17:H17"/>
    <mergeCell ref="J17:L17"/>
  </mergeCells>
  <pageMargins left="0.7" right="0.7" top="0.75" bottom="0.75" header="0.3" footer="0.3"/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C655B-A916-4C78-B452-482698F214E0}">
  <dimension ref="V5:W19"/>
  <sheetViews>
    <sheetView zoomScale="75" workbookViewId="0">
      <selection activeCell="X112" sqref="X112"/>
    </sheetView>
  </sheetViews>
  <sheetFormatPr defaultRowHeight="13.2" x14ac:dyDescent="0.25"/>
  <sheetData>
    <row r="5" spans="22:23" ht="13.2" customHeight="1" x14ac:dyDescent="0.3">
      <c r="W5" s="13" t="s">
        <v>279</v>
      </c>
    </row>
    <row r="7" spans="22:23" ht="13.2" customHeight="1" x14ac:dyDescent="0.25">
      <c r="V7" s="14" t="s">
        <v>270</v>
      </c>
      <c r="W7" s="6" t="s">
        <v>271</v>
      </c>
    </row>
    <row r="8" spans="22:23" ht="13.2" customHeight="1" x14ac:dyDescent="0.25">
      <c r="V8" s="14" t="s">
        <v>272</v>
      </c>
      <c r="W8" s="6" t="s">
        <v>273</v>
      </c>
    </row>
    <row r="9" spans="22:23" ht="13.2" customHeight="1" x14ac:dyDescent="0.25">
      <c r="V9" s="14" t="s">
        <v>274</v>
      </c>
      <c r="W9" s="6" t="s">
        <v>275</v>
      </c>
    </row>
    <row r="10" spans="22:23" ht="13.2" customHeight="1" x14ac:dyDescent="0.25">
      <c r="V10" s="14" t="s">
        <v>276</v>
      </c>
      <c r="W10" s="6" t="s">
        <v>277</v>
      </c>
    </row>
    <row r="11" spans="22:23" ht="13.2" customHeight="1" x14ac:dyDescent="0.25">
      <c r="V11" s="14" t="s">
        <v>278</v>
      </c>
      <c r="W11" s="10" t="s">
        <v>281</v>
      </c>
    </row>
    <row r="12" spans="22:23" ht="13.2" customHeight="1" x14ac:dyDescent="0.25">
      <c r="W12" s="10" t="s">
        <v>280</v>
      </c>
    </row>
    <row r="13" spans="22:23" ht="13.2" customHeight="1" x14ac:dyDescent="0.25">
      <c r="W13" t="s">
        <v>282</v>
      </c>
    </row>
    <row r="14" spans="22:23" ht="13.2" customHeight="1" x14ac:dyDescent="0.25">
      <c r="W14" s="10" t="s">
        <v>283</v>
      </c>
    </row>
    <row r="15" spans="22:23" ht="13.2" customHeight="1" x14ac:dyDescent="0.25">
      <c r="W15" s="10" t="s">
        <v>284</v>
      </c>
    </row>
    <row r="18" spans="23:23" ht="13.2" customHeight="1" x14ac:dyDescent="0.25">
      <c r="W18" s="6" t="s">
        <v>285</v>
      </c>
    </row>
    <row r="19" spans="23:23" ht="13.2" customHeight="1" x14ac:dyDescent="0.25">
      <c r="W19" s="10" t="s">
        <v>286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data</vt:lpstr>
      <vt:lpstr>cleaned data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 Garud</cp:lastModifiedBy>
  <dcterms:modified xsi:type="dcterms:W3CDTF">2025-09-30T18:05:02Z</dcterms:modified>
</cp:coreProperties>
</file>