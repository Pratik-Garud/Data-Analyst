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dell pc\Downloads\next Leap Excel\Sess-3\"/>
    </mc:Choice>
  </mc:AlternateContent>
  <xr:revisionPtr revIDLastSave="0" documentId="13_ncr:1_{F27BF72A-2956-4114-8548-EF5A99234251}" xr6:coauthVersionLast="47" xr6:coauthVersionMax="47" xr10:uidLastSave="{00000000-0000-0000-0000-000000000000}"/>
  <bookViews>
    <workbookView xWindow="-96" yWindow="-96" windowWidth="19392" windowHeight="10392" activeTab="3" xr2:uid="{D8D56A5F-8B80-481F-9018-A4195EAAD011}"/>
  </bookViews>
  <sheets>
    <sheet name="Raw" sheetId="1" r:id="rId1"/>
    <sheet name="Design" sheetId="2" r:id="rId2"/>
    <sheet name="DB" sheetId="3" r:id="rId3"/>
    <sheet name="Helping Sheet" sheetId="4" r:id="rId4"/>
  </sheets>
  <definedNames>
    <definedName name="_xlchart.v1.10" hidden="1">'Helping Sheet'!$E$4:$E$15</definedName>
    <definedName name="_xlchart.v1.8" hidden="1">'Helping Sheet'!$D$4:$D$15</definedName>
    <definedName name="_xlchart.v1.9" hidden="1">'Helping Sheet'!$E$3</definedName>
    <definedName name="_xlchart.v5.0" hidden="1">'Helping Sheet'!$AC$3</definedName>
    <definedName name="_xlchart.v5.1" hidden="1">'Helping Sheet'!$AC$4:$AC$33</definedName>
    <definedName name="_xlchart.v5.11" hidden="1">'Helping Sheet'!$AC$3</definedName>
    <definedName name="_xlchart.v5.12" hidden="1">'Helping Sheet'!$AC$4:$AC$33</definedName>
    <definedName name="_xlchart.v5.13" hidden="1">'Helping Sheet'!$AD$3</definedName>
    <definedName name="_xlchart.v5.14" hidden="1">'Helping Sheet'!$AD$4:$AD$33</definedName>
    <definedName name="_xlchart.v5.2" hidden="1">'Helping Sheet'!$AD$3</definedName>
    <definedName name="_xlchart.v5.3" hidden="1">'Helping Sheet'!$AD$4:$AD$33</definedName>
    <definedName name="_xlchart.v5.4" hidden="1">'Helping Sheet'!$AC$3</definedName>
    <definedName name="_xlchart.v5.5" hidden="1">'Helping Sheet'!$AC$4:$AC$33</definedName>
    <definedName name="_xlchart.v5.6" hidden="1">'Helping Sheet'!$AD$3</definedName>
    <definedName name="_xlchart.v5.7" hidden="1">'Helping Sheet'!$AD$4:$AD$33</definedName>
    <definedName name="Slicer_Categories">#N/A</definedName>
    <definedName name="Slicer_Sales_Channel">#N/A</definedName>
    <definedName name="Slicer_Year">#N/A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21" i="4" l="1"/>
  <c r="AX20" i="4"/>
  <c r="AX19" i="4"/>
  <c r="AX18" i="4"/>
  <c r="AQ17" i="4"/>
  <c r="AR17" i="4"/>
  <c r="AR16" i="4"/>
  <c r="AQ16" i="4"/>
  <c r="AR6" i="4"/>
  <c r="AQ6" i="4"/>
  <c r="AH10" i="4"/>
  <c r="AH9" i="4"/>
  <c r="AC5" i="4"/>
  <c r="AD5" i="4"/>
  <c r="AC6" i="4"/>
  <c r="AD6" i="4"/>
  <c r="AC7" i="4"/>
  <c r="AD7" i="4"/>
  <c r="AC8" i="4"/>
  <c r="AD8" i="4"/>
  <c r="AC9" i="4"/>
  <c r="AD9" i="4"/>
  <c r="AC10" i="4"/>
  <c r="AD10" i="4"/>
  <c r="AC11" i="4"/>
  <c r="AD11" i="4"/>
  <c r="AC12" i="4"/>
  <c r="AD12" i="4"/>
  <c r="AC13" i="4"/>
  <c r="AD13" i="4"/>
  <c r="AC14" i="4"/>
  <c r="AD14" i="4"/>
  <c r="AC15" i="4"/>
  <c r="AD15" i="4"/>
  <c r="AC16" i="4"/>
  <c r="AD16" i="4"/>
  <c r="AC17" i="4"/>
  <c r="AD17" i="4"/>
  <c r="AC18" i="4"/>
  <c r="AD18" i="4"/>
  <c r="AC19" i="4"/>
  <c r="AD19" i="4"/>
  <c r="AC20" i="4"/>
  <c r="AD20" i="4"/>
  <c r="AC21" i="4"/>
  <c r="AD21" i="4"/>
  <c r="AC22" i="4"/>
  <c r="AD22" i="4"/>
  <c r="AC23" i="4"/>
  <c r="AD23" i="4"/>
  <c r="AC24" i="4"/>
  <c r="AD24" i="4"/>
  <c r="AC25" i="4"/>
  <c r="AD25" i="4"/>
  <c r="AC26" i="4"/>
  <c r="AD26" i="4"/>
  <c r="AC27" i="4"/>
  <c r="AD27" i="4"/>
  <c r="AC28" i="4"/>
  <c r="AD28" i="4"/>
  <c r="AC29" i="4"/>
  <c r="AD29" i="4"/>
  <c r="AC30" i="4"/>
  <c r="AD30" i="4"/>
  <c r="AC31" i="4"/>
  <c r="AD31" i="4"/>
  <c r="AC32" i="4"/>
  <c r="AD32" i="4"/>
  <c r="AC33" i="4"/>
  <c r="AD33" i="4"/>
  <c r="AD4" i="4"/>
  <c r="AC4" i="4"/>
  <c r="R13" i="4"/>
  <c r="R12" i="4"/>
  <c r="R11" i="4"/>
  <c r="M12" i="4"/>
  <c r="L12" i="4"/>
  <c r="M11" i="4"/>
  <c r="L11" i="4"/>
  <c r="M10" i="4"/>
  <c r="L10" i="4"/>
  <c r="E15" i="4"/>
  <c r="D15" i="4"/>
  <c r="E14" i="4"/>
  <c r="D14" i="4"/>
  <c r="E13" i="4"/>
  <c r="D13" i="4"/>
  <c r="E12" i="4"/>
  <c r="D12" i="4"/>
  <c r="E11" i="4"/>
  <c r="D11" i="4"/>
  <c r="E10" i="4"/>
  <c r="D10" i="4"/>
  <c r="E9" i="4"/>
  <c r="D9" i="4"/>
  <c r="E8" i="4"/>
  <c r="D8" i="4"/>
  <c r="E7" i="4"/>
  <c r="D7" i="4"/>
  <c r="E6" i="4"/>
  <c r="D6" i="4"/>
  <c r="E5" i="4"/>
  <c r="D5" i="4"/>
  <c r="E4" i="4"/>
  <c r="D4" i="4"/>
  <c r="O684" i="1"/>
  <c r="N684" i="1"/>
  <c r="M684" i="1"/>
  <c r="D684" i="1"/>
  <c r="C684" i="1"/>
  <c r="N683" i="1"/>
  <c r="M683" i="1"/>
  <c r="O683" i="1" s="1"/>
  <c r="D683" i="1"/>
  <c r="C683" i="1"/>
  <c r="N682" i="1"/>
  <c r="M682" i="1"/>
  <c r="O682" i="1" s="1"/>
  <c r="D682" i="1"/>
  <c r="C682" i="1"/>
  <c r="N681" i="1"/>
  <c r="M681" i="1"/>
  <c r="O681" i="1" s="1"/>
  <c r="D681" i="1"/>
  <c r="C681" i="1"/>
  <c r="N680" i="1"/>
  <c r="M680" i="1"/>
  <c r="O680" i="1" s="1"/>
  <c r="D680" i="1"/>
  <c r="C680" i="1"/>
  <c r="N679" i="1"/>
  <c r="M679" i="1"/>
  <c r="O679" i="1" s="1"/>
  <c r="D679" i="1"/>
  <c r="C679" i="1"/>
  <c r="N678" i="1"/>
  <c r="M678" i="1"/>
  <c r="O678" i="1" s="1"/>
  <c r="D678" i="1"/>
  <c r="C678" i="1"/>
  <c r="N677" i="1"/>
  <c r="M677" i="1"/>
  <c r="O677" i="1" s="1"/>
  <c r="D677" i="1"/>
  <c r="C677" i="1"/>
  <c r="N676" i="1"/>
  <c r="M676" i="1"/>
  <c r="O676" i="1" s="1"/>
  <c r="D676" i="1"/>
  <c r="C676" i="1"/>
  <c r="N675" i="1"/>
  <c r="M675" i="1"/>
  <c r="O675" i="1" s="1"/>
  <c r="D675" i="1"/>
  <c r="C675" i="1"/>
  <c r="N674" i="1"/>
  <c r="M674" i="1"/>
  <c r="O674" i="1" s="1"/>
  <c r="D674" i="1"/>
  <c r="C674" i="1"/>
  <c r="N673" i="1"/>
  <c r="M673" i="1"/>
  <c r="O673" i="1" s="1"/>
  <c r="D673" i="1"/>
  <c r="C673" i="1"/>
  <c r="N672" i="1"/>
  <c r="M672" i="1"/>
  <c r="D672" i="1"/>
  <c r="C672" i="1"/>
  <c r="N671" i="1"/>
  <c r="M671" i="1"/>
  <c r="O671" i="1" s="1"/>
  <c r="D671" i="1"/>
  <c r="C671" i="1"/>
  <c r="N670" i="1"/>
  <c r="M670" i="1"/>
  <c r="O670" i="1" s="1"/>
  <c r="D670" i="1"/>
  <c r="C670" i="1"/>
  <c r="N669" i="1"/>
  <c r="M669" i="1"/>
  <c r="O669" i="1" s="1"/>
  <c r="D669" i="1"/>
  <c r="C669" i="1"/>
  <c r="N668" i="1"/>
  <c r="M668" i="1"/>
  <c r="O668" i="1" s="1"/>
  <c r="D668" i="1"/>
  <c r="C668" i="1"/>
  <c r="N667" i="1"/>
  <c r="O667" i="1" s="1"/>
  <c r="M667" i="1"/>
  <c r="D667" i="1"/>
  <c r="C667" i="1"/>
  <c r="N666" i="1"/>
  <c r="M666" i="1"/>
  <c r="D666" i="1"/>
  <c r="C666" i="1"/>
  <c r="N665" i="1"/>
  <c r="M665" i="1"/>
  <c r="D665" i="1"/>
  <c r="C665" i="1"/>
  <c r="N664" i="1"/>
  <c r="M664" i="1"/>
  <c r="D664" i="1"/>
  <c r="C664" i="1"/>
  <c r="N663" i="1"/>
  <c r="M663" i="1"/>
  <c r="O663" i="1" s="1"/>
  <c r="D663" i="1"/>
  <c r="C663" i="1"/>
  <c r="N662" i="1"/>
  <c r="M662" i="1"/>
  <c r="O662" i="1" s="1"/>
  <c r="D662" i="1"/>
  <c r="C662" i="1"/>
  <c r="N661" i="1"/>
  <c r="M661" i="1"/>
  <c r="O661" i="1" s="1"/>
  <c r="D661" i="1"/>
  <c r="C661" i="1"/>
  <c r="N660" i="1"/>
  <c r="M660" i="1"/>
  <c r="O660" i="1" s="1"/>
  <c r="D660" i="1"/>
  <c r="C660" i="1"/>
  <c r="N659" i="1"/>
  <c r="M659" i="1"/>
  <c r="O659" i="1" s="1"/>
  <c r="D659" i="1"/>
  <c r="C659" i="1"/>
  <c r="N658" i="1"/>
  <c r="M658" i="1"/>
  <c r="O658" i="1" s="1"/>
  <c r="D658" i="1"/>
  <c r="C658" i="1"/>
  <c r="N657" i="1"/>
  <c r="M657" i="1"/>
  <c r="O657" i="1" s="1"/>
  <c r="D657" i="1"/>
  <c r="C657" i="1"/>
  <c r="N656" i="1"/>
  <c r="M656" i="1"/>
  <c r="D656" i="1"/>
  <c r="C656" i="1"/>
  <c r="N655" i="1"/>
  <c r="M655" i="1"/>
  <c r="O655" i="1" s="1"/>
  <c r="D655" i="1"/>
  <c r="C655" i="1"/>
  <c r="N654" i="1"/>
  <c r="M654" i="1"/>
  <c r="O654" i="1" s="1"/>
  <c r="D654" i="1"/>
  <c r="C654" i="1"/>
  <c r="N653" i="1"/>
  <c r="M653" i="1"/>
  <c r="O653" i="1" s="1"/>
  <c r="D653" i="1"/>
  <c r="C653" i="1"/>
  <c r="N652" i="1"/>
  <c r="M652" i="1"/>
  <c r="O652" i="1" s="1"/>
  <c r="D652" i="1"/>
  <c r="C652" i="1"/>
  <c r="N651" i="1"/>
  <c r="O651" i="1" s="1"/>
  <c r="M651" i="1"/>
  <c r="D651" i="1"/>
  <c r="C651" i="1"/>
  <c r="N650" i="1"/>
  <c r="M650" i="1"/>
  <c r="D650" i="1"/>
  <c r="C650" i="1"/>
  <c r="N649" i="1"/>
  <c r="M649" i="1"/>
  <c r="D649" i="1"/>
  <c r="C649" i="1"/>
  <c r="N648" i="1"/>
  <c r="M648" i="1"/>
  <c r="D648" i="1"/>
  <c r="C648" i="1"/>
  <c r="N647" i="1"/>
  <c r="M647" i="1"/>
  <c r="O647" i="1" s="1"/>
  <c r="D647" i="1"/>
  <c r="C647" i="1"/>
  <c r="N646" i="1"/>
  <c r="M646" i="1"/>
  <c r="O646" i="1" s="1"/>
  <c r="D646" i="1"/>
  <c r="C646" i="1"/>
  <c r="N645" i="1"/>
  <c r="M645" i="1"/>
  <c r="O645" i="1" s="1"/>
  <c r="D645" i="1"/>
  <c r="C645" i="1"/>
  <c r="N644" i="1"/>
  <c r="M644" i="1"/>
  <c r="O644" i="1" s="1"/>
  <c r="D644" i="1"/>
  <c r="C644" i="1"/>
  <c r="N643" i="1"/>
  <c r="M643" i="1"/>
  <c r="O643" i="1" s="1"/>
  <c r="D643" i="1"/>
  <c r="C643" i="1"/>
  <c r="N642" i="1"/>
  <c r="M642" i="1"/>
  <c r="O642" i="1" s="1"/>
  <c r="D642" i="1"/>
  <c r="C642" i="1"/>
  <c r="N641" i="1"/>
  <c r="M641" i="1"/>
  <c r="O641" i="1" s="1"/>
  <c r="D641" i="1"/>
  <c r="C641" i="1"/>
  <c r="N640" i="1"/>
  <c r="M640" i="1"/>
  <c r="D640" i="1"/>
  <c r="C640" i="1"/>
  <c r="N639" i="1"/>
  <c r="M639" i="1"/>
  <c r="O639" i="1" s="1"/>
  <c r="D639" i="1"/>
  <c r="C639" i="1"/>
  <c r="N638" i="1"/>
  <c r="M638" i="1"/>
  <c r="O638" i="1" s="1"/>
  <c r="D638" i="1"/>
  <c r="C638" i="1"/>
  <c r="N637" i="1"/>
  <c r="M637" i="1"/>
  <c r="O637" i="1" s="1"/>
  <c r="D637" i="1"/>
  <c r="C637" i="1"/>
  <c r="N636" i="1"/>
  <c r="M636" i="1"/>
  <c r="O636" i="1" s="1"/>
  <c r="D636" i="1"/>
  <c r="C636" i="1"/>
  <c r="N635" i="1"/>
  <c r="O635" i="1" s="1"/>
  <c r="M635" i="1"/>
  <c r="D635" i="1"/>
  <c r="C635" i="1"/>
  <c r="N634" i="1"/>
  <c r="M634" i="1"/>
  <c r="D634" i="1"/>
  <c r="C634" i="1"/>
  <c r="N633" i="1"/>
  <c r="M633" i="1"/>
  <c r="D633" i="1"/>
  <c r="C633" i="1"/>
  <c r="N632" i="1"/>
  <c r="M632" i="1"/>
  <c r="D632" i="1"/>
  <c r="C632" i="1"/>
  <c r="N631" i="1"/>
  <c r="M631" i="1"/>
  <c r="O631" i="1" s="1"/>
  <c r="D631" i="1"/>
  <c r="C631" i="1"/>
  <c r="N630" i="1"/>
  <c r="M630" i="1"/>
  <c r="O630" i="1" s="1"/>
  <c r="D630" i="1"/>
  <c r="C630" i="1"/>
  <c r="N629" i="1"/>
  <c r="M629" i="1"/>
  <c r="O629" i="1" s="1"/>
  <c r="D629" i="1"/>
  <c r="C629" i="1"/>
  <c r="N628" i="1"/>
  <c r="M628" i="1"/>
  <c r="O628" i="1" s="1"/>
  <c r="D628" i="1"/>
  <c r="C628" i="1"/>
  <c r="N627" i="1"/>
  <c r="M627" i="1"/>
  <c r="O627" i="1" s="1"/>
  <c r="D627" i="1"/>
  <c r="C627" i="1"/>
  <c r="N626" i="1"/>
  <c r="M626" i="1"/>
  <c r="O626" i="1" s="1"/>
  <c r="D626" i="1"/>
  <c r="C626" i="1"/>
  <c r="N625" i="1"/>
  <c r="M625" i="1"/>
  <c r="O625" i="1" s="1"/>
  <c r="D625" i="1"/>
  <c r="C625" i="1"/>
  <c r="N624" i="1"/>
  <c r="M624" i="1"/>
  <c r="D624" i="1"/>
  <c r="C624" i="1"/>
  <c r="N623" i="1"/>
  <c r="M623" i="1"/>
  <c r="O623" i="1" s="1"/>
  <c r="D623" i="1"/>
  <c r="C623" i="1"/>
  <c r="N622" i="1"/>
  <c r="M622" i="1"/>
  <c r="O622" i="1" s="1"/>
  <c r="D622" i="1"/>
  <c r="C622" i="1"/>
  <c r="N621" i="1"/>
  <c r="M621" i="1"/>
  <c r="O621" i="1" s="1"/>
  <c r="D621" i="1"/>
  <c r="C621" i="1"/>
  <c r="N620" i="1"/>
  <c r="M620" i="1"/>
  <c r="O620" i="1" s="1"/>
  <c r="D620" i="1"/>
  <c r="C620" i="1"/>
  <c r="N619" i="1"/>
  <c r="O619" i="1" s="1"/>
  <c r="M619" i="1"/>
  <c r="D619" i="1"/>
  <c r="C619" i="1"/>
  <c r="N618" i="1"/>
  <c r="M618" i="1"/>
  <c r="D618" i="1"/>
  <c r="C618" i="1"/>
  <c r="N617" i="1"/>
  <c r="M617" i="1"/>
  <c r="D617" i="1"/>
  <c r="C617" i="1"/>
  <c r="N616" i="1"/>
  <c r="M616" i="1"/>
  <c r="D616" i="1"/>
  <c r="C616" i="1"/>
  <c r="N615" i="1"/>
  <c r="M615" i="1"/>
  <c r="O615" i="1" s="1"/>
  <c r="D615" i="1"/>
  <c r="C615" i="1"/>
  <c r="N614" i="1"/>
  <c r="M614" i="1"/>
  <c r="O614" i="1" s="1"/>
  <c r="D614" i="1"/>
  <c r="C614" i="1"/>
  <c r="N613" i="1"/>
  <c r="M613" i="1"/>
  <c r="O613" i="1" s="1"/>
  <c r="D613" i="1"/>
  <c r="C613" i="1"/>
  <c r="N612" i="1"/>
  <c r="M612" i="1"/>
  <c r="O612" i="1" s="1"/>
  <c r="D612" i="1"/>
  <c r="C612" i="1"/>
  <c r="N611" i="1"/>
  <c r="M611" i="1"/>
  <c r="O611" i="1" s="1"/>
  <c r="D611" i="1"/>
  <c r="C611" i="1"/>
  <c r="N610" i="1"/>
  <c r="M610" i="1"/>
  <c r="O610" i="1" s="1"/>
  <c r="D610" i="1"/>
  <c r="C610" i="1"/>
  <c r="N609" i="1"/>
  <c r="M609" i="1"/>
  <c r="O609" i="1" s="1"/>
  <c r="D609" i="1"/>
  <c r="C609" i="1"/>
  <c r="N608" i="1"/>
  <c r="M608" i="1"/>
  <c r="D608" i="1"/>
  <c r="C608" i="1"/>
  <c r="N607" i="1"/>
  <c r="M607" i="1"/>
  <c r="O607" i="1" s="1"/>
  <c r="D607" i="1"/>
  <c r="C607" i="1"/>
  <c r="N606" i="1"/>
  <c r="M606" i="1"/>
  <c r="O606" i="1" s="1"/>
  <c r="D606" i="1"/>
  <c r="C606" i="1"/>
  <c r="N605" i="1"/>
  <c r="M605" i="1"/>
  <c r="O605" i="1" s="1"/>
  <c r="D605" i="1"/>
  <c r="C605" i="1"/>
  <c r="N604" i="1"/>
  <c r="M604" i="1"/>
  <c r="O604" i="1" s="1"/>
  <c r="D604" i="1"/>
  <c r="C604" i="1"/>
  <c r="N603" i="1"/>
  <c r="O603" i="1" s="1"/>
  <c r="M603" i="1"/>
  <c r="D603" i="1"/>
  <c r="C603" i="1"/>
  <c r="N602" i="1"/>
  <c r="M602" i="1"/>
  <c r="D602" i="1"/>
  <c r="C602" i="1"/>
  <c r="N601" i="1"/>
  <c r="M601" i="1"/>
  <c r="D601" i="1"/>
  <c r="C601" i="1"/>
  <c r="N600" i="1"/>
  <c r="M600" i="1"/>
  <c r="D600" i="1"/>
  <c r="C600" i="1"/>
  <c r="N599" i="1"/>
  <c r="M599" i="1"/>
  <c r="O599" i="1" s="1"/>
  <c r="D599" i="1"/>
  <c r="C599" i="1"/>
  <c r="N598" i="1"/>
  <c r="M598" i="1"/>
  <c r="O598" i="1" s="1"/>
  <c r="D598" i="1"/>
  <c r="C598" i="1"/>
  <c r="N597" i="1"/>
  <c r="M597" i="1"/>
  <c r="O597" i="1" s="1"/>
  <c r="D597" i="1"/>
  <c r="C597" i="1"/>
  <c r="N596" i="1"/>
  <c r="M596" i="1"/>
  <c r="O596" i="1" s="1"/>
  <c r="D596" i="1"/>
  <c r="C596" i="1"/>
  <c r="N595" i="1"/>
  <c r="M595" i="1"/>
  <c r="O595" i="1" s="1"/>
  <c r="D595" i="1"/>
  <c r="C595" i="1"/>
  <c r="N594" i="1"/>
  <c r="M594" i="1"/>
  <c r="O594" i="1" s="1"/>
  <c r="D594" i="1"/>
  <c r="C594" i="1"/>
  <c r="N593" i="1"/>
  <c r="M593" i="1"/>
  <c r="O593" i="1" s="1"/>
  <c r="D593" i="1"/>
  <c r="C593" i="1"/>
  <c r="N592" i="1"/>
  <c r="M592" i="1"/>
  <c r="D592" i="1"/>
  <c r="C592" i="1"/>
  <c r="N591" i="1"/>
  <c r="M591" i="1"/>
  <c r="O591" i="1" s="1"/>
  <c r="D591" i="1"/>
  <c r="C591" i="1"/>
  <c r="N590" i="1"/>
  <c r="M590" i="1"/>
  <c r="O590" i="1" s="1"/>
  <c r="D590" i="1"/>
  <c r="C590" i="1"/>
  <c r="N589" i="1"/>
  <c r="M589" i="1"/>
  <c r="O589" i="1" s="1"/>
  <c r="D589" i="1"/>
  <c r="C589" i="1"/>
  <c r="N588" i="1"/>
  <c r="M588" i="1"/>
  <c r="O588" i="1" s="1"/>
  <c r="D588" i="1"/>
  <c r="C588" i="1"/>
  <c r="N587" i="1"/>
  <c r="O587" i="1" s="1"/>
  <c r="M587" i="1"/>
  <c r="D587" i="1"/>
  <c r="C587" i="1"/>
  <c r="N586" i="1"/>
  <c r="M586" i="1"/>
  <c r="D586" i="1"/>
  <c r="C586" i="1"/>
  <c r="N585" i="1"/>
  <c r="M585" i="1"/>
  <c r="D585" i="1"/>
  <c r="C585" i="1"/>
  <c r="N584" i="1"/>
  <c r="M584" i="1"/>
  <c r="D584" i="1"/>
  <c r="C584" i="1"/>
  <c r="O583" i="1"/>
  <c r="N583" i="1"/>
  <c r="M583" i="1"/>
  <c r="D583" i="1"/>
  <c r="C583" i="1"/>
  <c r="N582" i="1"/>
  <c r="M582" i="1"/>
  <c r="O582" i="1" s="1"/>
  <c r="D582" i="1"/>
  <c r="C582" i="1"/>
  <c r="N581" i="1"/>
  <c r="M581" i="1"/>
  <c r="O581" i="1" s="1"/>
  <c r="D581" i="1"/>
  <c r="C581" i="1"/>
  <c r="N580" i="1"/>
  <c r="M580" i="1"/>
  <c r="O580" i="1" s="1"/>
  <c r="D580" i="1"/>
  <c r="C580" i="1"/>
  <c r="N579" i="1"/>
  <c r="M579" i="1"/>
  <c r="O579" i="1" s="1"/>
  <c r="D579" i="1"/>
  <c r="C579" i="1"/>
  <c r="N578" i="1"/>
  <c r="M578" i="1"/>
  <c r="O578" i="1" s="1"/>
  <c r="D578" i="1"/>
  <c r="C578" i="1"/>
  <c r="N577" i="1"/>
  <c r="M577" i="1"/>
  <c r="O577" i="1" s="1"/>
  <c r="D577" i="1"/>
  <c r="C577" i="1"/>
  <c r="N576" i="1"/>
  <c r="M576" i="1"/>
  <c r="D576" i="1"/>
  <c r="C576" i="1"/>
  <c r="N575" i="1"/>
  <c r="M575" i="1"/>
  <c r="O575" i="1" s="1"/>
  <c r="D575" i="1"/>
  <c r="C575" i="1"/>
  <c r="N574" i="1"/>
  <c r="M574" i="1"/>
  <c r="O574" i="1" s="1"/>
  <c r="D574" i="1"/>
  <c r="C574" i="1"/>
  <c r="N573" i="1"/>
  <c r="M573" i="1"/>
  <c r="O573" i="1" s="1"/>
  <c r="D573" i="1"/>
  <c r="C573" i="1"/>
  <c r="N572" i="1"/>
  <c r="M572" i="1"/>
  <c r="O572" i="1" s="1"/>
  <c r="D572" i="1"/>
  <c r="C572" i="1"/>
  <c r="N571" i="1"/>
  <c r="O571" i="1" s="1"/>
  <c r="M571" i="1"/>
  <c r="D571" i="1"/>
  <c r="C571" i="1"/>
  <c r="N570" i="1"/>
  <c r="M570" i="1"/>
  <c r="D570" i="1"/>
  <c r="C570" i="1"/>
  <c r="N569" i="1"/>
  <c r="M569" i="1"/>
  <c r="D569" i="1"/>
  <c r="C569" i="1"/>
  <c r="N568" i="1"/>
  <c r="M568" i="1"/>
  <c r="D568" i="1"/>
  <c r="C568" i="1"/>
  <c r="O567" i="1"/>
  <c r="N567" i="1"/>
  <c r="M567" i="1"/>
  <c r="D567" i="1"/>
  <c r="C567" i="1"/>
  <c r="N566" i="1"/>
  <c r="M566" i="1"/>
  <c r="O566" i="1" s="1"/>
  <c r="D566" i="1"/>
  <c r="C566" i="1"/>
  <c r="N565" i="1"/>
  <c r="M565" i="1"/>
  <c r="O565" i="1" s="1"/>
  <c r="D565" i="1"/>
  <c r="C565" i="1"/>
  <c r="N564" i="1"/>
  <c r="M564" i="1"/>
  <c r="O564" i="1" s="1"/>
  <c r="D564" i="1"/>
  <c r="C564" i="1"/>
  <c r="N563" i="1"/>
  <c r="M563" i="1"/>
  <c r="O563" i="1" s="1"/>
  <c r="D563" i="1"/>
  <c r="C563" i="1"/>
  <c r="N562" i="1"/>
  <c r="M562" i="1"/>
  <c r="O562" i="1" s="1"/>
  <c r="D562" i="1"/>
  <c r="C562" i="1"/>
  <c r="N561" i="1"/>
  <c r="M561" i="1"/>
  <c r="O561" i="1" s="1"/>
  <c r="D561" i="1"/>
  <c r="C561" i="1"/>
  <c r="N560" i="1"/>
  <c r="M560" i="1"/>
  <c r="D560" i="1"/>
  <c r="C560" i="1"/>
  <c r="N559" i="1"/>
  <c r="M559" i="1"/>
  <c r="O559" i="1" s="1"/>
  <c r="D559" i="1"/>
  <c r="C559" i="1"/>
  <c r="N558" i="1"/>
  <c r="M558" i="1"/>
  <c r="O558" i="1" s="1"/>
  <c r="D558" i="1"/>
  <c r="C558" i="1"/>
  <c r="N557" i="1"/>
  <c r="M557" i="1"/>
  <c r="O557" i="1" s="1"/>
  <c r="D557" i="1"/>
  <c r="C557" i="1"/>
  <c r="N556" i="1"/>
  <c r="M556" i="1"/>
  <c r="D556" i="1"/>
  <c r="C556" i="1"/>
  <c r="N555" i="1"/>
  <c r="M555" i="1"/>
  <c r="O555" i="1" s="1"/>
  <c r="D555" i="1"/>
  <c r="C555" i="1"/>
  <c r="N554" i="1"/>
  <c r="M554" i="1"/>
  <c r="O554" i="1" s="1"/>
  <c r="D554" i="1"/>
  <c r="C554" i="1"/>
  <c r="N553" i="1"/>
  <c r="M553" i="1"/>
  <c r="O553" i="1" s="1"/>
  <c r="D553" i="1"/>
  <c r="C553" i="1"/>
  <c r="N552" i="1"/>
  <c r="M552" i="1"/>
  <c r="O552" i="1" s="1"/>
  <c r="D552" i="1"/>
  <c r="C552" i="1"/>
  <c r="N551" i="1"/>
  <c r="M551" i="1"/>
  <c r="O551" i="1" s="1"/>
  <c r="D551" i="1"/>
  <c r="C551" i="1"/>
  <c r="N550" i="1"/>
  <c r="M550" i="1"/>
  <c r="D550" i="1"/>
  <c r="C550" i="1"/>
  <c r="N549" i="1"/>
  <c r="M549" i="1"/>
  <c r="D549" i="1"/>
  <c r="C549" i="1"/>
  <c r="N548" i="1"/>
  <c r="M548" i="1"/>
  <c r="D548" i="1"/>
  <c r="C548" i="1"/>
  <c r="O547" i="1"/>
  <c r="N547" i="1"/>
  <c r="M547" i="1"/>
  <c r="D547" i="1"/>
  <c r="C547" i="1"/>
  <c r="N546" i="1"/>
  <c r="M546" i="1"/>
  <c r="O546" i="1" s="1"/>
  <c r="D546" i="1"/>
  <c r="C546" i="1"/>
  <c r="N545" i="1"/>
  <c r="M545" i="1"/>
  <c r="O545" i="1" s="1"/>
  <c r="D545" i="1"/>
  <c r="C545" i="1"/>
  <c r="N544" i="1"/>
  <c r="M544" i="1"/>
  <c r="D544" i="1"/>
  <c r="C544" i="1"/>
  <c r="N543" i="1"/>
  <c r="M543" i="1"/>
  <c r="O543" i="1" s="1"/>
  <c r="D543" i="1"/>
  <c r="C543" i="1"/>
  <c r="N542" i="1"/>
  <c r="M542" i="1"/>
  <c r="O542" i="1" s="1"/>
  <c r="D542" i="1"/>
  <c r="C542" i="1"/>
  <c r="N541" i="1"/>
  <c r="M541" i="1"/>
  <c r="O541" i="1" s="1"/>
  <c r="D541" i="1"/>
  <c r="C541" i="1"/>
  <c r="N540" i="1"/>
  <c r="M540" i="1"/>
  <c r="D540" i="1"/>
  <c r="C540" i="1"/>
  <c r="N539" i="1"/>
  <c r="M539" i="1"/>
  <c r="O539" i="1" s="1"/>
  <c r="D539" i="1"/>
  <c r="C539" i="1"/>
  <c r="N538" i="1"/>
  <c r="M538" i="1"/>
  <c r="O538" i="1" s="1"/>
  <c r="D538" i="1"/>
  <c r="C538" i="1"/>
  <c r="N537" i="1"/>
  <c r="M537" i="1"/>
  <c r="O537" i="1" s="1"/>
  <c r="D537" i="1"/>
  <c r="C537" i="1"/>
  <c r="N536" i="1"/>
  <c r="M536" i="1"/>
  <c r="O536" i="1" s="1"/>
  <c r="D536" i="1"/>
  <c r="C536" i="1"/>
  <c r="N535" i="1"/>
  <c r="M535" i="1"/>
  <c r="O535" i="1" s="1"/>
  <c r="D535" i="1"/>
  <c r="C535" i="1"/>
  <c r="N534" i="1"/>
  <c r="M534" i="1"/>
  <c r="D534" i="1"/>
  <c r="C534" i="1"/>
  <c r="N533" i="1"/>
  <c r="M533" i="1"/>
  <c r="D533" i="1"/>
  <c r="C533" i="1"/>
  <c r="N532" i="1"/>
  <c r="M532" i="1"/>
  <c r="D532" i="1"/>
  <c r="C532" i="1"/>
  <c r="O531" i="1"/>
  <c r="N531" i="1"/>
  <c r="M531" i="1"/>
  <c r="D531" i="1"/>
  <c r="C531" i="1"/>
  <c r="N530" i="1"/>
  <c r="M530" i="1"/>
  <c r="O530" i="1" s="1"/>
  <c r="D530" i="1"/>
  <c r="C530" i="1"/>
  <c r="N529" i="1"/>
  <c r="M529" i="1"/>
  <c r="O529" i="1" s="1"/>
  <c r="D529" i="1"/>
  <c r="C529" i="1"/>
  <c r="N528" i="1"/>
  <c r="M528" i="1"/>
  <c r="D528" i="1"/>
  <c r="C528" i="1"/>
  <c r="N527" i="1"/>
  <c r="M527" i="1"/>
  <c r="O527" i="1" s="1"/>
  <c r="D527" i="1"/>
  <c r="C527" i="1"/>
  <c r="N526" i="1"/>
  <c r="M526" i="1"/>
  <c r="O526" i="1" s="1"/>
  <c r="D526" i="1"/>
  <c r="C526" i="1"/>
  <c r="N525" i="1"/>
  <c r="M525" i="1"/>
  <c r="O525" i="1" s="1"/>
  <c r="D525" i="1"/>
  <c r="C525" i="1"/>
  <c r="N524" i="1"/>
  <c r="M524" i="1"/>
  <c r="D524" i="1"/>
  <c r="C524" i="1"/>
  <c r="N523" i="1"/>
  <c r="M523" i="1"/>
  <c r="O523" i="1" s="1"/>
  <c r="D523" i="1"/>
  <c r="C523" i="1"/>
  <c r="N522" i="1"/>
  <c r="M522" i="1"/>
  <c r="O522" i="1" s="1"/>
  <c r="D522" i="1"/>
  <c r="C522" i="1"/>
  <c r="N521" i="1"/>
  <c r="M521" i="1"/>
  <c r="O521" i="1" s="1"/>
  <c r="D521" i="1"/>
  <c r="C521" i="1"/>
  <c r="N520" i="1"/>
  <c r="M520" i="1"/>
  <c r="O520" i="1" s="1"/>
  <c r="D520" i="1"/>
  <c r="C520" i="1"/>
  <c r="N519" i="1"/>
  <c r="M519" i="1"/>
  <c r="O519" i="1" s="1"/>
  <c r="D519" i="1"/>
  <c r="C519" i="1"/>
  <c r="N518" i="1"/>
  <c r="M518" i="1"/>
  <c r="D518" i="1"/>
  <c r="C518" i="1"/>
  <c r="N517" i="1"/>
  <c r="M517" i="1"/>
  <c r="D517" i="1"/>
  <c r="C517" i="1"/>
  <c r="N516" i="1"/>
  <c r="M516" i="1"/>
  <c r="D516" i="1"/>
  <c r="C516" i="1"/>
  <c r="O515" i="1"/>
  <c r="N515" i="1"/>
  <c r="M515" i="1"/>
  <c r="D515" i="1"/>
  <c r="C515" i="1"/>
  <c r="N514" i="1"/>
  <c r="M514" i="1"/>
  <c r="O514" i="1" s="1"/>
  <c r="D514" i="1"/>
  <c r="C514" i="1"/>
  <c r="N513" i="1"/>
  <c r="M513" i="1"/>
  <c r="O513" i="1" s="1"/>
  <c r="D513" i="1"/>
  <c r="C513" i="1"/>
  <c r="N512" i="1"/>
  <c r="M512" i="1"/>
  <c r="D512" i="1"/>
  <c r="C512" i="1"/>
  <c r="N511" i="1"/>
  <c r="M511" i="1"/>
  <c r="O511" i="1" s="1"/>
  <c r="D511" i="1"/>
  <c r="C511" i="1"/>
  <c r="N510" i="1"/>
  <c r="M510" i="1"/>
  <c r="O510" i="1" s="1"/>
  <c r="D510" i="1"/>
  <c r="C510" i="1"/>
  <c r="N509" i="1"/>
  <c r="M509" i="1"/>
  <c r="O509" i="1" s="1"/>
  <c r="D509" i="1"/>
  <c r="C509" i="1"/>
  <c r="N508" i="1"/>
  <c r="M508" i="1"/>
  <c r="D508" i="1"/>
  <c r="C508" i="1"/>
  <c r="N507" i="1"/>
  <c r="M507" i="1"/>
  <c r="O507" i="1" s="1"/>
  <c r="D507" i="1"/>
  <c r="C507" i="1"/>
  <c r="N506" i="1"/>
  <c r="M506" i="1"/>
  <c r="O506" i="1" s="1"/>
  <c r="D506" i="1"/>
  <c r="C506" i="1"/>
  <c r="N505" i="1"/>
  <c r="M505" i="1"/>
  <c r="O505" i="1" s="1"/>
  <c r="D505" i="1"/>
  <c r="C505" i="1"/>
  <c r="N504" i="1"/>
  <c r="M504" i="1"/>
  <c r="O504" i="1" s="1"/>
  <c r="D504" i="1"/>
  <c r="C504" i="1"/>
  <c r="N503" i="1"/>
  <c r="M503" i="1"/>
  <c r="O503" i="1" s="1"/>
  <c r="D503" i="1"/>
  <c r="C503" i="1"/>
  <c r="N502" i="1"/>
  <c r="M502" i="1"/>
  <c r="D502" i="1"/>
  <c r="C502" i="1"/>
  <c r="N501" i="1"/>
  <c r="M501" i="1"/>
  <c r="D501" i="1"/>
  <c r="C501" i="1"/>
  <c r="N500" i="1"/>
  <c r="M500" i="1"/>
  <c r="D500" i="1"/>
  <c r="C500" i="1"/>
  <c r="O499" i="1"/>
  <c r="N499" i="1"/>
  <c r="M499" i="1"/>
  <c r="D499" i="1"/>
  <c r="C499" i="1"/>
  <c r="N498" i="1"/>
  <c r="M498" i="1"/>
  <c r="O498" i="1" s="1"/>
  <c r="D498" i="1"/>
  <c r="C498" i="1"/>
  <c r="N497" i="1"/>
  <c r="M497" i="1"/>
  <c r="O497" i="1" s="1"/>
  <c r="D497" i="1"/>
  <c r="C497" i="1"/>
  <c r="N496" i="1"/>
  <c r="M496" i="1"/>
  <c r="D496" i="1"/>
  <c r="C496" i="1"/>
  <c r="N495" i="1"/>
  <c r="M495" i="1"/>
  <c r="O495" i="1" s="1"/>
  <c r="D495" i="1"/>
  <c r="C495" i="1"/>
  <c r="N494" i="1"/>
  <c r="M494" i="1"/>
  <c r="O494" i="1" s="1"/>
  <c r="D494" i="1"/>
  <c r="C494" i="1"/>
  <c r="N493" i="1"/>
  <c r="M493" i="1"/>
  <c r="O493" i="1" s="1"/>
  <c r="D493" i="1"/>
  <c r="C493" i="1"/>
  <c r="N492" i="1"/>
  <c r="M492" i="1"/>
  <c r="D492" i="1"/>
  <c r="C492" i="1"/>
  <c r="N491" i="1"/>
  <c r="M491" i="1"/>
  <c r="O491" i="1" s="1"/>
  <c r="D491" i="1"/>
  <c r="C491" i="1"/>
  <c r="N490" i="1"/>
  <c r="M490" i="1"/>
  <c r="O490" i="1" s="1"/>
  <c r="D490" i="1"/>
  <c r="C490" i="1"/>
  <c r="N489" i="1"/>
  <c r="M489" i="1"/>
  <c r="O489" i="1" s="1"/>
  <c r="D489" i="1"/>
  <c r="C489" i="1"/>
  <c r="N488" i="1"/>
  <c r="M488" i="1"/>
  <c r="O488" i="1" s="1"/>
  <c r="D488" i="1"/>
  <c r="C488" i="1"/>
  <c r="N487" i="1"/>
  <c r="M487" i="1"/>
  <c r="O487" i="1" s="1"/>
  <c r="D487" i="1"/>
  <c r="C487" i="1"/>
  <c r="N486" i="1"/>
  <c r="M486" i="1"/>
  <c r="D486" i="1"/>
  <c r="C486" i="1"/>
  <c r="N485" i="1"/>
  <c r="M485" i="1"/>
  <c r="D485" i="1"/>
  <c r="C485" i="1"/>
  <c r="N484" i="1"/>
  <c r="M484" i="1"/>
  <c r="D484" i="1"/>
  <c r="C484" i="1"/>
  <c r="O483" i="1"/>
  <c r="N483" i="1"/>
  <c r="M483" i="1"/>
  <c r="D483" i="1"/>
  <c r="C483" i="1"/>
  <c r="N482" i="1"/>
  <c r="M482" i="1"/>
  <c r="O482" i="1" s="1"/>
  <c r="D482" i="1"/>
  <c r="C482" i="1"/>
  <c r="N481" i="1"/>
  <c r="M481" i="1"/>
  <c r="O481" i="1" s="1"/>
  <c r="D481" i="1"/>
  <c r="C481" i="1"/>
  <c r="N480" i="1"/>
  <c r="M480" i="1"/>
  <c r="D480" i="1"/>
  <c r="C480" i="1"/>
  <c r="N479" i="1"/>
  <c r="M479" i="1"/>
  <c r="O479" i="1" s="1"/>
  <c r="D479" i="1"/>
  <c r="C479" i="1"/>
  <c r="N478" i="1"/>
  <c r="M478" i="1"/>
  <c r="O478" i="1" s="1"/>
  <c r="D478" i="1"/>
  <c r="C478" i="1"/>
  <c r="N477" i="1"/>
  <c r="M477" i="1"/>
  <c r="O477" i="1" s="1"/>
  <c r="D477" i="1"/>
  <c r="C477" i="1"/>
  <c r="N476" i="1"/>
  <c r="M476" i="1"/>
  <c r="D476" i="1"/>
  <c r="C476" i="1"/>
  <c r="N475" i="1"/>
  <c r="M475" i="1"/>
  <c r="O475" i="1" s="1"/>
  <c r="D475" i="1"/>
  <c r="C475" i="1"/>
  <c r="N474" i="1"/>
  <c r="M474" i="1"/>
  <c r="O474" i="1" s="1"/>
  <c r="D474" i="1"/>
  <c r="C474" i="1"/>
  <c r="N473" i="1"/>
  <c r="M473" i="1"/>
  <c r="O473" i="1" s="1"/>
  <c r="D473" i="1"/>
  <c r="C473" i="1"/>
  <c r="N472" i="1"/>
  <c r="M472" i="1"/>
  <c r="O472" i="1" s="1"/>
  <c r="D472" i="1"/>
  <c r="C472" i="1"/>
  <c r="N471" i="1"/>
  <c r="M471" i="1"/>
  <c r="O471" i="1" s="1"/>
  <c r="D471" i="1"/>
  <c r="C471" i="1"/>
  <c r="N470" i="1"/>
  <c r="M470" i="1"/>
  <c r="D470" i="1"/>
  <c r="C470" i="1"/>
  <c r="N469" i="1"/>
  <c r="M469" i="1"/>
  <c r="D469" i="1"/>
  <c r="C469" i="1"/>
  <c r="N468" i="1"/>
  <c r="M468" i="1"/>
  <c r="D468" i="1"/>
  <c r="C468" i="1"/>
  <c r="O467" i="1"/>
  <c r="N467" i="1"/>
  <c r="M467" i="1"/>
  <c r="D467" i="1"/>
  <c r="C467" i="1"/>
  <c r="N466" i="1"/>
  <c r="M466" i="1"/>
  <c r="O466" i="1" s="1"/>
  <c r="D466" i="1"/>
  <c r="C466" i="1"/>
  <c r="N465" i="1"/>
  <c r="M465" i="1"/>
  <c r="O465" i="1" s="1"/>
  <c r="D465" i="1"/>
  <c r="C465" i="1"/>
  <c r="N464" i="1"/>
  <c r="M464" i="1"/>
  <c r="D464" i="1"/>
  <c r="C464" i="1"/>
  <c r="N463" i="1"/>
  <c r="M463" i="1"/>
  <c r="O463" i="1" s="1"/>
  <c r="D463" i="1"/>
  <c r="C463" i="1"/>
  <c r="N462" i="1"/>
  <c r="M462" i="1"/>
  <c r="O462" i="1" s="1"/>
  <c r="D462" i="1"/>
  <c r="C462" i="1"/>
  <c r="N461" i="1"/>
  <c r="M461" i="1"/>
  <c r="O461" i="1" s="1"/>
  <c r="D461" i="1"/>
  <c r="C461" i="1"/>
  <c r="N460" i="1"/>
  <c r="M460" i="1"/>
  <c r="D460" i="1"/>
  <c r="C460" i="1"/>
  <c r="N459" i="1"/>
  <c r="M459" i="1"/>
  <c r="O459" i="1" s="1"/>
  <c r="D459" i="1"/>
  <c r="C459" i="1"/>
  <c r="N458" i="1"/>
  <c r="M458" i="1"/>
  <c r="O458" i="1" s="1"/>
  <c r="D458" i="1"/>
  <c r="C458" i="1"/>
  <c r="N457" i="1"/>
  <c r="M457" i="1"/>
  <c r="O457" i="1" s="1"/>
  <c r="D457" i="1"/>
  <c r="C457" i="1"/>
  <c r="N456" i="1"/>
  <c r="M456" i="1"/>
  <c r="O456" i="1" s="1"/>
  <c r="D456" i="1"/>
  <c r="C456" i="1"/>
  <c r="N455" i="1"/>
  <c r="M455" i="1"/>
  <c r="O455" i="1" s="1"/>
  <c r="D455" i="1"/>
  <c r="C455" i="1"/>
  <c r="N454" i="1"/>
  <c r="M454" i="1"/>
  <c r="D454" i="1"/>
  <c r="C454" i="1"/>
  <c r="N453" i="1"/>
  <c r="M453" i="1"/>
  <c r="D453" i="1"/>
  <c r="C453" i="1"/>
  <c r="N452" i="1"/>
  <c r="M452" i="1"/>
  <c r="D452" i="1"/>
  <c r="C452" i="1"/>
  <c r="O451" i="1"/>
  <c r="N451" i="1"/>
  <c r="M451" i="1"/>
  <c r="D451" i="1"/>
  <c r="C451" i="1"/>
  <c r="N450" i="1"/>
  <c r="M450" i="1"/>
  <c r="O450" i="1" s="1"/>
  <c r="D450" i="1"/>
  <c r="C450" i="1"/>
  <c r="N449" i="1"/>
  <c r="M449" i="1"/>
  <c r="O449" i="1" s="1"/>
  <c r="D449" i="1"/>
  <c r="C449" i="1"/>
  <c r="N448" i="1"/>
  <c r="M448" i="1"/>
  <c r="D448" i="1"/>
  <c r="C448" i="1"/>
  <c r="N447" i="1"/>
  <c r="M447" i="1"/>
  <c r="O447" i="1" s="1"/>
  <c r="D447" i="1"/>
  <c r="C447" i="1"/>
  <c r="N446" i="1"/>
  <c r="M446" i="1"/>
  <c r="O446" i="1" s="1"/>
  <c r="D446" i="1"/>
  <c r="C446" i="1"/>
  <c r="N445" i="1"/>
  <c r="M445" i="1"/>
  <c r="O445" i="1" s="1"/>
  <c r="D445" i="1"/>
  <c r="C445" i="1"/>
  <c r="N444" i="1"/>
  <c r="M444" i="1"/>
  <c r="D444" i="1"/>
  <c r="C444" i="1"/>
  <c r="N443" i="1"/>
  <c r="M443" i="1"/>
  <c r="O443" i="1" s="1"/>
  <c r="D443" i="1"/>
  <c r="C443" i="1"/>
  <c r="N442" i="1"/>
  <c r="M442" i="1"/>
  <c r="O442" i="1" s="1"/>
  <c r="D442" i="1"/>
  <c r="C442" i="1"/>
  <c r="N441" i="1"/>
  <c r="M441" i="1"/>
  <c r="O441" i="1" s="1"/>
  <c r="D441" i="1"/>
  <c r="C441" i="1"/>
  <c r="N440" i="1"/>
  <c r="M440" i="1"/>
  <c r="O440" i="1" s="1"/>
  <c r="D440" i="1"/>
  <c r="C440" i="1"/>
  <c r="N439" i="1"/>
  <c r="M439" i="1"/>
  <c r="O439" i="1" s="1"/>
  <c r="D439" i="1"/>
  <c r="C439" i="1"/>
  <c r="N438" i="1"/>
  <c r="M438" i="1"/>
  <c r="D438" i="1"/>
  <c r="C438" i="1"/>
  <c r="N437" i="1"/>
  <c r="M437" i="1"/>
  <c r="D437" i="1"/>
  <c r="C437" i="1"/>
  <c r="N436" i="1"/>
  <c r="M436" i="1"/>
  <c r="D436" i="1"/>
  <c r="C436" i="1"/>
  <c r="O435" i="1"/>
  <c r="N435" i="1"/>
  <c r="M435" i="1"/>
  <c r="D435" i="1"/>
  <c r="C435" i="1"/>
  <c r="N434" i="1"/>
  <c r="M434" i="1"/>
  <c r="O434" i="1" s="1"/>
  <c r="D434" i="1"/>
  <c r="C434" i="1"/>
  <c r="N433" i="1"/>
  <c r="M433" i="1"/>
  <c r="O433" i="1" s="1"/>
  <c r="D433" i="1"/>
  <c r="C433" i="1"/>
  <c r="N432" i="1"/>
  <c r="M432" i="1"/>
  <c r="D432" i="1"/>
  <c r="C432" i="1"/>
  <c r="N431" i="1"/>
  <c r="M431" i="1"/>
  <c r="O431" i="1" s="1"/>
  <c r="D431" i="1"/>
  <c r="C431" i="1"/>
  <c r="N430" i="1"/>
  <c r="M430" i="1"/>
  <c r="O430" i="1" s="1"/>
  <c r="D430" i="1"/>
  <c r="C430" i="1"/>
  <c r="N429" i="1"/>
  <c r="M429" i="1"/>
  <c r="O429" i="1" s="1"/>
  <c r="D429" i="1"/>
  <c r="C429" i="1"/>
  <c r="N428" i="1"/>
  <c r="M428" i="1"/>
  <c r="D428" i="1"/>
  <c r="C428" i="1"/>
  <c r="N427" i="1"/>
  <c r="M427" i="1"/>
  <c r="O427" i="1" s="1"/>
  <c r="D427" i="1"/>
  <c r="C427" i="1"/>
  <c r="N426" i="1"/>
  <c r="M426" i="1"/>
  <c r="O426" i="1" s="1"/>
  <c r="D426" i="1"/>
  <c r="C426" i="1"/>
  <c r="N425" i="1"/>
  <c r="M425" i="1"/>
  <c r="O425" i="1" s="1"/>
  <c r="D425" i="1"/>
  <c r="C425" i="1"/>
  <c r="N424" i="1"/>
  <c r="M424" i="1"/>
  <c r="D424" i="1"/>
  <c r="C424" i="1"/>
  <c r="N423" i="1"/>
  <c r="M423" i="1"/>
  <c r="O423" i="1" s="1"/>
  <c r="D423" i="1"/>
  <c r="C423" i="1"/>
  <c r="N422" i="1"/>
  <c r="M422" i="1"/>
  <c r="D422" i="1"/>
  <c r="C422" i="1"/>
  <c r="N421" i="1"/>
  <c r="M421" i="1"/>
  <c r="D421" i="1"/>
  <c r="C421" i="1"/>
  <c r="N420" i="1"/>
  <c r="M420" i="1"/>
  <c r="D420" i="1"/>
  <c r="C420" i="1"/>
  <c r="O419" i="1"/>
  <c r="N419" i="1"/>
  <c r="M419" i="1"/>
  <c r="D419" i="1"/>
  <c r="C419" i="1"/>
  <c r="N418" i="1"/>
  <c r="M418" i="1"/>
  <c r="O418" i="1" s="1"/>
  <c r="D418" i="1"/>
  <c r="C418" i="1"/>
  <c r="N417" i="1"/>
  <c r="M417" i="1"/>
  <c r="O417" i="1" s="1"/>
  <c r="D417" i="1"/>
  <c r="C417" i="1"/>
  <c r="N416" i="1"/>
  <c r="M416" i="1"/>
  <c r="D416" i="1"/>
  <c r="C416" i="1"/>
  <c r="N415" i="1"/>
  <c r="M415" i="1"/>
  <c r="O415" i="1" s="1"/>
  <c r="D415" i="1"/>
  <c r="C415" i="1"/>
  <c r="N414" i="1"/>
  <c r="M414" i="1"/>
  <c r="O414" i="1" s="1"/>
  <c r="D414" i="1"/>
  <c r="C414" i="1"/>
  <c r="N413" i="1"/>
  <c r="M413" i="1"/>
  <c r="O413" i="1" s="1"/>
  <c r="D413" i="1"/>
  <c r="C413" i="1"/>
  <c r="N412" i="1"/>
  <c r="M412" i="1"/>
  <c r="D412" i="1"/>
  <c r="C412" i="1"/>
  <c r="N411" i="1"/>
  <c r="M411" i="1"/>
  <c r="O411" i="1" s="1"/>
  <c r="D411" i="1"/>
  <c r="C411" i="1"/>
  <c r="N410" i="1"/>
  <c r="M410" i="1"/>
  <c r="O410" i="1" s="1"/>
  <c r="D410" i="1"/>
  <c r="C410" i="1"/>
  <c r="N409" i="1"/>
  <c r="M409" i="1"/>
  <c r="O409" i="1" s="1"/>
  <c r="D409" i="1"/>
  <c r="C409" i="1"/>
  <c r="N408" i="1"/>
  <c r="M408" i="1"/>
  <c r="D408" i="1"/>
  <c r="C408" i="1"/>
  <c r="N407" i="1"/>
  <c r="M407" i="1"/>
  <c r="O407" i="1" s="1"/>
  <c r="D407" i="1"/>
  <c r="C407" i="1"/>
  <c r="N406" i="1"/>
  <c r="M406" i="1"/>
  <c r="D406" i="1"/>
  <c r="C406" i="1"/>
  <c r="N405" i="1"/>
  <c r="M405" i="1"/>
  <c r="D405" i="1"/>
  <c r="C405" i="1"/>
  <c r="N404" i="1"/>
  <c r="M404" i="1"/>
  <c r="D404" i="1"/>
  <c r="C404" i="1"/>
  <c r="O403" i="1"/>
  <c r="N403" i="1"/>
  <c r="M403" i="1"/>
  <c r="D403" i="1"/>
  <c r="C403" i="1"/>
  <c r="N402" i="1"/>
  <c r="M402" i="1"/>
  <c r="O402" i="1" s="1"/>
  <c r="D402" i="1"/>
  <c r="C402" i="1"/>
  <c r="N401" i="1"/>
  <c r="M401" i="1"/>
  <c r="O401" i="1" s="1"/>
  <c r="D401" i="1"/>
  <c r="C401" i="1"/>
  <c r="N400" i="1"/>
  <c r="M400" i="1"/>
  <c r="D400" i="1"/>
  <c r="C400" i="1"/>
  <c r="N399" i="1"/>
  <c r="M399" i="1"/>
  <c r="O399" i="1" s="1"/>
  <c r="D399" i="1"/>
  <c r="C399" i="1"/>
  <c r="N398" i="1"/>
  <c r="M398" i="1"/>
  <c r="O398" i="1" s="1"/>
  <c r="D398" i="1"/>
  <c r="C398" i="1"/>
  <c r="N397" i="1"/>
  <c r="M397" i="1"/>
  <c r="O397" i="1" s="1"/>
  <c r="D397" i="1"/>
  <c r="C397" i="1"/>
  <c r="N396" i="1"/>
  <c r="M396" i="1"/>
  <c r="D396" i="1"/>
  <c r="C396" i="1"/>
  <c r="N395" i="1"/>
  <c r="M395" i="1"/>
  <c r="O395" i="1" s="1"/>
  <c r="D395" i="1"/>
  <c r="C395" i="1"/>
  <c r="N394" i="1"/>
  <c r="M394" i="1"/>
  <c r="O394" i="1" s="1"/>
  <c r="D394" i="1"/>
  <c r="C394" i="1"/>
  <c r="N393" i="1"/>
  <c r="M393" i="1"/>
  <c r="O393" i="1" s="1"/>
  <c r="D393" i="1"/>
  <c r="C393" i="1"/>
  <c r="N392" i="1"/>
  <c r="M392" i="1"/>
  <c r="D392" i="1"/>
  <c r="C392" i="1"/>
  <c r="N391" i="1"/>
  <c r="M391" i="1"/>
  <c r="O391" i="1" s="1"/>
  <c r="D391" i="1"/>
  <c r="C391" i="1"/>
  <c r="N390" i="1"/>
  <c r="M390" i="1"/>
  <c r="O390" i="1" s="1"/>
  <c r="D390" i="1"/>
  <c r="C390" i="1"/>
  <c r="N389" i="1"/>
  <c r="M389" i="1"/>
  <c r="O389" i="1" s="1"/>
  <c r="D389" i="1"/>
  <c r="C389" i="1"/>
  <c r="N388" i="1"/>
  <c r="M388" i="1"/>
  <c r="O388" i="1" s="1"/>
  <c r="D388" i="1"/>
  <c r="C388" i="1"/>
  <c r="N387" i="1"/>
  <c r="O387" i="1" s="1"/>
  <c r="M387" i="1"/>
  <c r="D387" i="1"/>
  <c r="C387" i="1"/>
  <c r="N386" i="1"/>
  <c r="M386" i="1"/>
  <c r="D386" i="1"/>
  <c r="C386" i="1"/>
  <c r="N385" i="1"/>
  <c r="M385" i="1"/>
  <c r="D385" i="1"/>
  <c r="C385" i="1"/>
  <c r="N384" i="1"/>
  <c r="M384" i="1"/>
  <c r="D384" i="1"/>
  <c r="C384" i="1"/>
  <c r="O383" i="1"/>
  <c r="N383" i="1"/>
  <c r="M383" i="1"/>
  <c r="D383" i="1"/>
  <c r="C383" i="1"/>
  <c r="N382" i="1"/>
  <c r="M382" i="1"/>
  <c r="O382" i="1" s="1"/>
  <c r="D382" i="1"/>
  <c r="C382" i="1"/>
  <c r="N381" i="1"/>
  <c r="M381" i="1"/>
  <c r="O381" i="1" s="1"/>
  <c r="D381" i="1"/>
  <c r="C381" i="1"/>
  <c r="N380" i="1"/>
  <c r="M380" i="1"/>
  <c r="D380" i="1"/>
  <c r="C380" i="1"/>
  <c r="N379" i="1"/>
  <c r="M379" i="1"/>
  <c r="O379" i="1" s="1"/>
  <c r="D379" i="1"/>
  <c r="C379" i="1"/>
  <c r="N378" i="1"/>
  <c r="M378" i="1"/>
  <c r="O378" i="1" s="1"/>
  <c r="D378" i="1"/>
  <c r="C378" i="1"/>
  <c r="N377" i="1"/>
  <c r="M377" i="1"/>
  <c r="O377" i="1" s="1"/>
  <c r="D377" i="1"/>
  <c r="C377" i="1"/>
  <c r="N376" i="1"/>
  <c r="M376" i="1"/>
  <c r="D376" i="1"/>
  <c r="C376" i="1"/>
  <c r="N375" i="1"/>
  <c r="M375" i="1"/>
  <c r="O375" i="1" s="1"/>
  <c r="D375" i="1"/>
  <c r="C375" i="1"/>
  <c r="N374" i="1"/>
  <c r="M374" i="1"/>
  <c r="O374" i="1" s="1"/>
  <c r="D374" i="1"/>
  <c r="C374" i="1"/>
  <c r="N373" i="1"/>
  <c r="M373" i="1"/>
  <c r="O373" i="1" s="1"/>
  <c r="D373" i="1"/>
  <c r="C373" i="1"/>
  <c r="N372" i="1"/>
  <c r="M372" i="1"/>
  <c r="O372" i="1" s="1"/>
  <c r="D372" i="1"/>
  <c r="C372" i="1"/>
  <c r="N371" i="1"/>
  <c r="O371" i="1" s="1"/>
  <c r="M371" i="1"/>
  <c r="D371" i="1"/>
  <c r="C371" i="1"/>
  <c r="N370" i="1"/>
  <c r="M370" i="1"/>
  <c r="D370" i="1"/>
  <c r="C370" i="1"/>
  <c r="N369" i="1"/>
  <c r="M369" i="1"/>
  <c r="D369" i="1"/>
  <c r="C369" i="1"/>
  <c r="N368" i="1"/>
  <c r="M368" i="1"/>
  <c r="D368" i="1"/>
  <c r="C368" i="1"/>
  <c r="O367" i="1"/>
  <c r="N367" i="1"/>
  <c r="M367" i="1"/>
  <c r="D367" i="1"/>
  <c r="C367" i="1"/>
  <c r="N366" i="1"/>
  <c r="M366" i="1"/>
  <c r="O366" i="1" s="1"/>
  <c r="D366" i="1"/>
  <c r="C366" i="1"/>
  <c r="N365" i="1"/>
  <c r="M365" i="1"/>
  <c r="O365" i="1" s="1"/>
  <c r="D365" i="1"/>
  <c r="C365" i="1"/>
  <c r="N364" i="1"/>
  <c r="M364" i="1"/>
  <c r="D364" i="1"/>
  <c r="C364" i="1"/>
  <c r="N363" i="1"/>
  <c r="M363" i="1"/>
  <c r="O363" i="1" s="1"/>
  <c r="D363" i="1"/>
  <c r="C363" i="1"/>
  <c r="N362" i="1"/>
  <c r="M362" i="1"/>
  <c r="O362" i="1" s="1"/>
  <c r="D362" i="1"/>
  <c r="C362" i="1"/>
  <c r="N361" i="1"/>
  <c r="M361" i="1"/>
  <c r="D361" i="1"/>
  <c r="C361" i="1"/>
  <c r="N360" i="1"/>
  <c r="M360" i="1"/>
  <c r="O360" i="1" s="1"/>
  <c r="D360" i="1"/>
  <c r="C360" i="1"/>
  <c r="N359" i="1"/>
  <c r="M359" i="1"/>
  <c r="D359" i="1"/>
  <c r="C359" i="1"/>
  <c r="N358" i="1"/>
  <c r="M358" i="1"/>
  <c r="O358" i="1" s="1"/>
  <c r="D358" i="1"/>
  <c r="C358" i="1"/>
  <c r="N357" i="1"/>
  <c r="M357" i="1"/>
  <c r="O357" i="1" s="1"/>
  <c r="D357" i="1"/>
  <c r="C357" i="1"/>
  <c r="N356" i="1"/>
  <c r="M356" i="1"/>
  <c r="O356" i="1" s="1"/>
  <c r="D356" i="1"/>
  <c r="C356" i="1"/>
  <c r="N355" i="1"/>
  <c r="M355" i="1"/>
  <c r="D355" i="1"/>
  <c r="C355" i="1"/>
  <c r="N354" i="1"/>
  <c r="M354" i="1"/>
  <c r="O354" i="1" s="1"/>
  <c r="D354" i="1"/>
  <c r="C354" i="1"/>
  <c r="N353" i="1"/>
  <c r="M353" i="1"/>
  <c r="D353" i="1"/>
  <c r="C353" i="1"/>
  <c r="N352" i="1"/>
  <c r="O352" i="1" s="1"/>
  <c r="M352" i="1"/>
  <c r="D352" i="1"/>
  <c r="C352" i="1"/>
  <c r="N351" i="1"/>
  <c r="O351" i="1" s="1"/>
  <c r="M351" i="1"/>
  <c r="D351" i="1"/>
  <c r="C351" i="1"/>
  <c r="N350" i="1"/>
  <c r="M350" i="1"/>
  <c r="D350" i="1"/>
  <c r="C350" i="1"/>
  <c r="N349" i="1"/>
  <c r="M349" i="1"/>
  <c r="D349" i="1"/>
  <c r="C349" i="1"/>
  <c r="N348" i="1"/>
  <c r="M348" i="1"/>
  <c r="D348" i="1"/>
  <c r="C348" i="1"/>
  <c r="O347" i="1"/>
  <c r="N347" i="1"/>
  <c r="M347" i="1"/>
  <c r="D347" i="1"/>
  <c r="C347" i="1"/>
  <c r="N346" i="1"/>
  <c r="M346" i="1"/>
  <c r="O346" i="1" s="1"/>
  <c r="D346" i="1"/>
  <c r="C346" i="1"/>
  <c r="N345" i="1"/>
  <c r="M345" i="1"/>
  <c r="D345" i="1"/>
  <c r="C345" i="1"/>
  <c r="N344" i="1"/>
  <c r="M344" i="1"/>
  <c r="O344" i="1" s="1"/>
  <c r="D344" i="1"/>
  <c r="C344" i="1"/>
  <c r="N343" i="1"/>
  <c r="M343" i="1"/>
  <c r="D343" i="1"/>
  <c r="C343" i="1"/>
  <c r="N342" i="1"/>
  <c r="M342" i="1"/>
  <c r="O342" i="1" s="1"/>
  <c r="D342" i="1"/>
  <c r="C342" i="1"/>
  <c r="N341" i="1"/>
  <c r="M341" i="1"/>
  <c r="O341" i="1" s="1"/>
  <c r="D341" i="1"/>
  <c r="C341" i="1"/>
  <c r="N340" i="1"/>
  <c r="M340" i="1"/>
  <c r="O340" i="1" s="1"/>
  <c r="D340" i="1"/>
  <c r="C340" i="1"/>
  <c r="N339" i="1"/>
  <c r="M339" i="1"/>
  <c r="O339" i="1" s="1"/>
  <c r="D339" i="1"/>
  <c r="C339" i="1"/>
  <c r="N338" i="1"/>
  <c r="M338" i="1"/>
  <c r="O338" i="1" s="1"/>
  <c r="D338" i="1"/>
  <c r="C338" i="1"/>
  <c r="N337" i="1"/>
  <c r="O337" i="1" s="1"/>
  <c r="M337" i="1"/>
  <c r="D337" i="1"/>
  <c r="C337" i="1"/>
  <c r="N336" i="1"/>
  <c r="M336" i="1"/>
  <c r="D336" i="1"/>
  <c r="C336" i="1"/>
  <c r="N335" i="1"/>
  <c r="M335" i="1"/>
  <c r="D335" i="1"/>
  <c r="C335" i="1"/>
  <c r="N334" i="1"/>
  <c r="M334" i="1"/>
  <c r="D334" i="1"/>
  <c r="C334" i="1"/>
  <c r="O333" i="1"/>
  <c r="N333" i="1"/>
  <c r="M333" i="1"/>
  <c r="D333" i="1"/>
  <c r="C333" i="1"/>
  <c r="N332" i="1"/>
  <c r="M332" i="1"/>
  <c r="O332" i="1" s="1"/>
  <c r="D332" i="1"/>
  <c r="C332" i="1"/>
  <c r="N331" i="1"/>
  <c r="M331" i="1"/>
  <c r="O331" i="1" s="1"/>
  <c r="D331" i="1"/>
  <c r="C331" i="1"/>
  <c r="N330" i="1"/>
  <c r="M330" i="1"/>
  <c r="O330" i="1" s="1"/>
  <c r="D330" i="1"/>
  <c r="C330" i="1"/>
  <c r="N329" i="1"/>
  <c r="M329" i="1"/>
  <c r="O329" i="1" s="1"/>
  <c r="D329" i="1"/>
  <c r="C329" i="1"/>
  <c r="N328" i="1"/>
  <c r="M328" i="1"/>
  <c r="O328" i="1" s="1"/>
  <c r="D328" i="1"/>
  <c r="C328" i="1"/>
  <c r="N327" i="1"/>
  <c r="M327" i="1"/>
  <c r="O327" i="1" s="1"/>
  <c r="D327" i="1"/>
  <c r="C327" i="1"/>
  <c r="N326" i="1"/>
  <c r="M326" i="1"/>
  <c r="O326" i="1" s="1"/>
  <c r="D326" i="1"/>
  <c r="C326" i="1"/>
  <c r="N325" i="1"/>
  <c r="M325" i="1"/>
  <c r="O325" i="1" s="1"/>
  <c r="D325" i="1"/>
  <c r="C325" i="1"/>
  <c r="N324" i="1"/>
  <c r="M324" i="1"/>
  <c r="O324" i="1" s="1"/>
  <c r="D324" i="1"/>
  <c r="C324" i="1"/>
  <c r="N323" i="1"/>
  <c r="M323" i="1"/>
  <c r="O323" i="1" s="1"/>
  <c r="D323" i="1"/>
  <c r="C323" i="1"/>
  <c r="N322" i="1"/>
  <c r="M322" i="1"/>
  <c r="O322" i="1" s="1"/>
  <c r="D322" i="1"/>
  <c r="C322" i="1"/>
  <c r="N321" i="1"/>
  <c r="O321" i="1" s="1"/>
  <c r="M321" i="1"/>
  <c r="D321" i="1"/>
  <c r="C321" i="1"/>
  <c r="N320" i="1"/>
  <c r="M320" i="1"/>
  <c r="D320" i="1"/>
  <c r="C320" i="1"/>
  <c r="N319" i="1"/>
  <c r="M319" i="1"/>
  <c r="D319" i="1"/>
  <c r="C319" i="1"/>
  <c r="N318" i="1"/>
  <c r="M318" i="1"/>
  <c r="D318" i="1"/>
  <c r="C318" i="1"/>
  <c r="O317" i="1"/>
  <c r="N317" i="1"/>
  <c r="M317" i="1"/>
  <c r="D317" i="1"/>
  <c r="C317" i="1"/>
  <c r="N316" i="1"/>
  <c r="M316" i="1"/>
  <c r="O316" i="1" s="1"/>
  <c r="D316" i="1"/>
  <c r="C316" i="1"/>
  <c r="N315" i="1"/>
  <c r="M315" i="1"/>
  <c r="O315" i="1" s="1"/>
  <c r="D315" i="1"/>
  <c r="C315" i="1"/>
  <c r="N314" i="1"/>
  <c r="M314" i="1"/>
  <c r="O314" i="1" s="1"/>
  <c r="D314" i="1"/>
  <c r="C314" i="1"/>
  <c r="N313" i="1"/>
  <c r="M313" i="1"/>
  <c r="O313" i="1" s="1"/>
  <c r="D313" i="1"/>
  <c r="C313" i="1"/>
  <c r="N312" i="1"/>
  <c r="M312" i="1"/>
  <c r="O312" i="1" s="1"/>
  <c r="D312" i="1"/>
  <c r="C312" i="1"/>
  <c r="N311" i="1"/>
  <c r="M311" i="1"/>
  <c r="O311" i="1" s="1"/>
  <c r="D311" i="1"/>
  <c r="C311" i="1"/>
  <c r="N310" i="1"/>
  <c r="M310" i="1"/>
  <c r="O310" i="1" s="1"/>
  <c r="D310" i="1"/>
  <c r="C310" i="1"/>
  <c r="N309" i="1"/>
  <c r="M309" i="1"/>
  <c r="O309" i="1" s="1"/>
  <c r="D309" i="1"/>
  <c r="C309" i="1"/>
  <c r="N308" i="1"/>
  <c r="M308" i="1"/>
  <c r="O308" i="1" s="1"/>
  <c r="D308" i="1"/>
  <c r="C308" i="1"/>
  <c r="N307" i="1"/>
  <c r="M307" i="1"/>
  <c r="O307" i="1" s="1"/>
  <c r="D307" i="1"/>
  <c r="C307" i="1"/>
  <c r="N306" i="1"/>
  <c r="M306" i="1"/>
  <c r="O306" i="1" s="1"/>
  <c r="D306" i="1"/>
  <c r="C306" i="1"/>
  <c r="N305" i="1"/>
  <c r="O305" i="1" s="1"/>
  <c r="M305" i="1"/>
  <c r="D305" i="1"/>
  <c r="C305" i="1"/>
  <c r="N304" i="1"/>
  <c r="M304" i="1"/>
  <c r="D304" i="1"/>
  <c r="C304" i="1"/>
  <c r="N303" i="1"/>
  <c r="M303" i="1"/>
  <c r="D303" i="1"/>
  <c r="C303" i="1"/>
  <c r="N302" i="1"/>
  <c r="M302" i="1"/>
  <c r="D302" i="1"/>
  <c r="C302" i="1"/>
  <c r="O301" i="1"/>
  <c r="N301" i="1"/>
  <c r="M301" i="1"/>
  <c r="D301" i="1"/>
  <c r="C301" i="1"/>
  <c r="N300" i="1"/>
  <c r="M300" i="1"/>
  <c r="O300" i="1" s="1"/>
  <c r="D300" i="1"/>
  <c r="C300" i="1"/>
  <c r="N299" i="1"/>
  <c r="M299" i="1"/>
  <c r="O299" i="1" s="1"/>
  <c r="D299" i="1"/>
  <c r="C299" i="1"/>
  <c r="N298" i="1"/>
  <c r="M298" i="1"/>
  <c r="O298" i="1" s="1"/>
  <c r="D298" i="1"/>
  <c r="C298" i="1"/>
  <c r="N297" i="1"/>
  <c r="M297" i="1"/>
  <c r="O297" i="1" s="1"/>
  <c r="D297" i="1"/>
  <c r="C297" i="1"/>
  <c r="N296" i="1"/>
  <c r="M296" i="1"/>
  <c r="O296" i="1" s="1"/>
  <c r="D296" i="1"/>
  <c r="C296" i="1"/>
  <c r="N295" i="1"/>
  <c r="M295" i="1"/>
  <c r="O295" i="1" s="1"/>
  <c r="D295" i="1"/>
  <c r="C295" i="1"/>
  <c r="N294" i="1"/>
  <c r="M294" i="1"/>
  <c r="O294" i="1" s="1"/>
  <c r="D294" i="1"/>
  <c r="C294" i="1"/>
  <c r="N293" i="1"/>
  <c r="M293" i="1"/>
  <c r="O293" i="1" s="1"/>
  <c r="D293" i="1"/>
  <c r="C293" i="1"/>
  <c r="N292" i="1"/>
  <c r="M292" i="1"/>
  <c r="O292" i="1" s="1"/>
  <c r="D292" i="1"/>
  <c r="C292" i="1"/>
  <c r="N291" i="1"/>
  <c r="M291" i="1"/>
  <c r="O291" i="1" s="1"/>
  <c r="D291" i="1"/>
  <c r="C291" i="1"/>
  <c r="N290" i="1"/>
  <c r="M290" i="1"/>
  <c r="O290" i="1" s="1"/>
  <c r="D290" i="1"/>
  <c r="C290" i="1"/>
  <c r="N289" i="1"/>
  <c r="O289" i="1" s="1"/>
  <c r="M289" i="1"/>
  <c r="D289" i="1"/>
  <c r="C289" i="1"/>
  <c r="O288" i="1"/>
  <c r="N288" i="1"/>
  <c r="M288" i="1"/>
  <c r="D288" i="1"/>
  <c r="C288" i="1"/>
  <c r="N287" i="1"/>
  <c r="M287" i="1"/>
  <c r="D287" i="1"/>
  <c r="C287" i="1"/>
  <c r="N286" i="1"/>
  <c r="M286" i="1"/>
  <c r="D286" i="1"/>
  <c r="C286" i="1"/>
  <c r="N285" i="1"/>
  <c r="M285" i="1"/>
  <c r="O285" i="1" s="1"/>
  <c r="D285" i="1"/>
  <c r="C285" i="1"/>
  <c r="N284" i="1"/>
  <c r="M284" i="1"/>
  <c r="O284" i="1" s="1"/>
  <c r="D284" i="1"/>
  <c r="C284" i="1"/>
  <c r="N283" i="1"/>
  <c r="M283" i="1"/>
  <c r="O283" i="1" s="1"/>
  <c r="D283" i="1"/>
  <c r="C283" i="1"/>
  <c r="N282" i="1"/>
  <c r="M282" i="1"/>
  <c r="O282" i="1" s="1"/>
  <c r="D282" i="1"/>
  <c r="C282" i="1"/>
  <c r="N281" i="1"/>
  <c r="O281" i="1" s="1"/>
  <c r="M281" i="1"/>
  <c r="D281" i="1"/>
  <c r="C281" i="1"/>
  <c r="O280" i="1"/>
  <c r="N280" i="1"/>
  <c r="M280" i="1"/>
  <c r="D280" i="1"/>
  <c r="C280" i="1"/>
  <c r="N279" i="1"/>
  <c r="M279" i="1"/>
  <c r="D279" i="1"/>
  <c r="C279" i="1"/>
  <c r="N278" i="1"/>
  <c r="M278" i="1"/>
  <c r="D278" i="1"/>
  <c r="C278" i="1"/>
  <c r="N277" i="1"/>
  <c r="M277" i="1"/>
  <c r="O277" i="1" s="1"/>
  <c r="D277" i="1"/>
  <c r="C277" i="1"/>
  <c r="N276" i="1"/>
  <c r="M276" i="1"/>
  <c r="O276" i="1" s="1"/>
  <c r="D276" i="1"/>
  <c r="C276" i="1"/>
  <c r="N275" i="1"/>
  <c r="M275" i="1"/>
  <c r="O275" i="1" s="1"/>
  <c r="D275" i="1"/>
  <c r="C275" i="1"/>
  <c r="N274" i="1"/>
  <c r="M274" i="1"/>
  <c r="O274" i="1" s="1"/>
  <c r="D274" i="1"/>
  <c r="C274" i="1"/>
  <c r="N273" i="1"/>
  <c r="O273" i="1" s="1"/>
  <c r="M273" i="1"/>
  <c r="D273" i="1"/>
  <c r="C273" i="1"/>
  <c r="O272" i="1"/>
  <c r="N272" i="1"/>
  <c r="M272" i="1"/>
  <c r="D272" i="1"/>
  <c r="C272" i="1"/>
  <c r="N271" i="1"/>
  <c r="M271" i="1"/>
  <c r="D271" i="1"/>
  <c r="C271" i="1"/>
  <c r="N270" i="1"/>
  <c r="M270" i="1"/>
  <c r="D270" i="1"/>
  <c r="C270" i="1"/>
  <c r="N269" i="1"/>
  <c r="M269" i="1"/>
  <c r="O269" i="1" s="1"/>
  <c r="D269" i="1"/>
  <c r="C269" i="1"/>
  <c r="N268" i="1"/>
  <c r="M268" i="1"/>
  <c r="O268" i="1" s="1"/>
  <c r="D268" i="1"/>
  <c r="C268" i="1"/>
  <c r="N267" i="1"/>
  <c r="M267" i="1"/>
  <c r="O267" i="1" s="1"/>
  <c r="D267" i="1"/>
  <c r="C267" i="1"/>
  <c r="N266" i="1"/>
  <c r="M266" i="1"/>
  <c r="O266" i="1" s="1"/>
  <c r="D266" i="1"/>
  <c r="C266" i="1"/>
  <c r="N265" i="1"/>
  <c r="O265" i="1" s="1"/>
  <c r="M265" i="1"/>
  <c r="D265" i="1"/>
  <c r="C265" i="1"/>
  <c r="O264" i="1"/>
  <c r="N264" i="1"/>
  <c r="M264" i="1"/>
  <c r="D264" i="1"/>
  <c r="C264" i="1"/>
  <c r="N263" i="1"/>
  <c r="M263" i="1"/>
  <c r="D263" i="1"/>
  <c r="C263" i="1"/>
  <c r="N262" i="1"/>
  <c r="M262" i="1"/>
  <c r="D262" i="1"/>
  <c r="C262" i="1"/>
  <c r="N261" i="1"/>
  <c r="M261" i="1"/>
  <c r="O261" i="1" s="1"/>
  <c r="D261" i="1"/>
  <c r="C261" i="1"/>
  <c r="N260" i="1"/>
  <c r="M260" i="1"/>
  <c r="O260" i="1" s="1"/>
  <c r="D260" i="1"/>
  <c r="C260" i="1"/>
  <c r="N259" i="1"/>
  <c r="M259" i="1"/>
  <c r="O259" i="1" s="1"/>
  <c r="D259" i="1"/>
  <c r="C259" i="1"/>
  <c r="N258" i="1"/>
  <c r="M258" i="1"/>
  <c r="O258" i="1" s="1"/>
  <c r="D258" i="1"/>
  <c r="C258" i="1"/>
  <c r="N257" i="1"/>
  <c r="O257" i="1" s="1"/>
  <c r="M257" i="1"/>
  <c r="D257" i="1"/>
  <c r="C257" i="1"/>
  <c r="O256" i="1"/>
  <c r="N256" i="1"/>
  <c r="M256" i="1"/>
  <c r="D256" i="1"/>
  <c r="C256" i="1"/>
  <c r="N255" i="1"/>
  <c r="M255" i="1"/>
  <c r="D255" i="1"/>
  <c r="C255" i="1"/>
  <c r="N254" i="1"/>
  <c r="M254" i="1"/>
  <c r="D254" i="1"/>
  <c r="C254" i="1"/>
  <c r="N253" i="1"/>
  <c r="M253" i="1"/>
  <c r="O253" i="1" s="1"/>
  <c r="D253" i="1"/>
  <c r="C253" i="1"/>
  <c r="N252" i="1"/>
  <c r="M252" i="1"/>
  <c r="O252" i="1" s="1"/>
  <c r="D252" i="1"/>
  <c r="C252" i="1"/>
  <c r="N251" i="1"/>
  <c r="M251" i="1"/>
  <c r="O251" i="1" s="1"/>
  <c r="D251" i="1"/>
  <c r="C251" i="1"/>
  <c r="N250" i="1"/>
  <c r="M250" i="1"/>
  <c r="O250" i="1" s="1"/>
  <c r="D250" i="1"/>
  <c r="C250" i="1"/>
  <c r="N249" i="1"/>
  <c r="O249" i="1" s="1"/>
  <c r="M249" i="1"/>
  <c r="D249" i="1"/>
  <c r="C249" i="1"/>
  <c r="N248" i="1"/>
  <c r="M248" i="1"/>
  <c r="D248" i="1"/>
  <c r="C248" i="1"/>
  <c r="N247" i="1"/>
  <c r="M247" i="1"/>
  <c r="D247" i="1"/>
  <c r="C247" i="1"/>
  <c r="N246" i="1"/>
  <c r="M246" i="1"/>
  <c r="D246" i="1"/>
  <c r="C246" i="1"/>
  <c r="O245" i="1"/>
  <c r="N245" i="1"/>
  <c r="M245" i="1"/>
  <c r="D245" i="1"/>
  <c r="C245" i="1"/>
  <c r="N244" i="1"/>
  <c r="M244" i="1"/>
  <c r="O244" i="1" s="1"/>
  <c r="D244" i="1"/>
  <c r="C244" i="1"/>
  <c r="N243" i="1"/>
  <c r="M243" i="1"/>
  <c r="O243" i="1" s="1"/>
  <c r="D243" i="1"/>
  <c r="C243" i="1"/>
  <c r="N242" i="1"/>
  <c r="M242" i="1"/>
  <c r="D242" i="1"/>
  <c r="C242" i="1"/>
  <c r="N241" i="1"/>
  <c r="M241" i="1"/>
  <c r="O241" i="1" s="1"/>
  <c r="D241" i="1"/>
  <c r="C241" i="1"/>
  <c r="N240" i="1"/>
  <c r="M240" i="1"/>
  <c r="O240" i="1" s="1"/>
  <c r="D240" i="1"/>
  <c r="C240" i="1"/>
  <c r="N239" i="1"/>
  <c r="M239" i="1"/>
  <c r="O239" i="1" s="1"/>
  <c r="D239" i="1"/>
  <c r="C239" i="1"/>
  <c r="N238" i="1"/>
  <c r="M238" i="1"/>
  <c r="O238" i="1" s="1"/>
  <c r="D238" i="1"/>
  <c r="C238" i="1"/>
  <c r="N237" i="1"/>
  <c r="M237" i="1"/>
  <c r="O237" i="1" s="1"/>
  <c r="D237" i="1"/>
  <c r="C237" i="1"/>
  <c r="N236" i="1"/>
  <c r="M236" i="1"/>
  <c r="O236" i="1" s="1"/>
  <c r="D236" i="1"/>
  <c r="C236" i="1"/>
  <c r="N235" i="1"/>
  <c r="M235" i="1"/>
  <c r="O235" i="1" s="1"/>
  <c r="D235" i="1"/>
  <c r="C235" i="1"/>
  <c r="N234" i="1"/>
  <c r="M234" i="1"/>
  <c r="O234" i="1" s="1"/>
  <c r="D234" i="1"/>
  <c r="C234" i="1"/>
  <c r="N233" i="1"/>
  <c r="O233" i="1" s="1"/>
  <c r="M233" i="1"/>
  <c r="D233" i="1"/>
  <c r="C233" i="1"/>
  <c r="N232" i="1"/>
  <c r="M232" i="1"/>
  <c r="D232" i="1"/>
  <c r="C232" i="1"/>
  <c r="N231" i="1"/>
  <c r="M231" i="1"/>
  <c r="D231" i="1"/>
  <c r="C231" i="1"/>
  <c r="N230" i="1"/>
  <c r="M230" i="1"/>
  <c r="D230" i="1"/>
  <c r="C230" i="1"/>
  <c r="O229" i="1"/>
  <c r="N229" i="1"/>
  <c r="M229" i="1"/>
  <c r="D229" i="1"/>
  <c r="C229" i="1"/>
  <c r="N228" i="1"/>
  <c r="M228" i="1"/>
  <c r="O228" i="1" s="1"/>
  <c r="D228" i="1"/>
  <c r="C228" i="1"/>
  <c r="N227" i="1"/>
  <c r="M227" i="1"/>
  <c r="O227" i="1" s="1"/>
  <c r="D227" i="1"/>
  <c r="C227" i="1"/>
  <c r="N226" i="1"/>
  <c r="M226" i="1"/>
  <c r="D226" i="1"/>
  <c r="C226" i="1"/>
  <c r="N225" i="1"/>
  <c r="M225" i="1"/>
  <c r="O225" i="1" s="1"/>
  <c r="D225" i="1"/>
  <c r="C225" i="1"/>
  <c r="N224" i="1"/>
  <c r="M224" i="1"/>
  <c r="O224" i="1" s="1"/>
  <c r="D224" i="1"/>
  <c r="C224" i="1"/>
  <c r="N223" i="1"/>
  <c r="M223" i="1"/>
  <c r="O223" i="1" s="1"/>
  <c r="D223" i="1"/>
  <c r="C223" i="1"/>
  <c r="N222" i="1"/>
  <c r="M222" i="1"/>
  <c r="O222" i="1" s="1"/>
  <c r="D222" i="1"/>
  <c r="C222" i="1"/>
  <c r="N221" i="1"/>
  <c r="M221" i="1"/>
  <c r="O221" i="1" s="1"/>
  <c r="D221" i="1"/>
  <c r="C221" i="1"/>
  <c r="N220" i="1"/>
  <c r="M220" i="1"/>
  <c r="O220" i="1" s="1"/>
  <c r="D220" i="1"/>
  <c r="C220" i="1"/>
  <c r="N219" i="1"/>
  <c r="M219" i="1"/>
  <c r="O219" i="1" s="1"/>
  <c r="D219" i="1"/>
  <c r="C219" i="1"/>
  <c r="N218" i="1"/>
  <c r="M218" i="1"/>
  <c r="O218" i="1" s="1"/>
  <c r="D218" i="1"/>
  <c r="C218" i="1"/>
  <c r="N217" i="1"/>
  <c r="O217" i="1" s="1"/>
  <c r="M217" i="1"/>
  <c r="D217" i="1"/>
  <c r="C217" i="1"/>
  <c r="N216" i="1"/>
  <c r="M216" i="1"/>
  <c r="D216" i="1"/>
  <c r="C216" i="1"/>
  <c r="N215" i="1"/>
  <c r="M215" i="1"/>
  <c r="D215" i="1"/>
  <c r="C215" i="1"/>
  <c r="N214" i="1"/>
  <c r="M214" i="1"/>
  <c r="D214" i="1"/>
  <c r="C214" i="1"/>
  <c r="O213" i="1"/>
  <c r="N213" i="1"/>
  <c r="M213" i="1"/>
  <c r="D213" i="1"/>
  <c r="C213" i="1"/>
  <c r="N212" i="1"/>
  <c r="M212" i="1"/>
  <c r="O212" i="1" s="1"/>
  <c r="D212" i="1"/>
  <c r="C212" i="1"/>
  <c r="N211" i="1"/>
  <c r="M211" i="1"/>
  <c r="O211" i="1" s="1"/>
  <c r="D211" i="1"/>
  <c r="C211" i="1"/>
  <c r="N210" i="1"/>
  <c r="M210" i="1"/>
  <c r="D210" i="1"/>
  <c r="C210" i="1"/>
  <c r="N209" i="1"/>
  <c r="M209" i="1"/>
  <c r="O209" i="1" s="1"/>
  <c r="D209" i="1"/>
  <c r="C209" i="1"/>
  <c r="N208" i="1"/>
  <c r="M208" i="1"/>
  <c r="O208" i="1" s="1"/>
  <c r="D208" i="1"/>
  <c r="C208" i="1"/>
  <c r="N207" i="1"/>
  <c r="M207" i="1"/>
  <c r="O207" i="1" s="1"/>
  <c r="D207" i="1"/>
  <c r="C207" i="1"/>
  <c r="N206" i="1"/>
  <c r="M206" i="1"/>
  <c r="O206" i="1" s="1"/>
  <c r="D206" i="1"/>
  <c r="C206" i="1"/>
  <c r="N205" i="1"/>
  <c r="M205" i="1"/>
  <c r="O205" i="1" s="1"/>
  <c r="D205" i="1"/>
  <c r="C205" i="1"/>
  <c r="N204" i="1"/>
  <c r="M204" i="1"/>
  <c r="O204" i="1" s="1"/>
  <c r="D204" i="1"/>
  <c r="C204" i="1"/>
  <c r="N203" i="1"/>
  <c r="M203" i="1"/>
  <c r="O203" i="1" s="1"/>
  <c r="D203" i="1"/>
  <c r="C203" i="1"/>
  <c r="N202" i="1"/>
  <c r="M202" i="1"/>
  <c r="O202" i="1" s="1"/>
  <c r="D202" i="1"/>
  <c r="C202" i="1"/>
  <c r="N201" i="1"/>
  <c r="O201" i="1" s="1"/>
  <c r="M201" i="1"/>
  <c r="D201" i="1"/>
  <c r="C201" i="1"/>
  <c r="N200" i="1"/>
  <c r="M200" i="1"/>
  <c r="D200" i="1"/>
  <c r="C200" i="1"/>
  <c r="N199" i="1"/>
  <c r="M199" i="1"/>
  <c r="D199" i="1"/>
  <c r="C199" i="1"/>
  <c r="N198" i="1"/>
  <c r="M198" i="1"/>
  <c r="D198" i="1"/>
  <c r="C198" i="1"/>
  <c r="O197" i="1"/>
  <c r="N197" i="1"/>
  <c r="M197" i="1"/>
  <c r="D197" i="1"/>
  <c r="C197" i="1"/>
  <c r="N196" i="1"/>
  <c r="M196" i="1"/>
  <c r="O196" i="1" s="1"/>
  <c r="D196" i="1"/>
  <c r="C196" i="1"/>
  <c r="N195" i="1"/>
  <c r="M195" i="1"/>
  <c r="O195" i="1" s="1"/>
  <c r="D195" i="1"/>
  <c r="C195" i="1"/>
  <c r="N194" i="1"/>
  <c r="M194" i="1"/>
  <c r="D194" i="1"/>
  <c r="C194" i="1"/>
  <c r="N193" i="1"/>
  <c r="M193" i="1"/>
  <c r="O193" i="1" s="1"/>
  <c r="D193" i="1"/>
  <c r="C193" i="1"/>
  <c r="N192" i="1"/>
  <c r="M192" i="1"/>
  <c r="O192" i="1" s="1"/>
  <c r="D192" i="1"/>
  <c r="C192" i="1"/>
  <c r="N191" i="1"/>
  <c r="M191" i="1"/>
  <c r="O191" i="1" s="1"/>
  <c r="D191" i="1"/>
  <c r="C191" i="1"/>
  <c r="N190" i="1"/>
  <c r="M190" i="1"/>
  <c r="D190" i="1"/>
  <c r="C190" i="1"/>
  <c r="N189" i="1"/>
  <c r="M189" i="1"/>
  <c r="O189" i="1" s="1"/>
  <c r="D189" i="1"/>
  <c r="C189" i="1"/>
  <c r="N188" i="1"/>
  <c r="M188" i="1"/>
  <c r="O188" i="1" s="1"/>
  <c r="D188" i="1"/>
  <c r="C188" i="1"/>
  <c r="N187" i="1"/>
  <c r="M187" i="1"/>
  <c r="O187" i="1" s="1"/>
  <c r="D187" i="1"/>
  <c r="C187" i="1"/>
  <c r="N186" i="1"/>
  <c r="M186" i="1"/>
  <c r="D186" i="1"/>
  <c r="C186" i="1"/>
  <c r="N185" i="1"/>
  <c r="O185" i="1" s="1"/>
  <c r="M185" i="1"/>
  <c r="D185" i="1"/>
  <c r="C185" i="1"/>
  <c r="N184" i="1"/>
  <c r="M184" i="1"/>
  <c r="D184" i="1"/>
  <c r="C184" i="1"/>
  <c r="N183" i="1"/>
  <c r="M183" i="1"/>
  <c r="D183" i="1"/>
  <c r="C183" i="1"/>
  <c r="N182" i="1"/>
  <c r="O182" i="1" s="1"/>
  <c r="M182" i="1"/>
  <c r="D182" i="1"/>
  <c r="C182" i="1"/>
  <c r="O181" i="1"/>
  <c r="N181" i="1"/>
  <c r="M181" i="1"/>
  <c r="D181" i="1"/>
  <c r="C181" i="1"/>
  <c r="N180" i="1"/>
  <c r="M180" i="1"/>
  <c r="O180" i="1" s="1"/>
  <c r="D180" i="1"/>
  <c r="C180" i="1"/>
  <c r="N179" i="1"/>
  <c r="M179" i="1"/>
  <c r="O179" i="1" s="1"/>
  <c r="D179" i="1"/>
  <c r="C179" i="1"/>
  <c r="N178" i="1"/>
  <c r="M178" i="1"/>
  <c r="D178" i="1"/>
  <c r="C178" i="1"/>
  <c r="N177" i="1"/>
  <c r="M177" i="1"/>
  <c r="O177" i="1" s="1"/>
  <c r="D177" i="1"/>
  <c r="C177" i="1"/>
  <c r="N176" i="1"/>
  <c r="M176" i="1"/>
  <c r="O176" i="1" s="1"/>
  <c r="D176" i="1"/>
  <c r="C176" i="1"/>
  <c r="N175" i="1"/>
  <c r="M175" i="1"/>
  <c r="O175" i="1" s="1"/>
  <c r="D175" i="1"/>
  <c r="C175" i="1"/>
  <c r="N174" i="1"/>
  <c r="M174" i="1"/>
  <c r="D174" i="1"/>
  <c r="C174" i="1"/>
  <c r="N173" i="1"/>
  <c r="M173" i="1"/>
  <c r="O173" i="1" s="1"/>
  <c r="D173" i="1"/>
  <c r="C173" i="1"/>
  <c r="N172" i="1"/>
  <c r="M172" i="1"/>
  <c r="O172" i="1" s="1"/>
  <c r="D172" i="1"/>
  <c r="C172" i="1"/>
  <c r="N171" i="1"/>
  <c r="M171" i="1"/>
  <c r="O171" i="1" s="1"/>
  <c r="D171" i="1"/>
  <c r="C171" i="1"/>
  <c r="N170" i="1"/>
  <c r="M170" i="1"/>
  <c r="D170" i="1"/>
  <c r="C170" i="1"/>
  <c r="N169" i="1"/>
  <c r="O169" i="1" s="1"/>
  <c r="M169" i="1"/>
  <c r="D169" i="1"/>
  <c r="C169" i="1"/>
  <c r="N168" i="1"/>
  <c r="M168" i="1"/>
  <c r="D168" i="1"/>
  <c r="C168" i="1"/>
  <c r="N167" i="1"/>
  <c r="M167" i="1"/>
  <c r="D167" i="1"/>
  <c r="C167" i="1"/>
  <c r="N166" i="1"/>
  <c r="O166" i="1" s="1"/>
  <c r="M166" i="1"/>
  <c r="D166" i="1"/>
  <c r="C166" i="1"/>
  <c r="O165" i="1"/>
  <c r="N165" i="1"/>
  <c r="M165" i="1"/>
  <c r="D165" i="1"/>
  <c r="C165" i="1"/>
  <c r="N164" i="1"/>
  <c r="M164" i="1"/>
  <c r="O164" i="1" s="1"/>
  <c r="D164" i="1"/>
  <c r="C164" i="1"/>
  <c r="N163" i="1"/>
  <c r="M163" i="1"/>
  <c r="O163" i="1" s="1"/>
  <c r="D163" i="1"/>
  <c r="C163" i="1"/>
  <c r="N162" i="1"/>
  <c r="M162" i="1"/>
  <c r="D162" i="1"/>
  <c r="C162" i="1"/>
  <c r="N161" i="1"/>
  <c r="M161" i="1"/>
  <c r="O161" i="1" s="1"/>
  <c r="D161" i="1"/>
  <c r="C161" i="1"/>
  <c r="N160" i="1"/>
  <c r="M160" i="1"/>
  <c r="O160" i="1" s="1"/>
  <c r="D160" i="1"/>
  <c r="C160" i="1"/>
  <c r="N159" i="1"/>
  <c r="M159" i="1"/>
  <c r="O159" i="1" s="1"/>
  <c r="D159" i="1"/>
  <c r="C159" i="1"/>
  <c r="N158" i="1"/>
  <c r="M158" i="1"/>
  <c r="D158" i="1"/>
  <c r="C158" i="1"/>
  <c r="N157" i="1"/>
  <c r="M157" i="1"/>
  <c r="O157" i="1" s="1"/>
  <c r="D157" i="1"/>
  <c r="C157" i="1"/>
  <c r="N156" i="1"/>
  <c r="M156" i="1"/>
  <c r="O156" i="1" s="1"/>
  <c r="D156" i="1"/>
  <c r="C156" i="1"/>
  <c r="N155" i="1"/>
  <c r="M155" i="1"/>
  <c r="O155" i="1" s="1"/>
  <c r="D155" i="1"/>
  <c r="C155" i="1"/>
  <c r="N154" i="1"/>
  <c r="M154" i="1"/>
  <c r="D154" i="1"/>
  <c r="C154" i="1"/>
  <c r="N153" i="1"/>
  <c r="O153" i="1" s="1"/>
  <c r="M153" i="1"/>
  <c r="D153" i="1"/>
  <c r="C153" i="1"/>
  <c r="N152" i="1"/>
  <c r="M152" i="1"/>
  <c r="D152" i="1"/>
  <c r="C152" i="1"/>
  <c r="N151" i="1"/>
  <c r="M151" i="1"/>
  <c r="D151" i="1"/>
  <c r="C151" i="1"/>
  <c r="N150" i="1"/>
  <c r="O150" i="1" s="1"/>
  <c r="M150" i="1"/>
  <c r="D150" i="1"/>
  <c r="C150" i="1"/>
  <c r="O149" i="1"/>
  <c r="N149" i="1"/>
  <c r="M149" i="1"/>
  <c r="D149" i="1"/>
  <c r="C149" i="1"/>
  <c r="N148" i="1"/>
  <c r="M148" i="1"/>
  <c r="O148" i="1" s="1"/>
  <c r="D148" i="1"/>
  <c r="C148" i="1"/>
  <c r="N147" i="1"/>
  <c r="M147" i="1"/>
  <c r="O147" i="1" s="1"/>
  <c r="D147" i="1"/>
  <c r="C147" i="1"/>
  <c r="N146" i="1"/>
  <c r="M146" i="1"/>
  <c r="D146" i="1"/>
  <c r="C146" i="1"/>
  <c r="N145" i="1"/>
  <c r="M145" i="1"/>
  <c r="O145" i="1" s="1"/>
  <c r="D145" i="1"/>
  <c r="C145" i="1"/>
  <c r="N144" i="1"/>
  <c r="M144" i="1"/>
  <c r="O144" i="1" s="1"/>
  <c r="D144" i="1"/>
  <c r="C144" i="1"/>
  <c r="N143" i="1"/>
  <c r="M143" i="1"/>
  <c r="O143" i="1" s="1"/>
  <c r="D143" i="1"/>
  <c r="C143" i="1"/>
  <c r="N142" i="1"/>
  <c r="M142" i="1"/>
  <c r="D142" i="1"/>
  <c r="C142" i="1"/>
  <c r="N141" i="1"/>
  <c r="M141" i="1"/>
  <c r="O141" i="1" s="1"/>
  <c r="D141" i="1"/>
  <c r="C141" i="1"/>
  <c r="N140" i="1"/>
  <c r="M140" i="1"/>
  <c r="O140" i="1" s="1"/>
  <c r="D140" i="1"/>
  <c r="C140" i="1"/>
  <c r="N139" i="1"/>
  <c r="M139" i="1"/>
  <c r="O139" i="1" s="1"/>
  <c r="D139" i="1"/>
  <c r="C139" i="1"/>
  <c r="N138" i="1"/>
  <c r="M138" i="1"/>
  <c r="D138" i="1"/>
  <c r="C138" i="1"/>
  <c r="N137" i="1"/>
  <c r="O137" i="1" s="1"/>
  <c r="M137" i="1"/>
  <c r="D137" i="1"/>
  <c r="C137" i="1"/>
  <c r="N136" i="1"/>
  <c r="M136" i="1"/>
  <c r="D136" i="1"/>
  <c r="C136" i="1"/>
  <c r="N135" i="1"/>
  <c r="M135" i="1"/>
  <c r="D135" i="1"/>
  <c r="C135" i="1"/>
  <c r="N134" i="1"/>
  <c r="O134" i="1" s="1"/>
  <c r="M134" i="1"/>
  <c r="D134" i="1"/>
  <c r="C134" i="1"/>
  <c r="O133" i="1"/>
  <c r="N133" i="1"/>
  <c r="M133" i="1"/>
  <c r="D133" i="1"/>
  <c r="C133" i="1"/>
  <c r="N132" i="1"/>
  <c r="M132" i="1"/>
  <c r="O132" i="1" s="1"/>
  <c r="D132" i="1"/>
  <c r="C132" i="1"/>
  <c r="N131" i="1"/>
  <c r="M131" i="1"/>
  <c r="O131" i="1" s="1"/>
  <c r="D131" i="1"/>
  <c r="C131" i="1"/>
  <c r="N130" i="1"/>
  <c r="M130" i="1"/>
  <c r="D130" i="1"/>
  <c r="C130" i="1"/>
  <c r="N129" i="1"/>
  <c r="M129" i="1"/>
  <c r="O129" i="1" s="1"/>
  <c r="D129" i="1"/>
  <c r="C129" i="1"/>
  <c r="N128" i="1"/>
  <c r="M128" i="1"/>
  <c r="O128" i="1" s="1"/>
  <c r="D128" i="1"/>
  <c r="C128" i="1"/>
  <c r="N127" i="1"/>
  <c r="M127" i="1"/>
  <c r="O127" i="1" s="1"/>
  <c r="D127" i="1"/>
  <c r="C127" i="1"/>
  <c r="N126" i="1"/>
  <c r="M126" i="1"/>
  <c r="O126" i="1" s="1"/>
  <c r="D126" i="1"/>
  <c r="C126" i="1"/>
  <c r="N125" i="1"/>
  <c r="M125" i="1"/>
  <c r="D125" i="1"/>
  <c r="C125" i="1"/>
  <c r="N124" i="1"/>
  <c r="O124" i="1" s="1"/>
  <c r="M124" i="1"/>
  <c r="D124" i="1"/>
  <c r="C124" i="1"/>
  <c r="N123" i="1"/>
  <c r="M123" i="1"/>
  <c r="D123" i="1"/>
  <c r="C123" i="1"/>
  <c r="N122" i="1"/>
  <c r="M122" i="1"/>
  <c r="D122" i="1"/>
  <c r="C122" i="1"/>
  <c r="O121" i="1"/>
  <c r="N121" i="1"/>
  <c r="M121" i="1"/>
  <c r="D121" i="1"/>
  <c r="C121" i="1"/>
  <c r="N120" i="1"/>
  <c r="M120" i="1"/>
  <c r="O120" i="1" s="1"/>
  <c r="D120" i="1"/>
  <c r="C120" i="1"/>
  <c r="N119" i="1"/>
  <c r="M119" i="1"/>
  <c r="O119" i="1" s="1"/>
  <c r="D119" i="1"/>
  <c r="C119" i="1"/>
  <c r="N118" i="1"/>
  <c r="M118" i="1"/>
  <c r="O118" i="1" s="1"/>
  <c r="D118" i="1"/>
  <c r="C118" i="1"/>
  <c r="N117" i="1"/>
  <c r="M117" i="1"/>
  <c r="D117" i="1"/>
  <c r="C117" i="1"/>
  <c r="N116" i="1"/>
  <c r="M116" i="1"/>
  <c r="O116" i="1" s="1"/>
  <c r="D116" i="1"/>
  <c r="C116" i="1"/>
  <c r="N115" i="1"/>
  <c r="M115" i="1"/>
  <c r="O115" i="1" s="1"/>
  <c r="D115" i="1"/>
  <c r="C115" i="1"/>
  <c r="N114" i="1"/>
  <c r="M114" i="1"/>
  <c r="D114" i="1"/>
  <c r="C114" i="1"/>
  <c r="N113" i="1"/>
  <c r="O113" i="1" s="1"/>
  <c r="M113" i="1"/>
  <c r="D113" i="1"/>
  <c r="C113" i="1"/>
  <c r="O112" i="1"/>
  <c r="N112" i="1"/>
  <c r="M112" i="1"/>
  <c r="D112" i="1"/>
  <c r="C112" i="1"/>
  <c r="N111" i="1"/>
  <c r="M111" i="1"/>
  <c r="O111" i="1" s="1"/>
  <c r="D111" i="1"/>
  <c r="C111" i="1"/>
  <c r="N110" i="1"/>
  <c r="M110" i="1"/>
  <c r="O110" i="1" s="1"/>
  <c r="D110" i="1"/>
  <c r="C110" i="1"/>
  <c r="N109" i="1"/>
  <c r="M109" i="1"/>
  <c r="D109" i="1"/>
  <c r="C109" i="1"/>
  <c r="N108" i="1"/>
  <c r="M108" i="1"/>
  <c r="O108" i="1" s="1"/>
  <c r="D108" i="1"/>
  <c r="C108" i="1"/>
  <c r="N107" i="1"/>
  <c r="M107" i="1"/>
  <c r="O107" i="1" s="1"/>
  <c r="D107" i="1"/>
  <c r="C107" i="1"/>
  <c r="N106" i="1"/>
  <c r="M106" i="1"/>
  <c r="D106" i="1"/>
  <c r="C106" i="1"/>
  <c r="N105" i="1"/>
  <c r="M105" i="1"/>
  <c r="O105" i="1" s="1"/>
  <c r="D105" i="1"/>
  <c r="C105" i="1"/>
  <c r="N104" i="1"/>
  <c r="O104" i="1" s="1"/>
  <c r="M104" i="1"/>
  <c r="D104" i="1"/>
  <c r="C104" i="1"/>
  <c r="N103" i="1"/>
  <c r="M103" i="1"/>
  <c r="D103" i="1"/>
  <c r="C103" i="1"/>
  <c r="N102" i="1"/>
  <c r="M102" i="1"/>
  <c r="D102" i="1"/>
  <c r="C102" i="1"/>
  <c r="N101" i="1"/>
  <c r="O101" i="1" s="1"/>
  <c r="M101" i="1"/>
  <c r="D101" i="1"/>
  <c r="C101" i="1"/>
  <c r="O100" i="1"/>
  <c r="N100" i="1"/>
  <c r="M100" i="1"/>
  <c r="D100" i="1"/>
  <c r="C100" i="1"/>
  <c r="N99" i="1"/>
  <c r="M99" i="1"/>
  <c r="O99" i="1" s="1"/>
  <c r="D99" i="1"/>
  <c r="C99" i="1"/>
  <c r="N98" i="1"/>
  <c r="M98" i="1"/>
  <c r="D98" i="1"/>
  <c r="C98" i="1"/>
  <c r="N97" i="1"/>
  <c r="M97" i="1"/>
  <c r="O97" i="1" s="1"/>
  <c r="D97" i="1"/>
  <c r="C97" i="1"/>
  <c r="N96" i="1"/>
  <c r="M96" i="1"/>
  <c r="O96" i="1" s="1"/>
  <c r="D96" i="1"/>
  <c r="C96" i="1"/>
  <c r="N95" i="1"/>
  <c r="M95" i="1"/>
  <c r="O95" i="1" s="1"/>
  <c r="D95" i="1"/>
  <c r="C95" i="1"/>
  <c r="N94" i="1"/>
  <c r="M94" i="1"/>
  <c r="O94" i="1" s="1"/>
  <c r="D94" i="1"/>
  <c r="C94" i="1"/>
  <c r="N93" i="1"/>
  <c r="M93" i="1"/>
  <c r="D93" i="1"/>
  <c r="C93" i="1"/>
  <c r="N92" i="1"/>
  <c r="O92" i="1" s="1"/>
  <c r="M92" i="1"/>
  <c r="D92" i="1"/>
  <c r="C92" i="1"/>
  <c r="N91" i="1"/>
  <c r="M91" i="1"/>
  <c r="D91" i="1"/>
  <c r="C91" i="1"/>
  <c r="N90" i="1"/>
  <c r="M90" i="1"/>
  <c r="D90" i="1"/>
  <c r="C90" i="1"/>
  <c r="O89" i="1"/>
  <c r="N89" i="1"/>
  <c r="M89" i="1"/>
  <c r="D89" i="1"/>
  <c r="C89" i="1"/>
  <c r="N88" i="1"/>
  <c r="M88" i="1"/>
  <c r="O88" i="1" s="1"/>
  <c r="D88" i="1"/>
  <c r="C88" i="1"/>
  <c r="N87" i="1"/>
  <c r="M87" i="1"/>
  <c r="O87" i="1" s="1"/>
  <c r="D87" i="1"/>
  <c r="C87" i="1"/>
  <c r="N86" i="1"/>
  <c r="M86" i="1"/>
  <c r="O86" i="1" s="1"/>
  <c r="D86" i="1"/>
  <c r="C86" i="1"/>
  <c r="N85" i="1"/>
  <c r="M85" i="1"/>
  <c r="D85" i="1"/>
  <c r="C85" i="1"/>
  <c r="N84" i="1"/>
  <c r="M84" i="1"/>
  <c r="O84" i="1" s="1"/>
  <c r="D84" i="1"/>
  <c r="C84" i="1"/>
  <c r="N83" i="1"/>
  <c r="M83" i="1"/>
  <c r="O83" i="1" s="1"/>
  <c r="D83" i="1"/>
  <c r="C83" i="1"/>
  <c r="N82" i="1"/>
  <c r="M82" i="1"/>
  <c r="D82" i="1"/>
  <c r="C82" i="1"/>
  <c r="N81" i="1"/>
  <c r="O81" i="1" s="1"/>
  <c r="M81" i="1"/>
  <c r="D81" i="1"/>
  <c r="C81" i="1"/>
  <c r="O80" i="1"/>
  <c r="N80" i="1"/>
  <c r="M80" i="1"/>
  <c r="D80" i="1"/>
  <c r="C80" i="1"/>
  <c r="N79" i="1"/>
  <c r="M79" i="1"/>
  <c r="O79" i="1" s="1"/>
  <c r="D79" i="1"/>
  <c r="C79" i="1"/>
  <c r="N78" i="1"/>
  <c r="M78" i="1"/>
  <c r="O78" i="1" s="1"/>
  <c r="D78" i="1"/>
  <c r="C78" i="1"/>
  <c r="N77" i="1"/>
  <c r="M77" i="1"/>
  <c r="D77" i="1"/>
  <c r="C77" i="1"/>
  <c r="N76" i="1"/>
  <c r="M76" i="1"/>
  <c r="O76" i="1" s="1"/>
  <c r="D76" i="1"/>
  <c r="C76" i="1"/>
  <c r="N75" i="1"/>
  <c r="M75" i="1"/>
  <c r="O75" i="1" s="1"/>
  <c r="D75" i="1"/>
  <c r="C75" i="1"/>
  <c r="N74" i="1"/>
  <c r="M74" i="1"/>
  <c r="D74" i="1"/>
  <c r="C74" i="1"/>
  <c r="N73" i="1"/>
  <c r="M73" i="1"/>
  <c r="O73" i="1" s="1"/>
  <c r="D73" i="1"/>
  <c r="C73" i="1"/>
  <c r="N72" i="1"/>
  <c r="O72" i="1" s="1"/>
  <c r="M72" i="1"/>
  <c r="D72" i="1"/>
  <c r="C72" i="1"/>
  <c r="N71" i="1"/>
  <c r="M71" i="1"/>
  <c r="D71" i="1"/>
  <c r="C71" i="1"/>
  <c r="N70" i="1"/>
  <c r="M70" i="1"/>
  <c r="D70" i="1"/>
  <c r="C70" i="1"/>
  <c r="N69" i="1"/>
  <c r="O69" i="1" s="1"/>
  <c r="M69" i="1"/>
  <c r="D69" i="1"/>
  <c r="C69" i="1"/>
  <c r="O68" i="1"/>
  <c r="N68" i="1"/>
  <c r="M68" i="1"/>
  <c r="D68" i="1"/>
  <c r="C68" i="1"/>
  <c r="N67" i="1"/>
  <c r="M67" i="1"/>
  <c r="O67" i="1" s="1"/>
  <c r="D67" i="1"/>
  <c r="C67" i="1"/>
  <c r="N66" i="1"/>
  <c r="M66" i="1"/>
  <c r="O66" i="1" s="1"/>
  <c r="D66" i="1"/>
  <c r="C66" i="1"/>
  <c r="N65" i="1"/>
  <c r="M65" i="1"/>
  <c r="D65" i="1"/>
  <c r="C65" i="1"/>
  <c r="N64" i="1"/>
  <c r="M64" i="1"/>
  <c r="O64" i="1" s="1"/>
  <c r="D64" i="1"/>
  <c r="C64" i="1"/>
  <c r="N63" i="1"/>
  <c r="M63" i="1"/>
  <c r="O63" i="1" s="1"/>
  <c r="D63" i="1"/>
  <c r="C63" i="1"/>
  <c r="N62" i="1"/>
  <c r="M62" i="1"/>
  <c r="O62" i="1" s="1"/>
  <c r="D62" i="1"/>
  <c r="C62" i="1"/>
  <c r="N61" i="1"/>
  <c r="M61" i="1"/>
  <c r="D61" i="1"/>
  <c r="C61" i="1"/>
  <c r="N60" i="1"/>
  <c r="M60" i="1"/>
  <c r="D60" i="1"/>
  <c r="C60" i="1"/>
  <c r="N59" i="1"/>
  <c r="M59" i="1"/>
  <c r="D59" i="1"/>
  <c r="C59" i="1"/>
  <c r="N58" i="1"/>
  <c r="M58" i="1"/>
  <c r="D58" i="1"/>
  <c r="C58" i="1"/>
  <c r="N57" i="1"/>
  <c r="O57" i="1" s="1"/>
  <c r="M57" i="1"/>
  <c r="D57" i="1"/>
  <c r="C57" i="1"/>
  <c r="O56" i="1"/>
  <c r="N56" i="1"/>
  <c r="M56" i="1"/>
  <c r="D56" i="1"/>
  <c r="C56" i="1"/>
  <c r="N55" i="1"/>
  <c r="M55" i="1"/>
  <c r="D55" i="1"/>
  <c r="C55" i="1"/>
  <c r="N54" i="1"/>
  <c r="M54" i="1"/>
  <c r="O54" i="1" s="1"/>
  <c r="D54" i="1"/>
  <c r="C54" i="1"/>
  <c r="N53" i="1"/>
  <c r="M53" i="1"/>
  <c r="D53" i="1"/>
  <c r="C53" i="1"/>
  <c r="N52" i="1"/>
  <c r="M52" i="1"/>
  <c r="O52" i="1" s="1"/>
  <c r="D52" i="1"/>
  <c r="C52" i="1"/>
  <c r="N51" i="1"/>
  <c r="M51" i="1"/>
  <c r="D51" i="1"/>
  <c r="C51" i="1"/>
  <c r="N50" i="1"/>
  <c r="M50" i="1"/>
  <c r="D50" i="1"/>
  <c r="C50" i="1"/>
  <c r="N49" i="1"/>
  <c r="O49" i="1" s="1"/>
  <c r="M49" i="1"/>
  <c r="D49" i="1"/>
  <c r="C49" i="1"/>
  <c r="O48" i="1"/>
  <c r="N48" i="1"/>
  <c r="M48" i="1"/>
  <c r="D48" i="1"/>
  <c r="C48" i="1"/>
  <c r="N47" i="1"/>
  <c r="M47" i="1"/>
  <c r="O47" i="1" s="1"/>
  <c r="D47" i="1"/>
  <c r="C47" i="1"/>
  <c r="N46" i="1"/>
  <c r="M46" i="1"/>
  <c r="O46" i="1" s="1"/>
  <c r="D46" i="1"/>
  <c r="C46" i="1"/>
  <c r="N45" i="1"/>
  <c r="M45" i="1"/>
  <c r="D45" i="1"/>
  <c r="C45" i="1"/>
  <c r="N44" i="1"/>
  <c r="M44" i="1"/>
  <c r="O44" i="1" s="1"/>
  <c r="D44" i="1"/>
  <c r="C44" i="1"/>
  <c r="N43" i="1"/>
  <c r="M43" i="1"/>
  <c r="D43" i="1"/>
  <c r="C43" i="1"/>
  <c r="N42" i="1"/>
  <c r="M42" i="1"/>
  <c r="D42" i="1"/>
  <c r="C42" i="1"/>
  <c r="N41" i="1"/>
  <c r="O41" i="1" s="1"/>
  <c r="M41" i="1"/>
  <c r="D41" i="1"/>
  <c r="C41" i="1"/>
  <c r="N40" i="1"/>
  <c r="M40" i="1"/>
  <c r="O40" i="1" s="1"/>
  <c r="D40" i="1"/>
  <c r="C40" i="1"/>
  <c r="N39" i="1"/>
  <c r="M39" i="1"/>
  <c r="O39" i="1" s="1"/>
  <c r="D39" i="1"/>
  <c r="C39" i="1"/>
  <c r="N38" i="1"/>
  <c r="M38" i="1"/>
  <c r="O38" i="1" s="1"/>
  <c r="D38" i="1"/>
  <c r="C38" i="1"/>
  <c r="N37" i="1"/>
  <c r="M37" i="1"/>
  <c r="D37" i="1"/>
  <c r="C37" i="1"/>
  <c r="N36" i="1"/>
  <c r="M36" i="1"/>
  <c r="O36" i="1" s="1"/>
  <c r="D36" i="1"/>
  <c r="C36" i="1"/>
  <c r="N35" i="1"/>
  <c r="M35" i="1"/>
  <c r="D35" i="1"/>
  <c r="C35" i="1"/>
  <c r="N34" i="1"/>
  <c r="M34" i="1"/>
  <c r="D34" i="1"/>
  <c r="C34" i="1"/>
  <c r="N33" i="1"/>
  <c r="O33" i="1" s="1"/>
  <c r="M33" i="1"/>
  <c r="D33" i="1"/>
  <c r="C33" i="1"/>
  <c r="O32" i="1"/>
  <c r="N32" i="1"/>
  <c r="M32" i="1"/>
  <c r="D32" i="1"/>
  <c r="C32" i="1"/>
  <c r="N31" i="1"/>
  <c r="M31" i="1"/>
  <c r="O31" i="1" s="1"/>
  <c r="D31" i="1"/>
  <c r="C31" i="1"/>
  <c r="N30" i="1"/>
  <c r="M30" i="1"/>
  <c r="O30" i="1" s="1"/>
  <c r="D30" i="1"/>
  <c r="C30" i="1"/>
  <c r="N29" i="1"/>
  <c r="M29" i="1"/>
  <c r="D29" i="1"/>
  <c r="C29" i="1"/>
  <c r="N28" i="1"/>
  <c r="M28" i="1"/>
  <c r="O28" i="1" s="1"/>
  <c r="D28" i="1"/>
  <c r="C28" i="1"/>
  <c r="N27" i="1"/>
  <c r="M27" i="1"/>
  <c r="D27" i="1"/>
  <c r="C27" i="1"/>
  <c r="N26" i="1"/>
  <c r="M26" i="1"/>
  <c r="D26" i="1"/>
  <c r="C26" i="1"/>
  <c r="N25" i="1"/>
  <c r="O25" i="1" s="1"/>
  <c r="M25" i="1"/>
  <c r="D25" i="1"/>
  <c r="C25" i="1"/>
  <c r="N24" i="1"/>
  <c r="M24" i="1"/>
  <c r="O24" i="1" s="1"/>
  <c r="D24" i="1"/>
  <c r="C24" i="1"/>
  <c r="N23" i="1"/>
  <c r="M23" i="1"/>
  <c r="O23" i="1" s="1"/>
  <c r="D23" i="1"/>
  <c r="C23" i="1"/>
  <c r="N22" i="1"/>
  <c r="M22" i="1"/>
  <c r="O22" i="1" s="1"/>
  <c r="D22" i="1"/>
  <c r="C22" i="1"/>
  <c r="N21" i="1"/>
  <c r="M21" i="1"/>
  <c r="D21" i="1"/>
  <c r="C21" i="1"/>
  <c r="N20" i="1"/>
  <c r="M20" i="1"/>
  <c r="O20" i="1" s="1"/>
  <c r="D20" i="1"/>
  <c r="C20" i="1"/>
  <c r="N19" i="1"/>
  <c r="M19" i="1"/>
  <c r="D19" i="1"/>
  <c r="C19" i="1"/>
  <c r="N18" i="1"/>
  <c r="M18" i="1"/>
  <c r="D18" i="1"/>
  <c r="C18" i="1"/>
  <c r="N17" i="1"/>
  <c r="O17" i="1" s="1"/>
  <c r="M17" i="1"/>
  <c r="D17" i="1"/>
  <c r="C17" i="1"/>
  <c r="O16" i="1"/>
  <c r="N16" i="1"/>
  <c r="M16" i="1"/>
  <c r="D16" i="1"/>
  <c r="C16" i="1"/>
  <c r="N15" i="1"/>
  <c r="M15" i="1"/>
  <c r="O15" i="1" s="1"/>
  <c r="D15" i="1"/>
  <c r="C15" i="1"/>
  <c r="N14" i="1"/>
  <c r="M14" i="1"/>
  <c r="O14" i="1" s="1"/>
  <c r="D14" i="1"/>
  <c r="C14" i="1"/>
  <c r="N13" i="1"/>
  <c r="M13" i="1"/>
  <c r="D13" i="1"/>
  <c r="C13" i="1"/>
  <c r="N12" i="1"/>
  <c r="M12" i="1"/>
  <c r="O12" i="1" s="1"/>
  <c r="D12" i="1"/>
  <c r="C12" i="1"/>
  <c r="N11" i="1"/>
  <c r="M11" i="1"/>
  <c r="D11" i="1"/>
  <c r="C11" i="1"/>
  <c r="N10" i="1"/>
  <c r="M10" i="1"/>
  <c r="D10" i="1"/>
  <c r="C10" i="1"/>
  <c r="N9" i="1"/>
  <c r="O9" i="1" s="1"/>
  <c r="M9" i="1"/>
  <c r="D9" i="1"/>
  <c r="C9" i="1"/>
  <c r="N8" i="1"/>
  <c r="M8" i="1"/>
  <c r="O8" i="1" s="1"/>
  <c r="D8" i="1"/>
  <c r="C8" i="1"/>
  <c r="N7" i="1"/>
  <c r="M7" i="1"/>
  <c r="O7" i="1" s="1"/>
  <c r="D7" i="1"/>
  <c r="C7" i="1"/>
  <c r="N6" i="1"/>
  <c r="M6" i="1"/>
  <c r="O6" i="1" s="1"/>
  <c r="D6" i="1"/>
  <c r="C6" i="1"/>
  <c r="N5" i="1"/>
  <c r="M5" i="1"/>
  <c r="D5" i="1"/>
  <c r="C5" i="1"/>
  <c r="N4" i="1"/>
  <c r="M4" i="1"/>
  <c r="O4" i="1" s="1"/>
  <c r="D4" i="1"/>
  <c r="C4" i="1"/>
  <c r="N3" i="1"/>
  <c r="M3" i="1"/>
  <c r="D3" i="1"/>
  <c r="C3" i="1"/>
  <c r="N2" i="1"/>
  <c r="M2" i="1"/>
  <c r="D2" i="1"/>
  <c r="C2" i="1"/>
  <c r="O2" i="1" l="1"/>
  <c r="O3" i="1"/>
  <c r="O13" i="1"/>
  <c r="O18" i="1"/>
  <c r="O19" i="1"/>
  <c r="O29" i="1"/>
  <c r="O34" i="1"/>
  <c r="O35" i="1"/>
  <c r="O45" i="1"/>
  <c r="O50" i="1"/>
  <c r="O51" i="1"/>
  <c r="O5" i="1"/>
  <c r="O10" i="1"/>
  <c r="O11" i="1"/>
  <c r="O21" i="1"/>
  <c r="O26" i="1"/>
  <c r="O27" i="1"/>
  <c r="O37" i="1"/>
  <c r="O42" i="1"/>
  <c r="O43" i="1"/>
  <c r="O53" i="1"/>
  <c r="O58" i="1"/>
  <c r="O59" i="1"/>
  <c r="O60" i="1"/>
  <c r="O93" i="1"/>
  <c r="O125" i="1"/>
  <c r="O138" i="1"/>
  <c r="O154" i="1"/>
  <c r="O170" i="1"/>
  <c r="O186" i="1"/>
  <c r="O355" i="1"/>
  <c r="O568" i="1"/>
  <c r="O569" i="1"/>
  <c r="O570" i="1"/>
  <c r="O584" i="1"/>
  <c r="O585" i="1"/>
  <c r="O586" i="1"/>
  <c r="O600" i="1"/>
  <c r="O601" i="1"/>
  <c r="O602" i="1"/>
  <c r="O616" i="1"/>
  <c r="O617" i="1"/>
  <c r="O618" i="1"/>
  <c r="O632" i="1"/>
  <c r="O633" i="1"/>
  <c r="O634" i="1"/>
  <c r="O648" i="1"/>
  <c r="O649" i="1"/>
  <c r="O650" i="1"/>
  <c r="O664" i="1"/>
  <c r="O665" i="1"/>
  <c r="O666" i="1"/>
  <c r="O61" i="1"/>
  <c r="O85" i="1"/>
  <c r="O117" i="1"/>
  <c r="O142" i="1"/>
  <c r="O158" i="1"/>
  <c r="O174" i="1"/>
  <c r="O190" i="1"/>
  <c r="O255" i="1"/>
  <c r="O263" i="1"/>
  <c r="O271" i="1"/>
  <c r="O278" i="1"/>
  <c r="O279" i="1"/>
  <c r="O286" i="1"/>
  <c r="O287" i="1"/>
  <c r="O343" i="1"/>
  <c r="O359" i="1"/>
  <c r="O55" i="1"/>
  <c r="O65" i="1"/>
  <c r="O70" i="1"/>
  <c r="O71" i="1"/>
  <c r="O77" i="1"/>
  <c r="O91" i="1"/>
  <c r="O102" i="1"/>
  <c r="O103" i="1"/>
  <c r="O109" i="1"/>
  <c r="O123" i="1"/>
  <c r="O135" i="1"/>
  <c r="O136" i="1"/>
  <c r="O146" i="1"/>
  <c r="O151" i="1"/>
  <c r="O152" i="1"/>
  <c r="O162" i="1"/>
  <c r="O167" i="1"/>
  <c r="O168" i="1"/>
  <c r="O178" i="1"/>
  <c r="O183" i="1"/>
  <c r="O184" i="1"/>
  <c r="O194" i="1"/>
  <c r="O199" i="1"/>
  <c r="O200" i="1"/>
  <c r="O215" i="1"/>
  <c r="O216" i="1"/>
  <c r="O231" i="1"/>
  <c r="O232" i="1"/>
  <c r="O247" i="1"/>
  <c r="O248" i="1"/>
  <c r="O303" i="1"/>
  <c r="O304" i="1"/>
  <c r="O319" i="1"/>
  <c r="O320" i="1"/>
  <c r="O335" i="1"/>
  <c r="O336" i="1"/>
  <c r="O349" i="1"/>
  <c r="O350" i="1"/>
  <c r="O369" i="1"/>
  <c r="O370" i="1"/>
  <c r="O385" i="1"/>
  <c r="O386" i="1"/>
  <c r="O404" i="1"/>
  <c r="O405" i="1"/>
  <c r="O406" i="1"/>
  <c r="O420" i="1"/>
  <c r="O421" i="1"/>
  <c r="O422" i="1"/>
  <c r="O436" i="1"/>
  <c r="O437" i="1"/>
  <c r="O438" i="1"/>
  <c r="O452" i="1"/>
  <c r="O453" i="1"/>
  <c r="O454" i="1"/>
  <c r="O468" i="1"/>
  <c r="O469" i="1"/>
  <c r="O470" i="1"/>
  <c r="O484" i="1"/>
  <c r="O485" i="1"/>
  <c r="O486" i="1"/>
  <c r="O500" i="1"/>
  <c r="O501" i="1"/>
  <c r="O502" i="1"/>
  <c r="O516" i="1"/>
  <c r="O517" i="1"/>
  <c r="O518" i="1"/>
  <c r="O532" i="1"/>
  <c r="O533" i="1"/>
  <c r="O534" i="1"/>
  <c r="O548" i="1"/>
  <c r="O549" i="1"/>
  <c r="O550" i="1"/>
  <c r="O74" i="1"/>
  <c r="O82" i="1"/>
  <c r="O90" i="1"/>
  <c r="O98" i="1"/>
  <c r="O106" i="1"/>
  <c r="O114" i="1"/>
  <c r="O122" i="1"/>
  <c r="O130" i="1"/>
  <c r="O210" i="1"/>
  <c r="O226" i="1"/>
  <c r="O242" i="1"/>
  <c r="O254" i="1"/>
  <c r="O262" i="1"/>
  <c r="O270" i="1"/>
  <c r="O198" i="1"/>
  <c r="O214" i="1"/>
  <c r="O230" i="1"/>
  <c r="O246" i="1"/>
  <c r="O302" i="1"/>
  <c r="O318" i="1"/>
  <c r="O334" i="1"/>
  <c r="O348" i="1"/>
  <c r="O345" i="1"/>
  <c r="O361" i="1"/>
  <c r="O376" i="1"/>
  <c r="O392" i="1"/>
  <c r="O408" i="1"/>
  <c r="O424" i="1"/>
  <c r="O364" i="1"/>
  <c r="O380" i="1"/>
  <c r="O396" i="1"/>
  <c r="O412" i="1"/>
  <c r="O428" i="1"/>
  <c r="O444" i="1"/>
  <c r="O460" i="1"/>
  <c r="O476" i="1"/>
  <c r="O492" i="1"/>
  <c r="O508" i="1"/>
  <c r="O524" i="1"/>
  <c r="O540" i="1"/>
  <c r="O556" i="1"/>
  <c r="O353" i="1"/>
  <c r="O368" i="1"/>
  <c r="O384" i="1"/>
  <c r="O400" i="1"/>
  <c r="O416" i="1"/>
  <c r="O432" i="1"/>
  <c r="O448" i="1"/>
  <c r="O464" i="1"/>
  <c r="O480" i="1"/>
  <c r="O496" i="1"/>
  <c r="O512" i="1"/>
  <c r="O528" i="1"/>
  <c r="O544" i="1"/>
  <c r="O560" i="1"/>
  <c r="O576" i="1"/>
  <c r="O592" i="1"/>
  <c r="O608" i="1"/>
  <c r="O624" i="1"/>
  <c r="O640" i="1"/>
  <c r="O656" i="1"/>
  <c r="O672" i="1"/>
</calcChain>
</file>

<file path=xl/sharedStrings.xml><?xml version="1.0" encoding="utf-8"?>
<sst xmlns="http://schemas.openxmlformats.org/spreadsheetml/2006/main" count="2902" uniqueCount="149">
  <si>
    <t>Id</t>
  </si>
  <si>
    <t>Date</t>
  </si>
  <si>
    <t>Month</t>
  </si>
  <si>
    <t>State</t>
  </si>
  <si>
    <t>Sales Channel</t>
  </si>
  <si>
    <t>Product</t>
  </si>
  <si>
    <t>Categories</t>
  </si>
  <si>
    <t>Satisfaction Level</t>
  </si>
  <si>
    <t>Cost</t>
  </si>
  <si>
    <t>Sales Price</t>
  </si>
  <si>
    <t>Qty</t>
  </si>
  <si>
    <t>Revenue</t>
  </si>
  <si>
    <t>Total Cost</t>
  </si>
  <si>
    <t>Profit/Loss</t>
  </si>
  <si>
    <t>Andhra Pradesh</t>
  </si>
  <si>
    <t>Partnerships</t>
  </si>
  <si>
    <t>Namkeen</t>
  </si>
  <si>
    <t>Snacks</t>
  </si>
  <si>
    <t>Online Delivery</t>
  </si>
  <si>
    <t xml:space="preserve">Chips &amp; Wafers </t>
  </si>
  <si>
    <t>Delhi</t>
  </si>
  <si>
    <t>Samosas</t>
  </si>
  <si>
    <t>Uttar Pradesh</t>
  </si>
  <si>
    <t>Kachoris</t>
  </si>
  <si>
    <t>West Bengal</t>
  </si>
  <si>
    <t>Bhujia</t>
  </si>
  <si>
    <t>Mixes</t>
  </si>
  <si>
    <t xml:space="preserve">Ready-to-Eat Curries </t>
  </si>
  <si>
    <t>Instant Foods</t>
  </si>
  <si>
    <t>Goa</t>
  </si>
  <si>
    <t>Instant Mixes</t>
  </si>
  <si>
    <t>Tamil Nadu</t>
  </si>
  <si>
    <t>Frozen Snacks</t>
  </si>
  <si>
    <t>Haryana</t>
  </si>
  <si>
    <t>Parathas</t>
  </si>
  <si>
    <t>Jammu and Kashmir</t>
  </si>
  <si>
    <t xml:space="preserve">Nut-based Snacks </t>
  </si>
  <si>
    <t>Papads</t>
  </si>
  <si>
    <t>Namkeens</t>
  </si>
  <si>
    <t>Maharashtra</t>
  </si>
  <si>
    <t>Karnataka</t>
  </si>
  <si>
    <t>Heat-and-Eat Meals</t>
  </si>
  <si>
    <t xml:space="preserve">Traditional Sweets </t>
  </si>
  <si>
    <t>Sweets</t>
  </si>
  <si>
    <t xml:space="preserve">Dry Sweets </t>
  </si>
  <si>
    <t xml:space="preserve">Milk-based Sweets </t>
  </si>
  <si>
    <t>Punjab</t>
  </si>
  <si>
    <t>Syrup-based Sweets</t>
  </si>
  <si>
    <t>Gift Packs</t>
  </si>
  <si>
    <t>Jharkhand</t>
  </si>
  <si>
    <t>Telangana</t>
  </si>
  <si>
    <t>Puducherry</t>
  </si>
  <si>
    <t>Andaman and Nicobar Islands</t>
  </si>
  <si>
    <t>Odisha</t>
  </si>
  <si>
    <t>Gujarat</t>
  </si>
  <si>
    <t>Arunachal Pradesh</t>
  </si>
  <si>
    <t>Rajasthan</t>
  </si>
  <si>
    <t>Assam</t>
  </si>
  <si>
    <t>Bihar</t>
  </si>
  <si>
    <t>Kerala</t>
  </si>
  <si>
    <t>Uttarakhand</t>
  </si>
  <si>
    <t>Physical Store</t>
  </si>
  <si>
    <t>Dadra and Nagar Haveli</t>
  </si>
  <si>
    <t>Madhya Pradesh</t>
  </si>
  <si>
    <t>Lakshadweep</t>
  </si>
  <si>
    <t>Himachal Pradesh</t>
  </si>
  <si>
    <t>Nagaland</t>
  </si>
  <si>
    <t>Chhattisgarh</t>
  </si>
  <si>
    <t>Daman and Diu</t>
  </si>
  <si>
    <t>Year</t>
  </si>
  <si>
    <t>1. Purpose</t>
  </si>
  <si>
    <t>2. Audience</t>
  </si>
  <si>
    <t>3. Metrics / Dims</t>
  </si>
  <si>
    <t>Metrics</t>
  </si>
  <si>
    <t>Dims</t>
  </si>
  <si>
    <t>Rev</t>
  </si>
  <si>
    <t>Profit</t>
  </si>
  <si>
    <t>Margin</t>
  </si>
  <si>
    <t>Units</t>
  </si>
  <si>
    <t>Sales channel</t>
  </si>
  <si>
    <t>Product / Categ</t>
  </si>
  <si>
    <t>% Sat Level</t>
  </si>
  <si>
    <t>ASP</t>
  </si>
  <si>
    <t>Mom / YoY / YTD</t>
  </si>
  <si>
    <t>Hygiene</t>
  </si>
  <si>
    <t>Readable</t>
  </si>
  <si>
    <t>Less Scattered</t>
  </si>
  <si>
    <t>Markings</t>
  </si>
  <si>
    <t>Purpose</t>
  </si>
  <si>
    <t>Providing visibility of sales across the company</t>
  </si>
  <si>
    <t>RCA whenever there is any drop in sales</t>
  </si>
  <si>
    <t>Audience</t>
  </si>
  <si>
    <t>Sales</t>
  </si>
  <si>
    <t>Category - Buy &amp; Selling</t>
  </si>
  <si>
    <t>Finance</t>
  </si>
  <si>
    <t>Leadership</t>
  </si>
  <si>
    <t>On the ground operations teams</t>
  </si>
  <si>
    <t>Metric Views</t>
  </si>
  <si>
    <t>YoY sales</t>
  </si>
  <si>
    <t>Category sales</t>
  </si>
  <si>
    <t>Channel wise sales</t>
  </si>
  <si>
    <t>Satisfaction level</t>
  </si>
  <si>
    <t>MoM sales</t>
  </si>
  <si>
    <t>Region sales</t>
  </si>
  <si>
    <t>Profit / Loss</t>
  </si>
  <si>
    <t>Quarter level sales / profit</t>
  </si>
  <si>
    <t>State wise Sales</t>
  </si>
  <si>
    <t>Title</t>
  </si>
  <si>
    <t>Marking</t>
  </si>
  <si>
    <t>Logo</t>
  </si>
  <si>
    <t>Filters</t>
  </si>
  <si>
    <t>Sales YoY</t>
  </si>
  <si>
    <t>Sat Score</t>
  </si>
  <si>
    <t>Monthly Sales</t>
  </si>
  <si>
    <t>Channel</t>
  </si>
  <si>
    <t>Region Wise</t>
  </si>
  <si>
    <t>Category</t>
  </si>
  <si>
    <t>Quarterly Sales</t>
  </si>
  <si>
    <t>KPI</t>
  </si>
  <si>
    <t>Haldiram's Sales Dashboard</t>
  </si>
  <si>
    <t>By NextLeap C13</t>
  </si>
  <si>
    <t>Row Labels</t>
  </si>
  <si>
    <t>Jan</t>
  </si>
  <si>
    <t>Feb</t>
  </si>
  <si>
    <t>Mar</t>
  </si>
  <si>
    <t>Apr</t>
  </si>
  <si>
    <t>May</t>
  </si>
  <si>
    <t>Jun</t>
  </si>
  <si>
    <t>Jul</t>
  </si>
  <si>
    <t>Aug</t>
  </si>
  <si>
    <t>Sep</t>
  </si>
  <si>
    <t>Oct</t>
  </si>
  <si>
    <t>Nov</t>
  </si>
  <si>
    <t>Dec</t>
  </si>
  <si>
    <t>Grand Total</t>
  </si>
  <si>
    <t>Sum of Revenue</t>
  </si>
  <si>
    <t>Online</t>
  </si>
  <si>
    <t>Partner</t>
  </si>
  <si>
    <t>Physical</t>
  </si>
  <si>
    <t>Count of Id</t>
  </si>
  <si>
    <t>No</t>
  </si>
  <si>
    <t>Yes</t>
  </si>
  <si>
    <t>Sum of Profit/Loss</t>
  </si>
  <si>
    <t>2022</t>
  </si>
  <si>
    <t>2023</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</si>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</sst>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5" x14ac:knownFonts="1">
    <font>
      <sz val="11"/>
      <color theme="1"/>
      <name val="Calibri"/>
      <family val="2"/>
      <scheme val="minor"/>
    </font>
    <font>
      <sz val="11"/>
      <color theme="1"/>
      <name val="Calibri"/>
      <family val="2"/>
      <scheme val="minor"/>
    </font>
    <font>
      <sz val="10"/>
      <color theme="1"/>
      <name val="Arial"/>
      <family val="2"/>
    </font>
    <font>
      <sz val="12"/>
      <color rgb="FF000000"/>
      <name val="Calibri"/>
      <family val="2"/>
      <scheme val="minor"/>
    </font>
    <font>
      <b/>
      <sz val="14"/>
      <color theme="0"/>
      <name val="Calibri"/>
      <family val="2"/>
      <scheme val="minor"/>
    </font>
  </fonts>
  <fills count="6">
    <fill>
      <patternFill patternType="none"/>
    </fill>
    <fill>
      <patternFill patternType="gray125"/>
    </fill>
    <fill>
      <patternFill patternType="solid">
        <fgColor theme="7"/>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4.9989318521683403E-2"/>
        <bgColor indexed="64"/>
      </patternFill>
    </fill>
  </fills>
  <borders count="15">
    <border>
      <left/>
      <right/>
      <top/>
      <bottom/>
      <diagonal/>
    </border>
    <border>
      <left/>
      <right/>
      <top style="thin">
        <color rgb="FF61CBF3"/>
      </top>
      <bottom style="thin">
        <color rgb="FF61CBF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2" borderId="0" xfId="0" applyFill="1" applyAlignment="1">
      <alignment horizontal="center" vertical="center"/>
    </xf>
    <xf numFmtId="0" fontId="1" fillId="2" borderId="0" xfId="0" applyFont="1" applyFill="1"/>
    <xf numFmtId="0" fontId="0" fillId="0" borderId="0" xfId="0" applyAlignment="1">
      <alignment horizontal="center" vertical="center"/>
    </xf>
    <xf numFmtId="14" fontId="0" fillId="0" borderId="0" xfId="0" applyNumberFormat="1" applyAlignment="1">
      <alignment horizontal="center" vertical="center"/>
    </xf>
    <xf numFmtId="0" fontId="2" fillId="0" borderId="0" xfId="0" applyFont="1" applyAlignment="1">
      <alignment horizontal="center" vertical="center"/>
    </xf>
    <xf numFmtId="14" fontId="3" fillId="0" borderId="1" xfId="0" applyNumberFormat="1" applyFont="1" applyBorder="1" applyAlignment="1">
      <alignment horizontal="center" vertical="center"/>
    </xf>
    <xf numFmtId="14" fontId="3" fillId="0" borderId="0" xfId="0" applyNumberFormat="1" applyFont="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center"/>
    </xf>
    <xf numFmtId="0" fontId="0" fillId="3" borderId="5" xfId="0" applyFill="1" applyBorder="1"/>
    <xf numFmtId="0" fontId="0" fillId="0" borderId="2" xfId="0" applyBorder="1" applyAlignment="1">
      <alignment vertical="center"/>
    </xf>
    <xf numFmtId="0" fontId="0" fillId="3" borderId="9" xfId="0" applyFill="1" applyBorder="1"/>
    <xf numFmtId="0" fontId="0" fillId="3" borderId="8" xfId="0" applyFill="1" applyBorder="1"/>
    <xf numFmtId="0" fontId="0" fillId="4" borderId="0" xfId="0" applyFill="1"/>
    <xf numFmtId="0" fontId="0" fillId="5" borderId="0" xfId="0" applyFill="1"/>
    <xf numFmtId="0" fontId="0" fillId="0" borderId="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4"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xf numFmtId="170" fontId="0" fillId="0" borderId="0" xfId="0" applyNumberFormat="1"/>
  </cellXfs>
  <cellStyles count="1">
    <cellStyle name="Normal" xfId="0" builtinId="0"/>
  </cellStyles>
  <dxfs count="16">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
      <alignment horizontal="center" vertical="center" textRotation="0" wrapText="0" indent="0" justifyLastLine="0" shrinkToFit="0" readingOrder="0"/>
    </dxf>
    <dxf>
      <numFmt numFmtId="164" formatCode="dd/mm/yy"/>
      <alignment horizontal="center" vertical="center" textRotation="0" wrapText="0" indent="0" justifyLastLine="0" shrinkToFit="0" readingOrder="0"/>
    </dxf>
    <dxf>
      <numFmt numFmtId="164" formatCode="dd/mm/yy"/>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7"/>
        </patternFill>
      </fill>
    </dxf>
  </dxfs>
  <tableStyles count="0" defaultTableStyle="TableStyleMedium2" defaultPivotStyle="PivotStyleLight16"/>
  <colors>
    <mruColors>
      <color rgb="FFF9F8D4"/>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Revenue (Mn)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'Helping Sheet'!$E$3</c:f>
              <c:strCache>
                <c:ptCount val="1"/>
                <c:pt idx="0">
                  <c:v>Revenue</c:v>
                </c:pt>
              </c:strCache>
            </c:strRef>
          </c:tx>
          <c:spPr>
            <a:ln w="22225" cap="rnd" cmpd="sng" algn="ctr">
              <a:gradFill>
                <a:gsLst>
                  <a:gs pos="0">
                    <a:srgbClr val="00B050"/>
                  </a:gs>
                  <a:gs pos="28000">
                    <a:srgbClr val="92D050"/>
                  </a:gs>
                  <a:gs pos="61000">
                    <a:schemeClr val="accent4">
                      <a:lumMod val="40000"/>
                      <a:lumOff val="60000"/>
                    </a:schemeClr>
                  </a:gs>
                  <a:gs pos="100000">
                    <a:srgbClr val="FF0000"/>
                  </a:gs>
                </a:gsLst>
                <a:lin ang="5400000" scaled="1"/>
              </a:gradFill>
              <a:round/>
            </a:ln>
            <a:effectLst/>
          </c:spPr>
          <c:marker>
            <c:symbol val="none"/>
          </c:marker>
          <c:cat>
            <c:strRef>
              <c:f>'Helping Sheet'!$D$4:$D$15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'Helping Sheet'!$E$4:$E$15</c:f>
              <c:numCache>
                <c:formatCode>General</c:formatCode>
                <c:ptCount val="12"/>
                <c:pt idx="0">
                  <c:v>9721600</c:v>
                </c:pt>
                <c:pt idx="1">
                  <c:v>6332400</c:v>
                </c:pt>
                <c:pt idx="2">
                  <c:v>17715000</c:v>
                </c:pt>
                <c:pt idx="3">
                  <c:v>7746350</c:v>
                </c:pt>
                <c:pt idx="4">
                  <c:v>5394700</c:v>
                </c:pt>
                <c:pt idx="5">
                  <c:v>11485450</c:v>
                </c:pt>
                <c:pt idx="6">
                  <c:v>6401400</c:v>
                </c:pt>
                <c:pt idx="7">
                  <c:v>12985850</c:v>
                </c:pt>
                <c:pt idx="8">
                  <c:v>12788200</c:v>
                </c:pt>
                <c:pt idx="9">
                  <c:v>25093850</c:v>
                </c:pt>
                <c:pt idx="10">
                  <c:v>13081050</c:v>
                </c:pt>
                <c:pt idx="11">
                  <c:v>14595850</c:v>
                </c:pt>
              </c:numCache>
            </c:numRef>
          </c:val>
          <c:smooth val="1"/>
          <c:extLst>
            <c:ext xmlns:c16="http://schemas.microsoft.com/office/drawing/2014/chart" uri="{C3380CC4-5D6E-409C-BE32-E72D297353CC}">
              <c16:uniqueId val="{00000000-8BE2-4CE1-8F0C-C416C36FB9B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84106031"/>
        <c:axId val="84106511"/>
      </c:lineChart>
      <c:catAx>
        <c:axId val="841060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106511"/>
        <c:crosses val="autoZero"/>
        <c:auto val="1"/>
        <c:lblAlgn val="ctr"/>
        <c:lblOffset val="100"/>
        <c:noMultiLvlLbl val="0"/>
      </c:catAx>
      <c:valAx>
        <c:axId val="84106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106031"/>
        <c:crosses val="autoZero"/>
        <c:crossBetween val="between"/>
        <c:dispUnits>
          <c:builtInUnit val="millions"/>
        </c:dispUnits>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Shares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D6D6-4111-8669-097E05D39C6B}"/>
              </c:ext>
            </c:extLst>
          </c:dPt>
          <c:dPt>
            <c:idx val="1"/>
            <c:bubble3D val="0"/>
            <c:spPr>
              <a:solidFill>
                <a:schemeClr val="accent2"/>
              </a:solidFill>
              <a:ln w="19050">
                <a:noFill/>
              </a:ln>
              <a:effectLst/>
            </c:spPr>
            <c:extLst>
              <c:ext xmlns:c16="http://schemas.microsoft.com/office/drawing/2014/chart" uri="{C3380CC4-5D6E-409C-BE32-E72D297353CC}">
                <c16:uniqueId val="{00000003-D6D6-4111-8669-097E05D39C6B}"/>
              </c:ext>
            </c:extLst>
          </c:dPt>
          <c:dPt>
            <c:idx val="2"/>
            <c:bubble3D val="0"/>
            <c:spPr>
              <a:solidFill>
                <a:schemeClr val="accent3"/>
              </a:solidFill>
              <a:ln w="19050">
                <a:noFill/>
              </a:ln>
              <a:effectLst/>
            </c:spPr>
            <c:extLst>
              <c:ext xmlns:c16="http://schemas.microsoft.com/office/drawing/2014/chart" uri="{C3380CC4-5D6E-409C-BE32-E72D297353CC}">
                <c16:uniqueId val="{00000005-D6D6-4111-8669-097E05D39C6B}"/>
              </c:ext>
            </c:extLst>
          </c:dPt>
          <c:dLbls>
            <c:dLbl>
              <c:idx val="0"/>
              <c:layout>
                <c:manualLayout>
                  <c:x val="2.0793088363954507E-2"/>
                  <c:y val="5.7690653251676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D6-4111-8669-097E05D39C6B}"/>
                </c:ext>
              </c:extLst>
            </c:dLbl>
            <c:dLbl>
              <c:idx val="1"/>
              <c:layout>
                <c:manualLayout>
                  <c:x val="0.13089315398075241"/>
                  <c:y val="-8.4497302420530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D6-4111-8669-097E05D39C6B}"/>
                </c:ext>
              </c:extLst>
            </c:dLbl>
            <c:dLbl>
              <c:idx val="2"/>
              <c:layout>
                <c:manualLayout>
                  <c:x val="-1.4751093613298337E-2"/>
                  <c:y val="-7.30788859725867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D6-4111-8669-097E05D39C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'Helping Sheet'!$L$10:$L$12</c:f>
              <c:strCache>
                <c:ptCount val="3"/>
                <c:pt idx="0">
                  <c:v>Instant Foods</c:v>
                </c:pt>
                <c:pt idx="1">
                  <c:v>Snacks</c:v>
                </c:pt>
                <c:pt idx="2">
                  <c:v>Sweets</c:v>
                </c:pt>
              </c:strCache>
            </c:strRef>
          </c:cat>
          <c:val>
            <c:numRef>
              <c:f>'Helping Sheet'!$M$10:$M$12</c:f>
              <c:numCache>
                <c:formatCode>0%</c:formatCode>
                <c:ptCount val="3"/>
                <c:pt idx="0">
                  <c:v>0.30102231241850769</c:v>
                </c:pt>
                <c:pt idx="1">
                  <c:v>0.35216653632543776</c:v>
                </c:pt>
                <c:pt idx="2">
                  <c:v>0.34681115125605461</c:v>
                </c:pt>
              </c:numCache>
            </c:numRef>
          </c:val>
          <c:extLst>
            <c:ext xmlns:c16="http://schemas.microsoft.com/office/drawing/2014/chart" uri="{C3380CC4-5D6E-409C-BE32-E72D297353CC}">
              <c16:uniqueId val="{00000006-D6D6-4111-8669-097E05D39C6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Shares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D-406C-AF8B-127BE30953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D-406C-AF8B-127BE30953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D-406C-AF8B-127BE3095312}"/>
              </c:ext>
            </c:extLst>
          </c:dPt>
          <c:dLbls>
            <c:dLbl>
              <c:idx val="0"/>
              <c:layout>
                <c:manualLayout>
                  <c:x val="6.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8D-406C-AF8B-127BE3095312}"/>
                </c:ext>
              </c:extLst>
            </c:dLbl>
            <c:dLbl>
              <c:idx val="1"/>
              <c:layout>
                <c:manualLayout>
                  <c:x val="-6.1111111111111109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8D-406C-AF8B-127BE3095312}"/>
                </c:ext>
              </c:extLst>
            </c:dLbl>
            <c:dLbl>
              <c:idx val="2"/>
              <c:layout>
                <c:manualLayout>
                  <c:x val="-6.9444444444444448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8D-406C-AF8B-127BE30953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'Helping Sheet'!$Q$11:$Q$13</c:f>
              <c:strCache>
                <c:ptCount val="3"/>
                <c:pt idx="0">
                  <c:v>Online</c:v>
                </c:pt>
                <c:pt idx="1">
                  <c:v>Partner</c:v>
                </c:pt>
                <c:pt idx="2">
                  <c:v>Physical</c:v>
                </c:pt>
              </c:strCache>
            </c:strRef>
          </c:cat>
          <c:val>
            <c:numRef>
              <c:f>'Helping Sheet'!$R$11:$R$13</c:f>
              <c:numCache>
                <c:formatCode>0%</c:formatCode>
                <c:ptCount val="3"/>
                <c:pt idx="0">
                  <c:v>0.46025580832374668</c:v>
                </c:pt>
                <c:pt idx="1">
                  <c:v>0.35779748670484585</c:v>
                </c:pt>
                <c:pt idx="2">
                  <c:v>0.18194670497140747</c:v>
                </c:pt>
              </c:numCache>
            </c:numRef>
          </c:val>
          <c:extLst>
            <c:ext xmlns:c16="http://schemas.microsoft.com/office/drawing/2014/chart" uri="{C3380CC4-5D6E-409C-BE32-E72D297353CC}">
              <c16:uniqueId val="{00000006-F58D-406C-AF8B-127BE3095312}"/>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4C-4797-A8DE-8DD63F0B79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4C-4797-A8DE-8DD63F0B79DB}"/>
              </c:ext>
            </c:extLst>
          </c:dPt>
          <c:dLbls>
            <c:dLbl>
              <c:idx val="0"/>
              <c:layout>
                <c:manualLayout>
                  <c:x val="1.0844706911636045E-2"/>
                  <c:y val="3.28273549139690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4C-4797-A8DE-8DD63F0B79DB}"/>
                </c:ext>
              </c:extLst>
            </c:dLbl>
            <c:dLbl>
              <c:idx val="1"/>
              <c:layout>
                <c:manualLayout>
                  <c:x val="-3.2721675415573054E-2"/>
                  <c:y val="-3.9677748614756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4C-4797-A8DE-8DD63F0B79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'Helping Sheet'!$AG$9:$AG$10</c:f>
              <c:strCache>
                <c:ptCount val="2"/>
                <c:pt idx="0">
                  <c:v>No</c:v>
                </c:pt>
                <c:pt idx="1">
                  <c:v>Yes</c:v>
                </c:pt>
              </c:strCache>
            </c:strRef>
          </c:cat>
          <c:val>
            <c:numRef>
              <c:f>'Helping Sheet'!$AH$9:$AH$10</c:f>
              <c:numCache>
                <c:formatCode>0%</c:formatCode>
                <c:ptCount val="2"/>
                <c:pt idx="0">
                  <c:v>0.14516129032258066</c:v>
                </c:pt>
                <c:pt idx="1">
                  <c:v>0.85483870967741937</c:v>
                </c:pt>
              </c:numCache>
            </c:numRef>
          </c:val>
          <c:extLst>
            <c:ext xmlns:c16="http://schemas.microsoft.com/office/drawing/2014/chart" uri="{C3380CC4-5D6E-409C-BE32-E72D297353CC}">
              <c16:uniqueId val="{00000004-9C4C-4797-A8DE-8DD63F0B79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'Helping Sheet'!$AQ$16:$AQ$17</c:f>
              <c:strCache>
                <c:ptCount val="2"/>
                <c:pt idx="0">
                  <c:v>2022</c:v>
                </c:pt>
                <c:pt idx="1">
                  <c:v>2023</c:v>
                </c:pt>
              </c:strCache>
            </c:strRef>
          </c:cat>
          <c:val>
            <c:numRef>
              <c:f>'Helping Sheet'!$AR$16:$AR$17</c:f>
              <c:numCache>
                <c:formatCode>0.0</c:formatCode>
                <c:ptCount val="2"/>
                <c:pt idx="0">
                  <c:v>77.537499999999994</c:v>
                </c:pt>
                <c:pt idx="1">
                  <c:v>65.804199999999994</c:v>
                </c:pt>
              </c:numCache>
            </c:numRef>
          </c:val>
          <c:extLst>
            <c:ext xmlns:c16="http://schemas.microsoft.com/office/drawing/2014/chart" uri="{C3380CC4-5D6E-409C-BE32-E72D297353CC}">
              <c16:uniqueId val="{00000000-11E7-4720-9214-D45D6480EB37}"/>
            </c:ext>
          </c:extLst>
        </c:ser>
        <c:dLbls>
          <c:showLegendKey val="0"/>
          <c:showVal val="0"/>
          <c:showCatName val="0"/>
          <c:showSerName val="0"/>
          <c:showPercent val="0"/>
          <c:showBubbleSize val="0"/>
        </c:dLbls>
        <c:gapWidth val="182"/>
        <c:axId val="193819215"/>
        <c:axId val="193814415"/>
      </c:barChart>
      <c:catAx>
        <c:axId val="19381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14415"/>
        <c:crosses val="autoZero"/>
        <c:auto val="1"/>
        <c:lblAlgn val="ctr"/>
        <c:lblOffset val="100"/>
        <c:noMultiLvlLbl val="0"/>
      </c:catAx>
      <c:valAx>
        <c:axId val="193814415"/>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9381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Revenue (Mn)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'Helping Sheet'!$E$3</c:f>
              <c:strCache>
                <c:ptCount val="1"/>
                <c:pt idx="0">
                  <c:v>Revenue</c:v>
                </c:pt>
              </c:strCache>
            </c:strRef>
          </c:tx>
          <c:spPr>
            <a:ln w="22225" cap="rnd" cmpd="sng" algn="ctr">
              <a:gradFill>
                <a:gsLst>
                  <a:gs pos="0">
                    <a:srgbClr val="00B050"/>
                  </a:gs>
                  <a:gs pos="28000">
                    <a:srgbClr val="92D050"/>
                  </a:gs>
                  <a:gs pos="61000">
                    <a:schemeClr val="accent4">
                      <a:lumMod val="40000"/>
                      <a:lumOff val="60000"/>
                    </a:schemeClr>
                  </a:gs>
                  <a:gs pos="100000">
                    <a:srgbClr val="FF0000"/>
                  </a:gs>
                </a:gsLst>
                <a:lin ang="5400000" scaled="1"/>
              </a:gradFill>
              <a:round/>
            </a:ln>
            <a:effectLst/>
          </c:spPr>
          <c:marker>
            <c:symbol val="none"/>
          </c:marker>
          <c:cat>
            <c:strRef>
              <c:f>'Helping Sheet'!$D$4:$D$15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'Helping Sheet'!$E$4:$E$15</c:f>
              <c:numCache>
                <c:formatCode>General</c:formatCode>
                <c:ptCount val="12"/>
                <c:pt idx="0">
                  <c:v>9721600</c:v>
                </c:pt>
                <c:pt idx="1">
                  <c:v>6332400</c:v>
                </c:pt>
                <c:pt idx="2">
                  <c:v>17715000</c:v>
                </c:pt>
                <c:pt idx="3">
                  <c:v>7746350</c:v>
                </c:pt>
                <c:pt idx="4">
                  <c:v>5394700</c:v>
                </c:pt>
                <c:pt idx="5">
                  <c:v>11485450</c:v>
                </c:pt>
                <c:pt idx="6">
                  <c:v>6401400</c:v>
                </c:pt>
                <c:pt idx="7">
                  <c:v>12985850</c:v>
                </c:pt>
                <c:pt idx="8">
                  <c:v>12788200</c:v>
                </c:pt>
                <c:pt idx="9">
                  <c:v>25093850</c:v>
                </c:pt>
                <c:pt idx="10">
                  <c:v>13081050</c:v>
                </c:pt>
                <c:pt idx="11">
                  <c:v>14595850</c:v>
                </c:pt>
              </c:numCache>
            </c:numRef>
          </c:val>
          <c:smooth val="1"/>
          <c:extLst>
            <c:ext xmlns:c16="http://schemas.microsoft.com/office/drawing/2014/chart" uri="{C3380CC4-5D6E-409C-BE32-E72D297353CC}">
              <c16:uniqueId val="{00000000-8E4F-4514-8501-9EAB3FB59B9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84106031"/>
        <c:axId val="84106511"/>
      </c:lineChart>
      <c:catAx>
        <c:axId val="841060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106511"/>
        <c:crosses val="autoZero"/>
        <c:auto val="1"/>
        <c:lblAlgn val="ctr"/>
        <c:lblOffset val="100"/>
        <c:noMultiLvlLbl val="0"/>
      </c:catAx>
      <c:valAx>
        <c:axId val="84106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106031"/>
        <c:crosses val="autoZero"/>
        <c:crossBetween val="between"/>
        <c:dispUnits>
          <c:builtInUnit val="millions"/>
        </c:dispUnits>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Shares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2-43B5-41EB-884B-DBB80932CF5C}"/>
              </c:ext>
            </c:extLst>
          </c:dPt>
          <c:dPt>
            <c:idx val="1"/>
            <c:bubble3D val="0"/>
            <c:spPr>
              <a:solidFill>
                <a:schemeClr val="accent2"/>
              </a:solidFill>
              <a:ln w="19050">
                <a:noFill/>
              </a:ln>
              <a:effectLst/>
            </c:spPr>
            <c:extLst>
              <c:ext xmlns:c16="http://schemas.microsoft.com/office/drawing/2014/chart" uri="{C3380CC4-5D6E-409C-BE32-E72D297353CC}">
                <c16:uniqueId val="{00000003-43B5-41EB-884B-DBB80932CF5C}"/>
              </c:ext>
            </c:extLst>
          </c:dPt>
          <c:dPt>
            <c:idx val="2"/>
            <c:bubble3D val="0"/>
            <c:spPr>
              <a:solidFill>
                <a:schemeClr val="accent3"/>
              </a:solidFill>
              <a:ln w="19050">
                <a:noFill/>
              </a:ln>
              <a:effectLst/>
            </c:spPr>
            <c:extLst>
              <c:ext xmlns:c16="http://schemas.microsoft.com/office/drawing/2014/chart" uri="{C3380CC4-5D6E-409C-BE32-E72D297353CC}">
                <c16:uniqueId val="{00000001-43B5-41EB-884B-DBB80932CF5C}"/>
              </c:ext>
            </c:extLst>
          </c:dPt>
          <c:dLbls>
            <c:dLbl>
              <c:idx val="0"/>
              <c:layout>
                <c:manualLayout>
                  <c:x val="2.0793088363954507E-2"/>
                  <c:y val="5.7690653251676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B5-41EB-884B-DBB80932CF5C}"/>
                </c:ext>
              </c:extLst>
            </c:dLbl>
            <c:dLbl>
              <c:idx val="1"/>
              <c:layout>
                <c:manualLayout>
                  <c:x val="0.13089315398075241"/>
                  <c:y val="-8.4497302420530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B5-41EB-884B-DBB80932CF5C}"/>
                </c:ext>
              </c:extLst>
            </c:dLbl>
            <c:dLbl>
              <c:idx val="2"/>
              <c:layout>
                <c:manualLayout>
                  <c:x val="-1.4751093613298337E-2"/>
                  <c:y val="-7.30788859725867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B5-41EB-884B-DBB80932CF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'Helping Sheet'!$L$10:$L$12</c:f>
              <c:strCache>
                <c:ptCount val="3"/>
                <c:pt idx="0">
                  <c:v>Instant Foods</c:v>
                </c:pt>
                <c:pt idx="1">
                  <c:v>Snacks</c:v>
                </c:pt>
                <c:pt idx="2">
                  <c:v>Sweets</c:v>
                </c:pt>
              </c:strCache>
            </c:strRef>
          </c:cat>
          <c:val>
            <c:numRef>
              <c:f>'Helping Sheet'!$M$10:$M$12</c:f>
              <c:numCache>
                <c:formatCode>0%</c:formatCode>
                <c:ptCount val="3"/>
                <c:pt idx="0">
                  <c:v>0.30102231241850769</c:v>
                </c:pt>
                <c:pt idx="1">
                  <c:v>0.35216653632543776</c:v>
                </c:pt>
                <c:pt idx="2">
                  <c:v>0.34681115125605461</c:v>
                </c:pt>
              </c:numCache>
            </c:numRef>
          </c:val>
          <c:extLst>
            <c:ext xmlns:c16="http://schemas.microsoft.com/office/drawing/2014/chart" uri="{C3380CC4-5D6E-409C-BE32-E72D297353CC}">
              <c16:uniqueId val="{00000000-43B5-41EB-884B-DBB80932CF5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Shares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7EA-462C-B59A-E2B47E443A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7EA-462C-B59A-E2B47E443A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97EA-462C-B59A-E2B47E443A87}"/>
              </c:ext>
            </c:extLst>
          </c:dPt>
          <c:dLbls>
            <c:dLbl>
              <c:idx val="0"/>
              <c:layout>
                <c:manualLayout>
                  <c:x val="6.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EA-462C-B59A-E2B47E443A87}"/>
                </c:ext>
              </c:extLst>
            </c:dLbl>
            <c:dLbl>
              <c:idx val="1"/>
              <c:layout>
                <c:manualLayout>
                  <c:x val="-6.1111111111111109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EA-462C-B59A-E2B47E443A87}"/>
                </c:ext>
              </c:extLst>
            </c:dLbl>
            <c:dLbl>
              <c:idx val="2"/>
              <c:layout>
                <c:manualLayout>
                  <c:x val="-6.9444444444444448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EA-462C-B59A-E2B47E443A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'Helping Sheet'!$Q$11:$Q$13</c:f>
              <c:strCache>
                <c:ptCount val="3"/>
                <c:pt idx="0">
                  <c:v>Online</c:v>
                </c:pt>
                <c:pt idx="1">
                  <c:v>Partner</c:v>
                </c:pt>
                <c:pt idx="2">
                  <c:v>Physical</c:v>
                </c:pt>
              </c:strCache>
            </c:strRef>
          </c:cat>
          <c:val>
            <c:numRef>
              <c:f>'Helping Sheet'!$R$11:$R$13</c:f>
              <c:numCache>
                <c:formatCode>0%</c:formatCode>
                <c:ptCount val="3"/>
                <c:pt idx="0">
                  <c:v>0.46025580832374668</c:v>
                </c:pt>
                <c:pt idx="1">
                  <c:v>0.35779748670484585</c:v>
                </c:pt>
                <c:pt idx="2">
                  <c:v>0.18194670497140747</c:v>
                </c:pt>
              </c:numCache>
            </c:numRef>
          </c:val>
          <c:extLst>
            <c:ext xmlns:c16="http://schemas.microsoft.com/office/drawing/2014/chart" uri="{C3380CC4-5D6E-409C-BE32-E72D297353CC}">
              <c16:uniqueId val="{00000000-97EA-462C-B59A-E2B47E443A87}"/>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B96-4F12-A7C8-F06E5A8AC6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BB96-4F12-A7C8-F06E5A8AC684}"/>
              </c:ext>
            </c:extLst>
          </c:dPt>
          <c:dLbls>
            <c:dLbl>
              <c:idx val="0"/>
              <c:layout>
                <c:manualLayout>
                  <c:x val="1.0844706911636045E-2"/>
                  <c:y val="3.28273549139690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96-4F12-A7C8-F06E5A8AC684}"/>
                </c:ext>
              </c:extLst>
            </c:dLbl>
            <c:dLbl>
              <c:idx val="1"/>
              <c:layout>
                <c:manualLayout>
                  <c:x val="-3.2721675415573054E-2"/>
                  <c:y val="-3.9677748614756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96-4F12-A7C8-F06E5A8AC6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'Helping Sheet'!$AG$9:$AG$10</c:f>
              <c:strCache>
                <c:ptCount val="2"/>
                <c:pt idx="0">
                  <c:v>No</c:v>
                </c:pt>
                <c:pt idx="1">
                  <c:v>Yes</c:v>
                </c:pt>
              </c:strCache>
            </c:strRef>
          </c:cat>
          <c:val>
            <c:numRef>
              <c:f>'Helping Sheet'!$AH$9:$AH$10</c:f>
              <c:numCache>
                <c:formatCode>0%</c:formatCode>
                <c:ptCount val="2"/>
                <c:pt idx="0">
                  <c:v>0.14516129032258066</c:v>
                </c:pt>
                <c:pt idx="1">
                  <c:v>0.85483870967741937</c:v>
                </c:pt>
              </c:numCache>
            </c:numRef>
          </c:val>
          <c:extLst>
            <c:ext xmlns:c16="http://schemas.microsoft.com/office/drawing/2014/chart" uri="{C3380CC4-5D6E-409C-BE32-E72D297353CC}">
              <c16:uniqueId val="{00000000-BB96-4F12-A7C8-F06E5A8AC6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'Helping Sheet'!$AQ$16:$AQ$17</c:f>
              <c:strCache>
                <c:ptCount val="2"/>
                <c:pt idx="0">
                  <c:v>2022</c:v>
                </c:pt>
                <c:pt idx="1">
                  <c:v>2023</c:v>
                </c:pt>
              </c:strCache>
            </c:strRef>
          </c:cat>
          <c:val>
            <c:numRef>
              <c:f>'Helping Sheet'!$AR$16:$AR$17</c:f>
              <c:numCache>
                <c:formatCode>0.0</c:formatCode>
                <c:ptCount val="2"/>
                <c:pt idx="0">
                  <c:v>77.537499999999994</c:v>
                </c:pt>
                <c:pt idx="1">
                  <c:v>65.804199999999994</c:v>
                </c:pt>
              </c:numCache>
            </c:numRef>
          </c:val>
          <c:extLst>
            <c:ext xmlns:c16="http://schemas.microsoft.com/office/drawing/2014/chart" uri="{C3380CC4-5D6E-409C-BE32-E72D297353CC}">
              <c16:uniqueId val="{00000000-9C24-4123-AD2E-D7F6EBD5E51F}"/>
            </c:ext>
          </c:extLst>
        </c:ser>
        <c:dLbls>
          <c:showLegendKey val="0"/>
          <c:showVal val="0"/>
          <c:showCatName val="0"/>
          <c:showSerName val="0"/>
          <c:showPercent val="0"/>
          <c:showBubbleSize val="0"/>
        </c:dLbls>
        <c:gapWidth val="182"/>
        <c:axId val="193819215"/>
        <c:axId val="193814415"/>
      </c:barChart>
      <c:catAx>
        <c:axId val="19381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14415"/>
        <c:crosses val="autoZero"/>
        <c:auto val="1"/>
        <c:lblAlgn val="ctr"/>
        <c:lblOffset val="100"/>
        <c:noMultiLvlLbl val="0"/>
      </c:catAx>
      <c:valAx>
        <c:axId val="193814415"/>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9381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D5D12091-58F0-41E3-BBDA-FADC4AE45043}">
          <cx:dataLabels/>
          <cx:dataId val="0"/>
          <cx:layoutPr>
            <cx:geography cultureLanguage="en-US" cultureRegion="IN" attribution="Powered by Bing">
              <cx:geoCache provider="{E9337A44-BEBE-4D9F-B70C-5C5E7DAFC167}">
                <cx:binary>1HzZct3GsuWvKPTQTw265uH09Y0whj1zpgb7BbElUgCqgMI8fn2nRMlX3Je+1umjE9HEiy0CBSRq
VWauXFnY//Fx+sfH/OHYvJqK3LX/+Dj9+jrtuuofv/zSfkwfimN7VmQfm7ItP3VnH8vil/LTp+zj
wy/3zXHMXPILQZj98jE9Nt3D9Po//wPuljyUh/LjsctKd90/NPPNQ9vnXfs/nHv21KvjfZG5MGu7
JvvY4V9fB2l67LqsTY5N+vrVg+uybr6bq4dfXz+58vWrX07v99+e/SoH87r+HsYSfEaEUExzgr4c
+PWrvHTJ19OKnCGGieSIfHvmxbGAcT9qzRdbjvf3zUPbwit9+e/p6Cf2w8m7168+lr3rPs9dAtP4
6+utu8+Or19lbRk8ngjKz8ZvL7687S9PZ/0//+PkD/D+J3/5DpjTyfq7U/8Nl92xKPpXR3f/an9s
0yJrvk3Uvw4OpWdcSM05wvrxeAKO5GcYSSHEt9Pi26MfMXq07H8di+r//Ihtz0P17E1OENvtXxRi
v7n7Y3F0XzC7yD6WH8D7t20OELbfJvBfxw6TMwEORRRiT0DT5ExRTISi6E9MH535EbT/R+OeB+9/
vNkJiL+BM70gtzs/3qfz8dVVc7x/aH9mQASfowpLztVzAVGqM6KUFpR+dUn6bck8wvfjZj2P2On4
E5DOr14USOGffhZm/beJ+td9i6Az9piunsfos4sBeFidgPPD5jyPzcnwE2hOzr4gV7rqnTl++Hnw
UHSmGMFcE/kk9EG+YlgopJF8DH0n8Py9Hc/j8m3cCSBX/ovyFYjVafNvCGiYn0Ew41jp/0o43zE8
qc+04AzQYs+C8uNmPQ/O6fgTkH57WQHt7gFoQnJ0QEZ/FgPH8gyimOAaq6feos8Q0p+Z+Vdg4PT3
ROGHTHkek++GnsBxt35ZPtP07gjVV/5v4AHyjGtKleb4kQdAAfSd22jxmXtTKb451Qn3/u2fsex5
lJ65xQlav928KLQ2WfFvAoviM00oh0L22SpWyjNCBcEUks+X4wSsf8aw57H673c4gWrzsuLcb217
LL7Fm59A2MQZ5QycCbLQ4/HUmYCwgcYACYo+n4P+zprnQfn6EidI/Hb7opzGz0Bc+olI8DNQFBTH
/DNDhuNE74HTSAvBNIS777PN35rxPARfh51A4L+suBUeQe17VAuOoL692hyHhzz7Nj8/wTvQGSaa
MKyfSgWSQo5BjHD5NarB6e8x+efteh6kv7rPCWp/ddkLqnTChzz9mcCpM8Eo1QgkuGecCdIOxpxJ
8LbHsHaSdv7Wmr+A6/ElTtE5vKiwdtXf96CvN838bU3/636E8ZnSBAtCn2cB+kwCQZCEPYL1OfR9
704/ZtLzmHw/9gSYq99fFDDr8mfWNvyMCkqoJs/mfcnOECdCC0IeHYQ/ReRvbHkeii+DTjBY//ay
MOjNsTl23ybjX/cMAmK0honGX4UXrZ/wL4mh1pGIKrjk8fj26EdRc/339vwFFt8GnuKxe1F4bI7N
/FNrfqLPsFaQ72HBf1dUSqDJDEF8Yn9Rp/y9Hc/j8OcLnOCweVlEbAdU2KZHd/9tef4Ez6Bnggug
X+pr6fFUhFEcOnAMU+jXPDrGCQX7IYuex+S7oSeo7DYvyjtujubYdgDLT0RFnHHFIHGobwHrqZ/Q
MwU9UQJtmsdUfpI3fsii51H5bugJKjcvK2btj407dkf7M7M5O5MY6hH2tflyUjtC9MJQW0Jl+XwV
/0MWPY/Kd0NPUNm/rMz+puuggPz5TUvxqH/hr1rlCTIKQRQTlJNvQe6k8fLDVj2PzsnwE4TevCzl
a//QHPOf6TTQqwQBH8PxJ7d6mvIZAt4FjbHHUHaiu/y9Oc9j8m3cCRj7l1UlHo62TY/348ND9fOS
C5SJRApod6mnuf5zNcKIFkqepJMftOJ5IJ4MPkHjEL6oRH9+BP4Fe5y65mf6hz5jsPdMUZB/vxz4
aar/3GdRmpKvTTB9gs0P2vQ8Nk8Gn2Bz/rJI2AUok593MP08NyHiDAmsoKPybODS7IwJIGDya6mC
oNf/vZryIwY9j8p/jTyB5OJlBa/L+wyC17dZ+QmlCmRxTBFj4CrfqvTvMokCQIiCLgvsr/hynHjK
35vzPBzfxp2AcfmySse7Y5Hlry6O9/3PAwQSCcICKNdpIlFnDElEED/xiR8z4nkYvh97AsXdy9q5
94UuHn9yHQ97jqBKR7CX+auEdZLb9RnAQaHM/+o6J87xgzY9D82TwSfYvHlZW2PfPbTdK/8Btrjk
P89PyOdyHXYYIfl0P5iSZ1qC5Mi+1ounuf0HjXkelCeDT0B55/9/zbueb6g9JtfHNPLkin92xz+B
XjzhSPFv0/6UcOnPkr2Q0CR+TCMnTauvW/H/2prn4fg67Inh/+Z9/X+95//PDyJCUEiiL19SfLft
/38+++X14BuPk6Ffuc+zWf5xrrb3v77GXIDy/ucHGp/v8YQ0nW6WOx35AELbr68h00vYLwYbJjjB
DHQyiHUjOO6vr0GCgR1JnAqsqWJwEYDnyqZL4dEgOcP+GIkwlvhLidOW/ZcT0BuADo3WcDsByo7+
8zOWqzKfk9L9OR9f//3K9cVVmbmuhbui16+qx8s+v59knx+BodGgtRJccQFxtvp4vIFPZT5f/b9F
m3sD7k23avpkbG/TXqm7RXquCnmpxSWTqWpDD5f1yqGpXDHUmSjvEg6V0p/T9owdhEjQNJ5YAmZI
iPaScsoE7Oj+bOl3liA+iMybNYlK3LZvrZr7MBY63g5JQe56m+nDJIS/COcXcTkFVdlvVK69CJuJ
b+BP2crDtlyXNi3+4GmFfJdmc+3nIsvCIon5FermeLuQloSz1v1FarK08E3NbcRqj1ynbeP5WU3c
VqVFE3i1t3TBlORx5DV2DCmXc+QS7YIU9eN7TJgkq05wFxk1673oLZ99TQYbGLh+9sd+wtsmFtOx
9BwJesMuiox6GyUMz/2l7egRcZSfc5rHjd/Veb/4E6r3k+iCTMzTB0q75R7bht9pWATrcqbDrrNj
e5XltjS+SW1W+slYfuikare9GJrLlHV4h0pMQpGqfgWRvLtKBI1D5sgcIUN3eVltpswzftGL5M3M
dF77hs1twAwW73Ef66AUiLxJR+2t+srSrXE09peBkkOdJt4KLkHrScYiLMe02bQM6UPi0XE7QFc9
bOZ85eZkDmtW9/u587KLPmNJVI11Fcm+Jjboa0dXsxx5FHdsjhIuujteoyrUWUlDmdTpbe5G/l4u
Ko6auW0i2iC0qVq6wKvVV4udZ78Q3nieFNbc9ePkvRvHelgZ3sQb0EKR35Qki+qyMgFdmuG+LoyK
RGHdNSsUzfxYeP35WBXNLksoC6E/vWqn8Zyl9UY5b6/qVKySyROrAclLSU06+8gmOFhQtiaFI77H
Gx5J6/Ta0rnz21ZUIUvnfCNSL3TxYoPWFFEr2qu8z4Sfp3Hty7514Vg02YYOLA2rrqkvKmu795lJ
urVruzJYkqQLZud5H+RST5Ea3HxRcD2EeoT1lMGyWrG+tVFF2+Lz/4n7pOn0epyq5N1CPOJ8Dw/z
ecJGB88s8TWaKL7qi2G6RJW3BHU1TOG4VJlfaHeZ5Xnjp0W/rKuk667znIt1nrPlmnWxierFy4KC
ijIYxJJd2Tlzl/CVTBJRkvHI9UZs05qwgKd1EjYOkWCQXbUpx6p6mztKAU1Z+y63aeR08YmOaRLh
URd3MZOjL+dGhnCPMujTWmyGSS+HKZ3YtuSdWjuXkIi6WZd+WcgkKDytoyZBKpimuAqbhGabpvNU
ZJMZTWvJS9T6VjV81VM+SAgRAnyttSL0qklS3xVzsTF9TndzKmO/p5O4zFqP3gzTGCDXXkzVsqz1
UPJzVbJ5bXI3hGwQ+DxR6aWGIBMRxS5RXwR5Ok5Bgly/HzDNPs5lk34qkqkPdN65AOslPsx4RJeL
pPX7BKL+hva52DXDUJ27kXXbxQ185UkpLlswO6h7Ht8kjtEjqVS2E6bjm27s+48Ny+sbiMxqm8uy
+YPUvQmwNHGgE1GkQZX1vfM5S4TdKsaDCRZ/7cey7+c1X+piDNPEFLPfVnW/ilM7rnirVXXhBjS6
sG8Sc96PVRKmjWdWJhlokJaqdX4cJ2mAXSO7kNSI5oHqB9r5mI4iHLL4LWVefMmKrFwCwnVJ/CrN
AWedkY7/XmDVX3ukFLlPUNu8betqCSyOk0vRNcUOkt9wHtN0XkFMm9ft3LvdOBfp7xV2wxCopAG/
Tgev8yeq7WqpRpcEBOuJHtLK8p1kLGYRrfTDbIVNtpVzdTT2ndupvOXvWaa7zWLKgvlDR0ffKSnW
jslp8aHIqD5lpZ2rKF6a7pNsVevHw9K9L7DuN5UoL13qvaunsd04D2FfY8F95bJi8asc68Kfhe7A
/xf2ey6t0L5Ik/I9K5p8q80MD0Cj3MZjpoK5KNw2JfGYhx6Jpzbo6ji/wuk44HURj2zaCjMP+lAV
MbYPwuNtf4NNwW6TqqTTqqu86tiCKxzjmLi3ZZ5653UiXOrHJSToCDfwtEIv45vKsMaDJBWzt8kw
vLeF9vaz4lO8R2xuAiHGRQS8y1CAMjrSQHxe/0nV0Bs3qUKFxrk2mLJZfMIz4TeQClu1HaXJzXXX
tuW2kzi77ZsaKAHuJxFSXBN+MRS6/pQULUVRmknxztUT/TiPat52VcXXczaIvZgH9aALiZkfE2Q2
nsL8EBs2pb5Xj/UtSbk4dxPMqrW5XA+4Zj5rvVrc2FjUvxdM1DcMovXtXNT1xjhvWCVtQviqsqkS
vmZqOqdLTDeMZ0kkW+AuI4ul3w2jfNumKFeXLY6l2Q32xtOD2htiWp8xm0TIlnEVGI1q9K7UTfb7
yE1P/KbKltYv8qSjUVb2/A+B0tpdmqU2ZdRlbjF+mysU5dhrWn8hGl9jR0sIt15ynY58fJ83FX5D
vZHelh0udhq3fEXoVF7GuZe8cUKnW2A1tvLFALcArjWakLpmCPMpG9d1Sbo9lkwFwNK8az6Tco3r
vg3cuJQPMpvISg2eNwckiYc3zYSdCa2p3eALZ6eL2Raki5ZlJtRf0qHgQVKU08bgsQ/HJNnGbTl9
SKU3hmUzp+8SUrTnkiZF4KUpDlzBaDDABAfLAPmzMHXg6Ult02JaLvsuF2FT67YKKCo84GJqPU0m
TyGo2qJtAxuX3bSvYuexws/HnmxkOy3jri1NugM6U4YzwSa9A9og7ljbp1OgKsjva20kvrJ1vvjj
LGApLKVoA9PQ5gZGrbiZs3XTT+McFNyFIkdyPybtHKXlnBSha5v2fRWLxY8Nn7fYkG4V2yaBdET1
ytXc80ss83VcLsnlsMx81TFYoyxt1EF4depnSZP5GfMr9pCi7dS49wL1x5hL31C7I/J9M4yUBPkQ
9z6bvPYD8Mty1WFeTaGb5uGdl871Vd5kJqI2zm2Yg/Z6UXqQLNcz6oUJW6vXyrMmTKzO1ybmbGOS
RKw5ylSInRjqizKDYKt4j33cF1U0xQjPV+2ESLkry4WfC10MVylPvcYfaG72mdX2bujj1Cc5Qms+
tPnWtNxcDWlK28hU5fwwkCKXQVKO5p3qdBw6j5ss1KaVNDCIiioYMS2LqCwUmaLJtcjEPh8aSLUD
l+lWtVMWmKwa2yCOi2TDp5Ftl7KpVqJu3MHJHl2YUdYE+K19O5UpJbshGbzQjFjGGx3Hdb4xyriD
IqqvfLzwDbzyGIgBe5uBDvhD3yb0io2kBV7dzugWok3KYeH2fRWmUxaHTRdHxRAPO5voQ2PVikqb
R0B6qnUSu+Qwct76pM+94zLGXbseROftlDHHmnr6sqYy9fx5IflD72RyaSEqQvbvisRvJgbVQz/H
c2gZcucyz4C9eQN6W6FMX0GCq/clGtlea69bQe+pX7GJwJqYyvgTz0UeWUzl5cQzAgRa9llQjhJD
FK28t55YIIbMUxxPga4cWtuqaCOZ8/pmGQWL/akj9KKJkQ4yvUxHbvL4eoYoviaJh/yi40DLsMuD
Pm8fGlYVgUhQHUqOK8icSQykc8Ehx+NF3AApyEa6p4BQZGYro0Gg8k1FJIsEJBo/r2oTFVksz+c0
T9/ivrmoiehWrS3bdV6SdoK3XrpDwxO7F7aREEhI3m9KqDFCnaRkixifr9nE84Dlbp+X+RtBigcv
VpfdoErf4tQG9WTRKkvduPUyBZnJtEEpZesL3C2XeV0XH4e56S9LYF9+ByzgkC423QiVjDuJP9jR
+l3XsZWlNkDJNG+ox1KopZYxnNO5WGFISIk/JHNqgixJNiLr5yAmo1+m2ynju3QWh8Yle7tk4jyR
Cd47lTW+NXS0wVLxKszx4AFlLO7VWCfYb4fxrgJnWjGXlIFQcxWg2mZhqgZ7nczAaOMmYXvV9eya
4ULtBlQNUYeNDqWnsnUM3r7vZzk5n5YNBgrq0OdlyAM5w9LwpiYPSz5t4lyItW2ynbLdGqVjiFW6
RnKANT0Ho+N5CKwj28UFNkFDzLRvQPwJZwG5yV/Kst9iWeCV8Qz1E8abJihsw8JlmTYsqzc1Ag6x
sEEFsFGz9RNh8m28FBD/hgGgjqvSC9Ji9qKyTb19mtT6PeIVW7fxjN81Cii7rpN8V01LH2IPJ+e5
x1nERz1slsGQPxRV9J2QS3UDDNhsuzgb3loXl1vqKu8GDz2/sUttIVZylfrMNemh6Ux6nhb1EiEg
bR+hsQ4lNK6o8VlX3tO05r7HusNUm31bxDycUfwBTZD76BwsnuVBn3l3tem9PZkH4VejbjfenMvt
RHp9PopR36rYdKFLahOUGAjsIB2NWopVyGV1QKnDAc7KUKDYTymDKhIVN2aYLPAE1xyxcCwsPBoH
DEr8bUvJZrKLt0M0KyKHx+6i0127k9re8DINuHLCJ6y5KMm7Gk3nvUXRQtWKdOJ3m46XbkR4Y9Pp
VmmzSrziZi6aTWzx57QkEj/G5RAANXzXJPp9UeiQDNmxAWEjyBtbh4ly6Y2Z+mKjOwGBfaTuwOxI
YB035VYru1c8LXbJxJa9aFIvklzlm8KqNZttGViT5psYuWw7dnmypkN/i6jLfDW7ISA5FHjL4NUW
FkcptohDcbWkhf1IiSkPtpdmCbLRidD0ECMJ8jZpaWjIuxytE13Eq9LKeD/lvIg8nbQbjaHS911t
5CFLSOyrSYZLq4Ztk9t8nckt7tM9LshmoUUdVTjjb6pKdgfEJH2TGVZBzB06HXEyQ2K0RVEI38az
6gNler5a2qx66406DxWFEmURHrCwRVf7tETDbSWLK8uRb2YO1w8iSonZdUX94CbenBd29go/UchF
EOB3qFJh3eBiBRJTtTXKxkFNJxsS28znC8FDKOCjjY8U3s9Pyt52gXQTe997qt4ORqmrqXd8FaMB
h05qv03yKhrqCa3E0AU9jRHEvPI9FR66GWLTQoUz6fm6gI4S8ZUnmlXHFVnDL9CU/jgimHorbSCH
UUej5yWJXzX8UDjGQlGJ8SDnWB0GWp4nGfKnBT8wylK/XeRO69sJ2TBL6dWc5duiyz6MSf8wJ42g
PqpKIOKknnKfi6TetLgpV5A2vWDk+RQa4qGo9IrxorcDhirbyzaQuTYW8w2WbTiyIRyRsj7U4Rul
SnAoWUSQbR/ESC48x/W6lcuGe3jP1bD4wLVW9TD83pMxaYKJUrutIR3cNhjNFzROf+8pWYKm9N7S
TPPLwkzd0eO02sB531mgLRIKiC2toRoDiuLdTpqel7QOKzOhQJaVONSkiX3DyXsI4IkvUM3fUlrg
0EvFHKoZvy1gY0hohGqCpUlXwKGDprLBXHYPPWqJP0Bq9rVsEt/2qvHnQnyykmxFmm0LOwXpWNzV
IgN6yccgq4fEryGBr4q4oiBurHM3v/cqxcB7PBtlY4wyP2d5dwtFdrvKWXZu4iFba9xdjU0OVI9m
6VXa0jem1HMgJzqEOEfAFzEoRhKT3qdttprqLAtYRnKQ8jC7mCbRhiofXGgbE4fciYi0KBJNWTYB
x8OO2YOn0b4aswzc0d32pvD7we1i3epN1vYXYtFTE7Z9r8O+xMVdUpfTe+26nVla6+dQcPhFNW1E
nU/rrsqIi/JpLrdZ1/Yrzwq89XBKNrbFw1W9DMkficVNAB56hJL/jjZ5MF6Ryu9xfS9B57ob4Vd9
thio7zYFZShy03DwRA4FtRDLCk1SbRjJDdQm/WVSgNzS92X1lmKzbKyZ+8TPPEUjXFXGd93QhHU1
VwciQTGDsiFeDXIRt0s6ZkGMlum8XNgEWiYR9VYI04eNN2Wh09PBk4Xz9WgmAAol64rEWSSJnLVf
VzR7M/CJXcA6i0g/H2YRtwcTs8UvDQLVa7sYoiIY275vW+ZtCVSKUUnRHMIz5cdqidvNoMdbHZvb
gpTpWpamWje6sm89B8p3zZurnjqwK0NZZGsRh17s9VECeR548uCB+MoYsPDqRqBh8BfgCfMiWeIj
r3bbpbJVUI/j77wcJpAOmnQrsoSd54jYMBlSDyTi3Fa1D/INsOVxouogk4qXPuhClQy5getiCiJU
6lJQqGp+L0Hq8ls7kysnzHRt2qTGof2sh8NvN4ygpE4rS0jyzi7cHlpVup2jYqqiNjNx5ntx66wf
z5NZjza1fzRm7NadpXxVAtMEQmX7sGCQkbMFNcZvZEU8iAtzjs81l0NyGMS8d9x4b2NSLb6poPSI
Wg/jO/gpJDz7RFnb+nlZmMPUAiWTcYU3w4jRfpKJg9XpiiX1p1nIC0lFto+Ttt7AEBohknUHqOXJ
20znfIs7UX9q0wqoY8zaw9hAweQ8iq6J48mlJ0q6rtPGrOvWAQHCosZRkvWQeYeq4Ac0dGED5A9+
CYY0vgGV4qAbTm77giS7fCbkDgK/u+wFTddDUnfOR01dr4kpaL2aUEG4n9fVFEDxX0Hqk0sws3oA
ma3uQQkrZ5IelYB44Wd8tG8IVue95g7EzNFdmboUAZ7YQ6wR/YAoLtMQdnfG93GeFXdAQ343mlu/
ts016ds7ou0QDp8Fr34ZN90yVysL3Hk/TQiWKwfhSwk3bCZvcceKZ3KjKmaCKolRNJQdrCKQB8Nk
tssV6ocpgD5Cl/uzVCCbWdKBazEQ6EQPJUUpV2VmqgtlaR9U9STXXdq9Gea0gMlv3mW4roMmK9za
Ei4uli7Jbmavrf9gifJSH8VyXFPeszroGU39ikNhk8R3aar1Fn51B+hOX/pC9fspMwYC3mR2M5Gf
MqD/PjVFF1qQoCASTLwKhl7pO5wXkEzaxU5h32F3EEt81cvlSiRCX6dSTQEe8mpVduSjSxUsRp7R
86kAbtyYhe5bM3vHQSRJFJf6D91htRFVOvjAklgwDzmQME0rD1pEudlOA8EbyLpQGpNdBqzpjckx
vyAYlp+TXrLrJ+VtoLAbIyDv110mPH+CxtRK1t0BA1FvVTes6QKqZDSQpd3a1nkXwzxpEDHYXVoJ
eJwtoL3SWOOnnhjCnhiQ8Bt4+bwKOkwvvaVGB9gWv/gq5maHVQJFsbUalCFh952bbjBpwDkbJ305
jnhHYn07Tx3bp87dInAiH/Fx1QxSR1OX35W5uZi7BQWpqJg/EZNhf7Gw7Svg/YI2wjXdigDDgVgI
0iiLOj1ATB6lLfe6pF0KKkDDYDGPCejVAgIy1k31ZtaeuC+5BNWyTHUAxGIBeHm7LWEZhrOqyhRK
alutKgiL513axlfNsiy7uRPqXOkuD2xl3vBEXIvW6FXP9FEYvM+n5KBA7V4z3gIVnOm1Bl60z9I+
aOoszIrm7dyb93woQWhtqzSoS+l79jpuhzRcoMFy23BaBMQr8xuKymZft2UXDolI33JixMY2I1Ca
qS3DrlFhsmAZ1mnFIqkqb1102k/66wl6TefJmJqdAV87FlOcxUEuK6DdXQPaS8/BAxLHD7gn0Ber
WYEiVXW7ZGAqnHCzhV/IKZ3P+JKt1QwtwT4DtuAbOUM6KfLYBYgzBJKjcOv/y9y3LcmJa9v+yv6A
zQoBkhAv+wGSJOvmupfLfiHabhsQ94uQxNfvkd29epVZvpxFxInY0f1SdllJCk1pzjHGHPKHJsRr
FI33QoaCnhOgnl0IU7efXGANiB/lddcYVF62wj7PAhBV7XjHDvvbTWhrGcTOYpzPa4XEDOehvi/1
ulzkfVsVUTjO5JWVo/OEut+/XrGUX0xbL7EBxl4cKlVMt9gXpgHfmtYfuQmXz0Uwo64DaBAuIIWq
iq1XU8vKCugtVS9snsrbxTEIY1vhJYBj0sW7bNXSRutcIs2sez98ql0+XRSmW7FdjWT5oEnAnlXh
Fm1aB8Cp2px1LZBMSjtkg159mzPhtLFfm3CM1rzRK6akpH1MvaB8VrUeL0BHIY1rlVceUVHTU6Ca
co1413v4Xa9Z4rDSy6sM2s9F4zvxbOfPKMudJRrKTh7I4H2ukfCBcFsBWEWOBCQyKSKuFm8usVN0
+O+g+na6sbwrkFIS9trKCrGEvybTjePz6ZNfe2UQT17WHXu1sN8lEvLjulB+IbKc34BlNe/U2DWA
x8AJj1zPx76s2b3iFDtaEeRYKEOAt6cK7p8cJxvBPxU2lugjOyNdbYRUcYF0h6ljOxsvDlxZnogZ
H7ihoCHrzG1jSZkTy0zWN7PDzSOQteI4dE28rktIYuEMzRxlFeclwk8u+SHgpjgEbsY+dd0wLwmt
yXA5OXXz7M2he/CAyp4CU/u3tXaqKQ4yoUFFe37sDxxZJXVj4ucBDj5THsEopoPGAs5X8VtbkPwo
hkzeYeEPyeqE6qLzOu+WLMVv4QRELyqR00ZKLx9oP6t4ovmQVHS9U8VSH7y+CSNFVhVlhWdjPjfr
YbCvfXmoJjJEvte9AyPY4d8P7nPeD4fFVmMalmJ9aZeCHEzejYmSSh+McYMoq8dLv2WoOoJ1PKEK
LI6T72QPqifY6xX/aLK5sIlsxZCQcBlvpAD4ZQCBPdAqq+pItow+gWxaj0Uhs3vd6vI4G8d8yGb3
S70CdKjCjN6249i8tCXOjq4SJEJzU3mvdOinC+N1E4/hUJQRWBS+xnLNwqsSsCSqjkrKp0KR+SHw
QPgkXlPmS9x4pLxioUVKkAvqHnIfZzKrgjhbffNobOWeSqaWlJoQBVp3ZtXKC0s7UKf+EiTnkzpA
4ZEEYdPGPQQBUe8O5MWofoyMmizQlKU+E7PuQZZ6STrWP6EyQ5Yy0zEVXe/fSC2XY2Pr8mAr7yP4
t+wKiYi8rpFNxs2AgsaWDb9iPbbaRco6seD+bmpZsPeBsyZNTvRRlr49TfMcnKq+H6/61S2PlZrI
Q6G9JQXJAJhz7nUP7Mb2Qzq3OnssFsPfAa7EV5EgBYOhpVegpt07zCpFfkBtf+NmisVg11oTdWvg
QUbRi/W6XU3w1dq2qVOwL6gBwbqZSz2GZSzoitUDLPUpX6m69VV/5+TroQWadzOYmV/QOpBhBKem
7ipvc4BxA2ErfmFc1FH2bhWHa/d10NxtI81BqQSdr36vIR04zk6dnfy8xud1U++lLhKFK0rMqW4s
WrQWyHiScHF0EOWsLV/wfj9ab5CpAYiAowu8epQ3Lso2kx24nF4JlUVa0LIqI+0WbIwoYDqAO+Dv
yAH6YEdFq694oisOSnF0lyu7Gh6LoVUfZuvbO2lxPvZDIKO5QGEw+t1V0LJpinrOcNiAM0f+P9ii
fJgHMQAulpN/6+fYoeeO3IFrOJYa67dh9tmtWfX76jTl0xSOwe9g4MJrptzLUkm/j1Bve0CLPD22
2AvdOh6N0706IGRvO3cYI9a2LlaF6xxI5fcfdShnG5lsqbzIlBxQMHKGz8BAUXl4g3+be8RPIAyS
HV5ccwvi31x0RRv20WQoucqbEqEtZxBMDhsg7HI+ZKMZP4YF8o2Ydwu5AvqM02aRTH7OAFaiTKCa
p7525QmanRAvSA3vAQx9KIv1kzZhjWOcj8++V9QX5cDWKsJxWr66qD/fz5aA1lGE2JMekaej1phQ
TZEa6gDULIc8LJekqkx7L2yzxlkr+O3cNEHi9bU+rW21rDGQvvnoTnlHj22vocnQkcw0KtHZiW3t
x38UOBVgieMajPdgvNxoLDsXKEY+mZNwvBBUhiNSZzDefUfJch04YF5n7EcPEHk48Qqk/4Ck3dzV
LKcnb57z12Ju/eehmitoHaBaAdtDIOZw6JJO6oyPO9XovpOeBu5ExkaA8JqnWI/VoSsZxERBjpOg
bC2A9qWsmsjV+WF2XO+aqLqN59aDyKddudcfOhHIAx94m4hg+irdcj7MXTaoaJKQM4xVvSae7z4F
wPbjEn0GKcdumoDfba6d2rtjS7seJ96xyGNr8M6OQ4d635hPS+0PSzQJLe4pyO8RJdIaviOl2zyA
pA0fPYeaOxDY/JMnivbKsRy8WkuWSzkGdo3zvFax3xXikVqwjNafXyfg0FU0qnG98UtTHaGkGVMc
pdC7lFbdKq95gHivujbIuU4ynPwD1eJlaMbiMMmhRCopjHweoNe504thJiKKyhczrOAIHLFC3FQu
fdz7682IBRG3Vbb4UWODi6mo0qLRxSVrSsCRmRCXkrF3fVY1B+U34tR2tr0AlrHEa9k3iAijL90e
wplVjsA3xyBo4kxY8pq1I1Qfvu+/d7j/IMbsOTS9vivGvD0EGaq4apzyQ6NZcWiMvC/AE5ZQQ52o
CBA/YWivrOyBvNamfVd1yxi3Y3XhI529b4MSuAGKqOvQNraKUDz5N30Qdifgfp/F1D9RYq/yHISR
cNhlOzQgbYjI1UlmhrwW4xAcp7oJU0Zp8+yqABvXDE76opXtpdtxdQVMAJoQysyhdL3hpa4wUWLK
5ghl8iCiEUQ1Afkwnbd0Z4gHrutjPuTy5DklZB2dgmyHDP1RVzMAAKOsR6I+By9bUFLfY5te6jMl
bxKcHN0RnCS5Ut7ypR9dYD1Tzk5ZqQHt1aAi32HfYjH0X/YSegIKdjo3T8ucm3eizfQpVGJ9gMSy
TtYyAyQVuu3DgOTiQc/WS/Ki6T/YepFFVCizXJmGTHEB26uv3PjZyzJVJipWFKVApLOhQuSvwy3o
pfB9W9b20JcdUIOicw5V61UJa1lxITXrLpoi8O7dkpfv/HYCUL4W9RiH2p/vgA0Un2sNPjkq+5bG
PoBIyB1cfmX5RF/dShvsZ+sE1NCwK7XacIxtZWrotkrwCTAX/DxkIb1EopJ/BkiIHEKeoSh/kPcl
ivAGhYBil2J+PUNB70kGVVYUdmT+sGbcewG6UX6APm29BbbhJ3mYOck6hvJL4VD3wRoO5iDr6qdM
ZkUCWgDlfevYyA/74BEt3CQt1MBiT/DiYclBn8c9VfXlXMjqa+f6y2OL4xXEjM1uh3BgDNqJujk1
s6SJI7PsUjW+fxwmnDUonltyV9dWfwDMwm9AWdWJ6ISqsOTpdAvGgD42CgW409nqseqcT3IaxZGP
OD9VnV0WuZlA57DxNh+M+xtrF8CKFWImaruZ4EwsHQiDxgYSm9W7mCrpRIBnlod1BV0ceVqNh7oN
+uM6AsjoZajjPvTcr54U2RUUOn0b9Y4aUddmqrjjSA6OIOOyy6ZDHOpxaLBsUeqjdAZaADbKe9Dd
lD3IMOySHEKApzYrH3G6IudhqKVx/PqnsQkCcGlFdTVVtXnmulhPdu5BPDlwnI88pLUH5MjV+1D2
FmC0kxWvCw2AuYW11IAdgG+v0NVgiyqd6hgQn15NHl9/a/uSp6IAezfNjR+HKDnjUA44rsD1PQIN
m0+MBWd13xl774mavkJcY2PR5exxHdz1YrGqjvHepghFV3jZV5oD0wATg1Adopk2GvDJFABXsNxx
I8jySixLMNiNebeU832zujOUcfNyVGEmjlCTIefMSydtQd08TovpUTFP7ETo4KGqEq5mKCqt+Lo6
nOGkWNvnqsAccDr5x7Lm3UW36OzdKNV4S7OpuixcPH++QigYVQEVmHL3CzYc52bJ7DQnvHaEE7G6
xh7039CKSSm92h6LRTM3rkX3hQ1dlhiW1R/q2eagUCAZfuY1+A8G9dXd0mbyYxVOyzvmg3QBTgsx
bLU4NXYk2d6/9a3/S878p8z6c9fbEUKNvy4M+PvH/3nqGvz/h5H9v/7wfN/Av35Kv3Rnv5Zp+0tn
Ifzfv4WP+UsYf1aff/MDEibcKfBGCf8DrfvDHzca/OAv/x+F8HCYg5XG35Luf1PC/7N/+Y0C/s9/
8qcEHtZa/h9mgmgOFYIHLmT1f0ng6T8ESGWB3kXmgZw9N/P+UwLv/SMgaFkMQUZArRcySMb/EsHD
1Zv+4bKPuw7cc1MK/09U8B7fyuBR2XF47KEHjEB87nN817fi81BJR1eVWyV+hrUGsY+OFISMZVzg
ga5bid09I8q74v7anUjjzxddg3QpFk3Y3xSVM7+nmhLIokQhX3k/ahYT0nYXKPI5GCpRiSAakOZh
g1/ELSmAm10sEOmVEGEM3We6MgVkJgjHS0W4GmPVlQq6N0QGuKS14FUygyRqIzCmEkwfJfxQQLD2
e9sz1hzEIrgPElWOOpprMO6RRYLZXgEDCJ6JlbICz12Ya7aS7GqdhlFdioLw98OqvfdZ4IkniAX0
bbfOfREt6+RAWEbyS8hPkaeVVTGJSNQqxJFVre+mVqOGqx0C8cxCW7pcoqgoSKLHbHQuuS28RwJy
iB2BcpY1UIAV0AP006GMNFqO2gMFeZ7dFsGk1oQVq2pjiDbBrEyDrvUtX5pguvY4RYrrZRT0VN9V
NIgK6ZolUkE+kriUTY/KznTXnnLKKSGlHa87Kwk7dQBdaMx9xqBOAJD1qFev8YGheGVxnGdTz3Fb
ztB0QOBOdMR1X32unG7tL6yrasjVpgofAGZGvJJykreVk4UnvBn6RIRcTjbL7Luss+Gdp5d2jspQ
jiaZJuhvPN8H4L5KIIwpz8fqsh8NyWO6jOaF9FVwXw2EfyYGEvREccXAiyiDqRG5WJtIS2hIFJug
OVClei+QCCxHXdNJxII0RIGwC4Yr2aj2kUJrMUdSDIOM+tl19AU1QENi6LUM1Cz4BDD6ZGkSpXz/
AeLS7sTyobyfGugxosWV/LNLChwyA6CaAECIp9/JeimuwtyvD7ly+RfaFihIs5VBU5ctocEUZGt4
QRdHQtsP/VN2UIEGb926/OMQKF9FDSeoVPQaNibmDe3pURMP6i8LEiOLrALwdgB0tgIjX1TwYWjz
YoygSJsuJ7GCqae9QF0xiL5kILpH9ZW7q6EHDNFmqEUARMYNTq0FbNNZ04w+G3mE9CG7h749j7ze
QkFQGXyxSBfh6Ea2tVC65948Xg+A2n8/9yGQC9E4JG4zhuSA17KD0kPTApQ4Irp5BPojDlOgBNB8
UAmQ1EcTHeVLj1qmDpSB7n3UAXJgDo0C8QYgXgE/1cjI5YlASffSepqktLVrEpR0vc7Dqb6yxeId
UQxmQ1xWGli0BXULASmqxpdRQ2+1TP7JZYuGiNyfe3lJgf885oVM5nqyC6SDyEkvGqRQYI8kuyHq
LHOakVxpfIBfUJA0Ttl/gj5uvfYWdwljYPGNuoT+uLIvjIrBiQdrF5JHPvK/6rgoUo8jlBkyBEEk
q/JTBk3kg1Yt/1TV6NQ4kHweigtt63a9LavatbGLkFHHkPWcHLRAdwR6XcLZFxc8XNUKKELZ9cZx
HPkCrDYA0eXPgD2VoVbLiBWeCk7ObLHNR9lU4CDPq6A7At4cfutMf9UCX0xK6B7AWw8RQSTFPVM0
hk86vm3036wPoarsFQDHxvR3k7fMKRjm6vj/5di++ef9Qttz++2x/T//9w73z2/v6Plnt+gfXW4u
DtYfH+3fdBD+/ft/nuthgCsCmBcS4XvMxQkNN4g/z3UuYJmGPxIERhEwJTj/zV/nuh/8g4DKZiFH
pPjojsdp+9e5/kc/HPpLBbh8WKyEsLX9Z97yTdqFhr6/fv6vN91t51P7X81tDprtAhowTrenuVcu
aGwzQTIzCCAjSKPt+8Lj5s/rifAa/7Phz51sbzrVZOBUVps2SFBIjyg0+Uryp9wAbXwzzd95fDT/
fffxYTHzdvywWSuUSRlPQo9N633vNiFBJSSZGxGKAjyi/jBnfy7+//jL4DW9/bAJ70iCDOSJOUMu
EcqYfIw6y8XHn38ZtA5/98ts2vqCEL1dMrQ8UQBJblxX0+ZRE0n4tRWgP1MHgpARyMvQw8Dg70X6
ndn7wcv3kWm+/UK9gGwzOH/gUoeBuewKleH0hPS8TH7+AeeBvrO6zt2cbz9AlKsmM1qNAOdOgUbG
42de3FeTV1yzqpDejasqBX3sNLQWVEtN3eFI2mIZ4WDysy+46d38e3n756l+s/4gjJsqNlmWqDxf
hlh4Ig189yu69QaoaodcL1AQ2cC57nSOlBacYyeAJ+bCa+DY8bNH+NEcn1fumyeoc9ssNUMPnxYe
i/2x+xowXf7i+/1o8E1LaodIBeI4s8TaKXglne3QrKPk7b5H3+wNtZAln3zIkSq/LL8QXCR33Tpl
peJ9w2/2hs7RrB8KxtAkGywvrkZzi8mAle4bfbMzjLWWfe8NLAGSvEJvaxworHjfdcHOx9/sBp7J
XQEeGrtBR9FyZjm4ymgYEEqHfd9gsx140G+04FyAG3Q24HcTLFnml2aenV/snT9YPN4m+idBFNGG
iXSFVC6xOYUM0ZTVNP5igs6L8DvB722CP0QtUivAX2kHFLk56tGF+KvW1i0PQJ1puPNjNiHu0w7M
be9ArTMrbz61vGuhQm7d2iR9OWuzL9S8TRwP3TJkvmlE2nvV+gStbHHbohB/+vm7/tFcbQJZVxDT
aKQHqQdVX1JPY+Bf5xQp3vuKCcgzf/4pP3rj5z9/sxcVUNSguu5FOtbUXjjNSm7D3B1reErs2Oo8
/9vhu6y00O2tPFXoegGNIA39wNeuT/YNv4lotQQdHJvQMbDUeAPQdDcJVQ4IgH3Db+JZleijra2E
enxaKrwDK4wTTcRCbbHvAzbxXIUg9kBrCKhkG2gfe5e1OhllsOq7XR9wBo7evl4w7P7kQqOShlNR
vgRimu5MmQ/2F89/XunfiefznT5vh28gjEEPYB6kDZQz2UPQNIN68Yc1JJezU4TBPRwXfH6x77ts
ohptz/CmJyxIe5/OJXR/vgmjomo02RfP7iae0c858Nkbg7Sa8p5eTI23iEgqirbzn3+D87R8b7o2
IW1zmZNGYz0Nme3Hg8z9ILhrnHXhl/mcNVVics+2rzUa7T+qNtftL2buRzmPu4lyKMmyoEO/V9rV
ou4vC2fKAmT2VYi0Tsxa0hlyY7kucVnwvgESsObBgVPtd48Lmbn6xff/wWZzLpzeLhcL7wCoLJ0s
bQJHHfxSB6kIav8Xi9E9h+X3ptf7dni2zAYOFEOY+gTtIMnqZsucsGxd61Mf+oG9zaem+9o7VDcn
uoqWvYMs32tvvEAI+Sqg4WS/eJQffdHNxiFayfpOlzTtg2xC+/AafumN0cO+TXtr9lGPsESBHjlI
R6fXkH64tI5yX+S//3yZ/uDp4ZHyzWtS7sjREJjTNO+N+MBwlL6biNPs27PJOTjenDiDn7fScQLQ
pzUqmVi5AqoO8NN2+sUq+0GUna363n7AVA6WeWYU6Wx15qHDfxzJJ9O7iLjCK0gXtaXqm8hbeZ9/
7pt18va9FrLZP3zd1lhEI0+5yBoFRYo3ofkdyrudxwXZ7B8rXasB+o0gAcvoJmgVzw8rB72677Wf
l8ObF8Mhvm7lYFbIJmCqsbbQ0/Cxl7/Yg360qDaxD2O5woHcYE2lV0KUis7AQ2Y7b+ei2oQ+qp5O
oIltTT3UjREp3PdtTn+Vtf7o0TfR7HIw0abO1zQP7HyjbIu+hnoo0IG4b+I3WUCB/trehzdB6mRN
eOGh9Q4NDIKme0aHmeK3r9XvF9bPFUafMzCg2keT6dS45a5nZ+EmmkXrrWIJ8Fqd2StiyOTRDQsG
ctc+ChOob59dEmckOpvWdHDLGrQppP0Lo+vx5zNzDpt/Py8AqH07OoDsYl3BAKTaYV9QdlbLkc5V
36azDvjOb7AJWWgTF2hnMwgFELgP4dzJxKVdtasc/wMKfBuyc4tUCFYVOu0og/I2ZOogbbtvu8H9
gN/OjztDoC1WqdJ8qulVWTfBTW/qnY++iVgc1BkoQ3+GfwNA+hitJhDcFqYqdu1muG/y24dnaJOp
HJgXJP1ZE1nN+XytsqzeGVSbkN0af/noDKxv2Qjhx751IzZRW7nlMuTL2WUgV/CB6dkHG9r2Fwv/
+xsaOxt6vl026EWqqBDZkgx14aLtDi4eA0y9dj76Jmh9tOV7mRQLZt75MHrI79CSlu17rWITs1UP
QYoz8b8enXrwUoD12d5H30YrE5kShbskoQZo7J1Hh5Rs7+jn1/HmgK3I0mc1GgkTI8MiBlGmIs5h
hvDz3exHL3UTrZCbiQ4MPUan3pehpJCUlfk+ZAvduJtHN00tyhyDg7Bq0LiA3oSi4mZXbsDEJlbN
7AdZbaslYTPUogaC4sjts3nfESU2sdoUvdeif1El7bJCzFyUX5Rc3X2zHmzidIIjEtp7tEqaCmQi
p+yDs6C1dtcrDTZxSjI2+rZw5iQYSHuAuchvYP2nnYNvwnSYQiORCatEwmAn4rJEe8EIv459j76J
Uxi/OdA3hXj0ULk3E+iRuyyAdcK+0TdxahT1YE4VqnRFEzdMhaBFZgcHrmbTvjUTbEIVXeJho/p8
SS1tWgjKIKJMe+3Nn/c9/yZW3TLzxs40OFmzqb6EwYwLyxtpk32je98GqxrRoZ2j7z+dQ/8j7H3u
J+rf7xt6G6mThTGadea0LJx32B4/oF9xH1bIgk2chmUJ26s2gFBOF+KgCvbUwSBp3ws9G5O+3Xvb
anLGUCiVOuVcxugVuw7g0bZvsfNNnIK+1f2Ebsikrc3vpXXfe6yBU/J/DqAyvolSUeocJkSOTTHs
NMM+ayp4ZCc/37f1Qgn2zbwsEIUXFR3nFJap5JXO2Acgk1rdfZkG3wSqGmqP1Fmn0qYb10Nngk9F
2Wc7p30TpJkoh2ApR5UyO8LqqoFiZap+xbz+4DjlmxANW07hTNTMKQxnQ6i3cxdmL1n/ft9r3YSo
N0NZM48llmMBRyq/0a9o8tv5SjcxutIuhDy5UunIoMp3hflQD+Ju33NvYhQyPaNLH2M7cnqiyt4w
Ot3sGpptIrTTsE9EE9OcQJEDbz6ZXaOhfh8+AHedb5e5C71LsDpozMd9wLdoVPggYLa6b2s52+C/
3VqcAnn62GFO6qK97/LumDXFvp38bHD8dmjaa+sbAPhJty6nET43lO07QdkmMHvLZjSMorbjDbqM
O5O2Y7aLZmVsE5ZlPZtCKTx03zyvi4pl8LJvhWxCsoZasEeHvpPQovo0mvBerHzfPsU28aiGpTJW
8zm1k3SfVjt7qVT+dNj34JuIhM7OtBIOm+nkQErgtRWs3sLXfWNvIrKqy4kFLnESViK7dQj/jYb+
zoONbmISC3sY4B44p0XJTcRgB3KAB/WyL3DoJijFtAQzZYuTDPxx7A4CKPauOaGbiCzyAg7KhZ1T
JSDm0P4E14CBP+0bfBOTGnwXWi6zKXGL/qRrcPuDD3+tfYNvwnJUilRor5wSUbM7X/WfS/iR7pyV
TVziek5LBhFOydj4dwxjG7XsHXsTmq4uA3Qvoslh9XxyrUQuLwcK49N9s7KJzmKiS418FguFrTAx
J/K55sW+BItuYtOEiuoqROQbuFHLmNCMdwcPGVC5b2uhmwDtdUMzcDVzmtP+N0cv70E+PO+al61Y
a0FrPpytMC9KwVN+QM9GhFtvg315xFapNRZLADza4MHRbqk6cmkWtFXve/JNhMomgMsZfDdTOKvc
1BAcoqUSjvD7Bt9EqMpHaCMVVK6kr+/RPARn1GJfkuJv45M5MGj3myn1PObFuoEXlEvl133PvQlQ
C0ZhEs3Zk7PmH9AQe1kG7HHf0Jv4NPApq4TnjKl1YUZVdwFuJGjkPhkG8zfx2THdhgu0QikoJLSQ
rx2citByv+/RNwGqem+qClePKSyeG/Q5qNG5guuofdg3/CY8teNjV4QffOot9vcJGZyZxKddQ2/V
VDMOHrjcwDW04vmD6fsL0jT71uFWSLVkooJ3JZwL1mUokkXn3sGp28/7nnsTnOWKxpnRVFMaFn1c
UfjowyPw50Of4+Q7lMtWMqUd4MFLH4xoEl6YQrsvlzcD79EoKOFFFv/8Q87x8r0P2QQpq1rTVh0b
07r0P9YFfe/01dO+oTchaqB4rHmQjYj/BTZoE1ol3IXupOq2aqkc5t7l6Ht4cOq+bxYHxjlO/7Lv
yTcxWpihR29OMaXMK6lO4KhgKRqu6qI67PuATZzSIs8FXGWwJI1zX+LWkXLYWYt7mxitSzagYMbQ
mQ3vZ1LeZj7fR0NtBVK1sFkzwGo39bPGSx3hzfdujsayXXOy1Ud5wULYUmIlwjrPRuj4T326U53G
3E2YolPKmc1UjGm74L4WsgTHAS7f+3bdrRZqHqlSuN8E82LJ1WK9q5qZfTHkbsIz1PArkEM+pkGW
wwButVcwk9/Jm22VTjDTgsEIfEtTGMne+e5wPZJ553NvztCxBDvBtTOkExewfoN/RTXsK+LcTXBm
Bpb9eS/HlGNmIngM62iwjdi3H/6hl3rDO82+HByYbg7gbQr41XnVvXLC530rfBOaBE5dtmVkSPPS
b9CjCKAiUcTh+yZmK0WSMoQqTVrEDbwacJ8G5w91SdZ9b3QrRYJvCs+gtRvSNRy92J3oO5ykO9nz
rQxJOS1a8kyH5dKFlFTYa9ERXkQiXKpfHKb0++fcVm8ELTCBm0OLuc8LHcQtwLM0y+iwk0fYyo1s
pWALC7tXWPFP1RAvum++qjCAQcmutUPO3+vNuoT1MaFoJIV5aGEn3DLFZYQZYvuqALIJ1yAwRhC4
kKeq5l5MOETsPqrfnc++iVjc7OAChW/7dKIwkIFTv1f9VlnT5jvH35ymphz5qA3mBg5UsJabm2dT
u/vOPLKJ2drrdOPAXC8dW9Gf7EQm9Mp2xWnPW8VFxt++Vdhx+RaOQP352ob1Pemy/ERhKVjtmhhc
a/3t8D72SRhi47WGbTZMR/Sb+jRiWceHnR+wOVZBxlVd2y+YeX/SF+Monouh3ofN063kKMBlI9AY
j30a0PmxzKd7WLw87pv3zbGaZ1b7dZ0PadCGH9tOw4YC5lk7J2UTqgMgc+Hgno3UH6X4iCv3zElV
zbJzyWxCdSaOsavPuhSRiuuBIH2JHOsEyb6J8b5dMaN1wNHXGJ3BxiM6XwlRtb9SMf1BTv57rUG3
MqOhNJDXCfijLbhVKYvAFsPThODWmQr3yIR5dWp6q2Gii9tGfJjwcRjIwtL/CS1uwXBHQzaNj2HQ
wIwTvGR3klVLeYSbNQDG52YQ6LFfqRzGZz14joqJHdrqtw5u4EPMkVh6B5cBa0+CXhl1vrEBpiVw
I5/NhRocIVMvMAW9yDqJm2BcAjTh1YGy1x5dH1eaHPzAYEwNa80V7kNhMaHbzlvVsfE8sx6mpfHb
j+Z8b9TdTLkjP00uzD5TgRt8lnQ0+L64h22FMTVZmIjbAPYGMbcBbJJyt8PdI1y06AsjsJd59EQI
E3OPw7qynMY1JV0o7FE39ULh40tzliyB/l/OzqRJUhyJwr8IM4SEQFeIJSP3pSpruWBdmwQIEAIk
4NfPizlNMd1dZlzTyggKkMvd9fx9DC1s+EKxHO7xDQyXHDyc8tSWNIEPb2nJnYcJibhoSkZ2XvG0
fR7T2l1W2LU91hq19RkK0ArAkcIW65smVZfsykKY2ATMZmYTryfanXmsOnR94P4vqdi3tLZKL8qK
BYmkNmfFm58Fq9+KpNx331udl8NJzKwj3Hc8FecB7m9FTHY1B2Gq9fuiAvSGLgQdpHMkxJwVgajh
wkO6nc9k08GzoaS8xqHdWUZVlc11/4tXdlfSx9JNnKww3uraJOzO0zKZR0yDlTcd/Av2hbJ0EygV
L8OpBVvkDA8Lds+Qv0L5P41fdoWydBMobQNamTOuO9ewI3u3KaghtmnTcedj30TKHt4eGBMR3Vmg
qZzBJBjUGblv0oxtRV4hljDsFEx3XjpTNAeggmAJ2QPolO97NptFStqSrAHFF8llE8/ABLSwcU6C
GNiQXT+wlXoBnuGLQI3dGQdVv7xhtzGsvvfd/FbpZSZvXb8k3VmFAjqycYANbU5FFe1qLcPt5Pfl
6uJ+Be0kMmfdizXNkg60pxzdDmBJ9j2czYr1ptUknCUShJAwOHt4WFKU5c4E4epy9L+Vgkl8Ua0w
SkY3YoRTHExWchPALWTfvW/WrA8xKh0DPoKpWq1vOXXxmAHYxffp+2HH9PvdD1UrIWTqEIbbKblV
LQ2/oqZddrWCWbJZtMkMdlAzIF9FK2u+FKyYzkk4Jjs/+k0dElE4F5XX3akqG5kPvpfZBNfPnV/N
ds1aMk8z6uRzsLT0p4La/OfaTM0+5Sfbir7gmNVW8N4zZ+iqXHCpBVBHYeF9/Iezw3+Yq2Nb4Rdm
W4uC67Q9w0+c2g+mLl2XF0kLs1A/dMEHDJw9BgHs6Q7I4mqRS4Fi9KSCOO72vf2tPgxDwfBKrJB/
+qVXaR40FQwoGtUavauMBvH6948XvkQrapZrZIKnYnEHs2bMnS39Mob7Qt9WIraGk8V4bQT/d0pK
GNL6yrOsqpnbmWBt3cn4sDa2jfADywSyBSyzPgHb/X1X6NiqxPQIy2Mxre3Z2CsRVNJf6xjvvfHN
ypb9CpY3zOzPLmQnHQGVEw27WgCMb5Z1EwSh9HAQOY/MgUMZMBw1+PV130PZrOoRbp6SwODrXEw2
PU4KFptNXO7cKrc6MZ+UXdvijZ5LuC9/aypPv9sA282ue98KxYaKtR18uZozcq3HxK13updf9116
swdLoDkZwEXteZgjdUu0TTNZdn7fJraVisEcuwSKjzZnWsO3EgZnaX+rkqlV+5bpVjDGxNxR+No1
5yRuq7wX6U3NQK/Z92g2O7A1rZSFKNuzYMrfD7aBe9VYuZd/v/o1S/ibGv1qhPi/2cMVAA6eDvZ3
vbIeKX84SHHUIem6I0dV1+7LsbYashQgJRgJyu4cTrAiy1Q8AupYB6Ho9u3F8f8t2nLonSjxbV65
PGP4Kkmx87PfLFk4WYxpaHHv6K7Fh9Kilb9OsH7/9xdwfY1/8wK2MrIWH2NQQxV4JIktXt0SmLdW
xfummdhWRqbLlkxhNOhrDE5fTEPj81jG6b6HvtWSGXQXwqJpNQ7D0ZXo+vQlYLLc+WA2m+u0jO0y
AVUHhQAsnHIMH/ZfVi06t/P6m7wZhjRFYUarz6tNvqF39NAk6tO+d7pZssyFOK3GhCCGVrsC5Jdh
cj897fdZb6BR+fuaLVG+taq4PnaTFmg4gq/d8Hja97mz6Perd1E1zavFzYPYjrYTAcENlio7d6it
pEzwNVlimPKdQccky6EtoUfIgQyv3L7my1ZSlsL71yCz1Weg80D6k2H43GGe73XXm92qyhZeosPl
++AgiZy72wq+1o9RBEvBP9z9f8VSfxMOtsIyzmgEBMKET+dq5PnUA3k63ZS16+0JhdgUnTDoCuxf
Dyxjdx+A9rjem6Tqmy8Roew08Wi9JCxY4kysxQR3BRCF6qemjUGJAfR8KcEdUMX6rSuWEvAYgz03
n+Jq/k4bxu6cqcbbpVTuRIsJaIIVHhhAdTWwnPygCOZbXuqrT8UHcE3McEDBBjBe2FifqxDKz8cK
ENz1gH89lA8U9Bu3L5HcupJB19hH14HkoyxI9ehELe6jMgK3Yt873QSaDqDYK06hPkdz+JNH/Ysg
8nnfpTcxBrUmqAPc10B9QWerI3aJuuFPRhrX+/u7T2UTZaYpaOQ6zPUZaDlKL3ZYtT+IBaqHA4Cc
QsJBk2u1r7tGNzGH9AJuiC6uz4EJ+BFcWX1ajZYf9z2nTcxRcEpHjUjrs+uYAhIRxI0K0Lx/v/j1
Yf/dc9qkBiQEya+2U33mQD28QVXNnlJYwP81A0byh87mP/3EJkUIC5HIyPT1cZhpDQPlsQeFLHMW
zfZL6THR9oei+h9e+VY1B3mCnBzXEnDCsa5PUzwTqMMCfSybNY3Ast177LQV0UmF3kkBGO+Zt1EA
oRv/hEC0cwOLNtl+AMMRNALa+kxwHDdSfxop+UOA/oc3sRXRJRRazhUzuIda9sl4EXoAizIVOPfn
0ulwl7qARddf/5/TeZgeJ7wskwA2HTASnCqQVkQPYO+/f7D/kBJGm4U9LAKg1wU0yiSJgd/mHbxt
AUXL9119s5JdiVYknYg6lyxlJ+MWuHyLcl8dF20WcsgN0TrRxYG48jYsaMY6vvOZb5bxQkMNRh8u
va7sWIj+1JTRvvpwq6Fb4LpWDqIuDnUZ3SVxcNfznV28rYYOssKrYW1ZAE3s+9tqGMYzSMZvu17l
VkJXxIlyCw3wsRM5HAHVYtkiNDvtu/pmlYaitkUcBuU5KQdzB9Xrp14u+8xhYcj7+wqSPJGBi6by
DHyqBvlhbG/CXu+TosJH+PerB8uM85TGlmewQ0GFVimov3Y47nsum+U5V2E/DbQTh7Fh5XyKIv/R
WEAxdj72zfpUnQChjbXi0LoeZ7fdubLdvk18K6Vb1DzLRiKR0iMM5dupDfNVx3+IvP8QtbZKOgd1
/ooJPyyiAcBHqMZyUEx3hsStq9cKk57BAUGNqaVmyVtp4OYNsqnYJ0hjWy2daBbMXNSxwKBVtwK8
rgt71811uW8Okm3VdBNvizbpqQChZsWZ7QtUAH/YLP6r3vyb9GarpWN8JTCnkupMloC6u7BsQIOF
SnIhwBTi+ADIoZWCnOea+MjRXfN5P9axgx2n4cCwTyIElNEQGf3VJDFAfAUwAsm+DvxWhTcHPYHv
xngtl+woLyUN0+moBtBuD7vW4laG15YleBdEJYfZKo4AtVSAPqiYE/p93w9sFrsd62l1hZmOU6fM
sUmZPxjB9nWatzI8pGyA2tNmOpKr75ePe0xqs2SXvpqFm63YJI6BcoOLuwnezXpgfdbpaJ/Gj4Wb
3ZipCdPwUzsdo4qYnNakytCR+LbvoW/SabAd0zC88lJcpJosDQIMcM0s3BVg6VaEJ6E1DVlAx2MH
ZU3W1VaCwUDH9z33Dr/537ce5o2h4IePx0Dg1IPVqzyWS7zrwdCt51dpPelwEDse4VEJYnsz1984
wPO70iC6FeCtwBn14wQCe9tyDabEBEcYVuxzPaFisydrQB2AQIyHY5nM9hQXI/zFg3rfGTu9Gv//
b0ZOQaJddT0OR+obBcXV+AHj1fMfYuzfb210a/Y1+R6WWckyHJeErFkd1jZP6n25CgWX4Lc7j+uJ
B2AcDse1gV0L2HK/Qqv2zRIClPT7xQFDbvpC0+koMT1zEF6pHPF43+E9HGZ/v/qKMYiidEisEhN9
Gxr61ijQ+Hato630SzVoKXdAxIHeYcNsNlFxLArI6P796teP7v83TUCifr9zTeo+qjsKKFyhY/es
QIluTguPtD0xa7AL/vvP/MOHs1WCgfxYMFLhPxFHaXBwUSzzdgbXft/VNzm0UUUyjhxXl7ItDylk
YLnolh/7Lr5ZrnWFcAA9oz2aGUTesumrw9AUuzY++DX+/viFYeHYxLE9uhowqkalEci0Yt2184Et
8fvVl4Zyvlpvj6NaNcCL9ceVVPHOV7pZrsDisbVDr+doUpXkjZ6rHJLUfbJ/uhWCtcmSjElamGPQ
BBZkaLAEqVn2OTfRrdtXwZi2gDSZYwkKT77GDTBjsMk/7PpithqwiSxoOVuZnqqqXT+soZnfq7D9
k2/9PyylrQqsoN6TCWLlY2wJ5lGuCYeJyJ96hP909U2tywhBu3oR4sQCtM5d8L3T7Yd9j2WzSmsS
kQL8jOQEn69CA4IGdeKo5uHzvstv1inRHe3W0IpTbJoWAtxq5uqeE92m+9bq1u7LDCnI6p0RJzGQ
rBLRrQ53ZmJb8ReMuHqgVHHphmH7u+oh2n2CRLpVfgEGURYq6cVpvVof1Z6wHDguvy/yJpttFeBn
Na5Lxw5w4boBjPc55PvcBOnW6SuMISqiTcMOHPKHqg3uWVu+7PpU/k/yBRshZWkL9BmfGnJmRmPu
Wvlm+rjv+ptNtTWkr/QE2jzryAwLdTaw2+uo3p/8BK+L8W827a2eC+BSw1Jf8FNjguFmLJxrHgEW
lfKIOdWkuMgGkM+HcS3+XFyDTfQPP7pZvskSFa2reo2ydQaeMCe61JEB7BurTp9UMQMJ23cNcDVZ
S3vs7XO12Da5dNpw1ZxQWFcAZ+u1dstFFUtQ/EWph+yuDSFprTNaLav3GZIc09/XnKTmwQ2FJ/wy
ByzpAapetQzKLKSipDKzY2KQCAEgaUwWC1Cy/zJWNRPJWJ2UzYWuNeyeDwsK+kQelt55m9cLreY3
WMh5V2ZxDcQPbL6XErzxjIgp4CwTC6zh6xtiag7r+wY9y7HJMFegJ9zgkHTtRxM1KGSqpEp/NabB
n+3UM3fgkPvSbMITqnPnfFSe12WaQV2qQzq0f3Vo2iZTNlsSEp/FKZfqS1uyWnxvgHVrHAY51842
Gdy+quXzVaR3Y9YGaNwWplHgkPtyIPUhweBkcVxxZBMdgZ6bB0Cw8aWJ3HG/gFEZuTUO70jqOGD1
8bQ2mAvru+UGlIA2T7hx/KEKJwD4wpJ6sKcT3iMLS5v0kDYwwM3mXvK+hX6z6hTw5gL1PtiFMeB/
He6sb20CrD1PMDfiynPBEqSNiCUcIDy8rU6VmU2R2WWCBBog76aNvvZjww9+Wefk+1SuCz0Z28X1
42pBP35XwNgmj3QsKL1fC5VO8qBXzKiwk/ATgSPCypNJP2BCI8X7MmVpcHMyXIWcTiFcjZGNNWG3
1jcLp7P/1qdN2cm8c2gGXwD8TcUHMifzsOS6ZSCJyTS42kBqANt9gCmWFaItOOgkYCUeF7zLrrtE
MRpp0YXXYIxmNa/FidcK7Ew++8aim7IEg7tmlm64C6cB1HaLGPXIOzlVH+Y5ki2w3VMXTaeKxsOc
d1KxCC6xagGj0wHK9yUdadvdiXlF4aficJpt5s2IZj74pXESIYMaR9DMc1DgaPVC6tTyEwxW6vkO
3EOCrnY4wlttxTHz6CRmt8Jl4COUnBwma6GevkVA+C4n6xJm3pK4IelBFUNcfUPtk2osGoAqHeDt
cTc81lMo+QfIs/rmVC0JxoRAuO7i2zUOovqeKF+vP8pWdxM7MBt07LHHolXH1qglupiGVP0nFTRp
GCG81ZLHWdIwYR7DcazJNwZQdbpkhRSNPHvvXHwb2pJ1nyvPlziH531oADf3lAhYO8dcfy9GL2tw
ifs6/RZT3ptPmC5fVY7TJexdmPPolgeo+sDq7KMuYN+7yjowGwGlXD7Ua0hIbhRW0veK4TO/kXW0
Po4ilCcwJNPqKbXASB7DtDTqtQcbdX32GPCIApxEwzcgPVydiPll8GPb/qpxcqPuKt7T5dx1lS7O
fSSIvZt6QHLzilEWfUl5xMQP4uviESPkwS2OkdbvGG1pMqDL5UHCICg4zOWa+lswJNx6A/Mg+lmL
komD0Zh0fEkWpdtHIouSXDxItMsRgMhqvhGLDfk54XMdfgp5URevqhfS5GYZA3giVqEYMETT8MHd
giIb24chXMfwQg03+iPAHUX3NMEiXZ1CVXfJYZwrh9jp49SqE/TTxD70wvHvGp4AbV6gZeif1Bxa
hBLVzf7I42608hDitMrd1RUMjk+FnAzGa4LEyQ8qHQS7NMYYno1FYPk3pQDazmU71GOVpS0pQoCO
GJ0vg26G8TD6KAwO49BGJGv16s0XOgrcwSEOJYGd4Yy7KAM52Kyag6E9tldLngyGdmv9CPqsYscY
pN+vUbh4DryaBK4ZQOCVPyBdkj8LLOEkr7SKGgBRAY3/tPTA0sLgqGlgeZbRel0BYx8xJfthAZ/O
FqBuj8mMeL8a33VZNWKb9gCd1274XpNxlK9OreIOHA6LXaGGZY141bjU9W2acbJHGMTjuPPY+qiJ
MwyAtvFZCyLqo3NAuy6ZJGO63vl5kGhdzGBZiZuwWJAoYpxNqcsA1FqQrbYsgzce1zY6KMan4DCE
johDsqxr9W7DlVY3bly9OE9NFxSH3kfFck9BzHkOyVCVb2gfRUudlVqP4gTreDneihplzOOCvlh6
YnWJTW8siriH2JsBS9zIsKrzbrVkzJmxSYDhBTsUpccI3TqQ1zGsG0xktGwcn8s5TKKbDufG1WMH
u7uyz9zCQNGBuXjWeyvIhVAxjE/x0AftX1E5p/qeazrgQ2tVo9UPqtMVn0MD37bh2Mm0dCf8z+bq
GDc1Gz7y2qnidpBlRS+YpOX6YbIRKF9HxCTND4Az0eLnCr9kGJsPqopvhq6UEgJnjGHhQ0lhpnSr
qnExN6CwUgiHIwiJw+NggD7M3Li00VsbiPTWNVq8p1GNhi9s0uPiAyNKB78gtX+7il5vYKUSLadx
sckb5J/zr27oQ38gATbA3FVt/ctguOa9wRhGfMMRnknmRF8vN8S3n2rLqgPskMtXVDXwSFrDAEBC
bdcmycUc4dNvQgAbHp2ZXW4GJGvPdYRjw5Mcg+jgq/IQwdXzhSet8w96jRZ2KMtqiN8a0afBSXWB
ydXcRRloEiE+g8brPJzidfhqqwhlWVrBSCUfUQs+VCPmPp8Vg5viATKn4s7jDw+r1PJQIndCbyGq
6ZVobZfPtbVyzBuMti33sASkfylr54xV/EE1dXhxwxDQM+ZsDb30UGDdiCRlbytpYAajBFb9h5Bg
LWYiChy+Bx3nUYR9PxRV2R4QdYb+cQ2m9OhS0eZTWNybKmg+wrPXPSUTQvwh1g09lMBxr+EVod0U
5VewVap75he4nfsBRyI3NbcLQ8Yxzt1yCG1Mx089kRgfRaIFVHEWjHAchFdfje8g63zAPkRgxUSH
0hvSfk8dRbwPMLt3Z6oBkvUKomF5B/Dv7H5BXzOWmcAp63oIg8jFd2kyrvOPpG38SboR0uVMwaD/
Ke1HrvJ+DpR5URrB8CvtmiKzQ2Coypt6meCoUkimu6y2iZG3a0RGC7S1GqezH3jz4Bskg7/aMXmm
49qQQ1sR2eBRKYzUaxH0xXNkTDGfIIxs21do1sbqDeYJ/F6FZeHODXjCy2MC9wZzsDMO5i8MVjkO
QOvIRxmd+159nlorw6+lou6polH/bKxdwWaGBfvgcAixzvx7R8qevI0AMgafKY7Cgk+MI5LCtmkc
Y0zRMs3jJU9K66JcGhBob1W52rzvpwT9bj5NRZ6ssTul41RVZxQnq3nw0MQ8C2y2ic2cbyC1kvFj
BKRyviQgJtoCsjzE7ykLqqmA/FhNeWTX5DhzUV6WpswL335pgC/Lkrn0Fw8dHTDRn6DGW/KFdiyP
FKs5zE08cAm2ExrbFwa60qoIYdI2LQepmUFmPxhwB50g92U7BstBWRXexB7626XAoShr+XgkmPvN
tbZ9VtIYxhGWtx+R9X7ldfw0kfGEcIglyparEruJZuSf/LMsxYMDCrvrCVYGIeFZ1dq1+QrG+5XJ
zt5I4/sLGGO1zUil6blmRuQTRlyfh1Cnt0GVtDYPZfeIOmN050gDoOvwzsKmfzQKSHCREVjBnoyo
dPdAG+MD7BVwWLgTXNJD1fXjfIpJydwTaUMLQ2cc3IsPLG29OjkN9NJzHyn6OR2ADToMrEBvKS2D
kT8urSmSU2grHz3hQJO2r8PI16eYaU3ORnddMGfDtX3RMkRcTFxAA5meHTGoTdZWirsCIdPMecqY
fF6grArymWP1vg6r7zFwj7nqyOewySzqPBGkNE/1gB4mHp7U/ZEumNvWJ4xAkmNa0LY92LCITE5K
pckDm8yVFMyHa3KdQrqrZC5SF0eHZupDMuEimBlvmzE5VqmGNVe2NhiN/WAwQUnf5cC7e9tOSOtz
JasgJxWsB/HpprPLEs8RJKIJ3ho3knuDpDKZQ9SCcsRJLnwCrAdjibJgvJS4mfBl6rAw8yjm/aFe
1NSe6xn7yZc4tN6dogQ8bjBwLMz1CCtpelgSrb4LF8tsoGQ9Tek0f27bQkUoeeKiGh4nqPUQ8SxS
+vKWlsbj7L9YntLlCt5d7UrvhjStw2MKctKM9A2p7sGujMbvXrtAXmrexuOHSRfEvbZ2IjnO5vro
66IL7/J4LoODqdVHMU9T5kzwc6kxxdXhpCezc6Vu1Ghg7MIw149kj+brOgqTJSjIe8h+67fRhtFN
VEf+PHeTOPomoXc1TgM/aSRU+bxU3ySMrJ8IWlrPikRcAlMwvsXe3XYddobb1MvlBzEVee/bOFU3
UakwXrBWwyoe+iCyz6GH/zDs7+MHOIdOWcoXuKhM4XpG2tK/S7Sc7LMLDATm45zkUwDJRRHE72na
DtnSpQ84hoTHAJi71GZDKO8Q4txlsWn0EdFdHuuo4sDHN/MI7Q1gJ1Hsg1x6ECAONZYOns/kETOK
8qacEnnEhwFgGJfL7crTH2kqxxcWMXbLwxofHNUWqHv+omPbfCSrnp9SbqoXGZoBQqpJ13WfzWEp
/JBJ1G/LaQF8cbnhLpLvnMzmdqyWVByqtud5Ay77fGptFd8uEOSyjz5IkzepPQVoIBrbJLgpmsR5
nRVYKymMHxYV/ijHYhk/xjHnS+bKZk4hTibOL4fy6nBx0cu8wggotWQxYEX3/YCvbC5pVx0kdyS4
dYTBXwCD0j68tYoU4nEI5mE8OThXhO8r1xHPxcLceDcxE8uvqMWaHtCMKIhuTGlKdl/NTgNfLFuH
0EqMTd/ppE341NOJmiOMR5YWJhsDV5cucEJ/CbAyAWGLlzIuD+FQqTGb4hLFlRinpMytRtbts4IG
lOpsiZep/D6nMe3v3dy59Rswax4JvhrTGLu3xkKOTVZhBK46wheqiM421WX1MhN0s45dy2hzGhME
vgNqdJlc+qug9NgnTUSfMCZWxXdQhFNyIGKOxYVgEHD+VWIXbZ6mYUxNmC9COnU79AMNeQaLnBT5
31pFenlBsyeJ0NeBCHm9GwY9IBKpNkEOZRos/bca7Rf/pY5rcWEgvaPl0/jkCxloHXxtIBlA42fu
YjBEcayicnwdyPyzYnI1CDB2mg+ukTb9xOFSMb6nXoXp52HoRVQd4qQPkKwUbRy4N+7XapZZEEUJ
RZZT2CYXBdXR47Cm8/KLwcBC/7Al5jOPaQUQ5+ui1SxgoRF39hnU8riej62DX/FZlEHUPXOsT8Tg
kNprggA8UoL2t2oxqH9T0VD5G1qrOmwObLWz7TLNOZcAG3SoqFG+VH2+IElFYo28Z/Qv1YgU0Z9F
LWv7roegc6euCkZxGQYxxXhjq/D20Ed6dl9rEWO6jqtaDF9HX/fuZGTYBLmoJ3JX9rLgeQ9px3i/
VBWTeCVJifHWAedGuTWuR4XVcxgkvU8rLHww8t8X952M+rMv5vS1p9EyDtkYr6t5WrTWmQXtNsOY
o5woiHlp1Z0WnyJ9kQAET5eVDmg5KDEl2TB65M/ZOI1+eEmIT9QvB1hPelzrMFQH7mHn1WVyADXl
pkDheF/CbA5fHSUNvS0qEIfvjFy6TwLh0x7oODKis7CEiOd90GsVoORawuA8r/iuz0kUk+R2xH5T
/eU9Lc8oaon40iG9T1QeCxmWr8CrKaRBFWl4OWX4yGKap4jTC/oTAUZB10SR8jGtfLjmFgv+Y03i
5qiLkrdYasV024XoyT2gA0fj57SdeX3rnRXf0Fv8DOrLGHFAgjiGGjpQj6LXNpLFVzi0oMqQDcJk
Wdn6YRxDgakHWOb4i05SlZt1AUIHg0rhTZlYqh/6kQ76wRbTcDcZ01V/AXk+/gz6ehgO8xTgNbI5
ea+na0lR12n7qmfm3zkymvEg1x6FJ5R645xpnzQnjN8LnlXGSyQnOHx3wDemM04gEAkHdCzH6tFj
bgpM0fTau4SVgX2v/ZpkUYyZigsOh8RwT/u0D55pAlkqZG5JK93FcSlHjZcyLeEAj4KiKo9zSNPq
mjbw8kX2peBHgnms/teMysflgUIv9ivcR8B3tnE6sGOLui/Cp1lGb7ZEcX1e2mrIogoB1GRusuAy
ymhS39O4GaJ36ifl8qUZCEr3hGk3Z5VLdfClLEnxLb0mQzfpDN+Ejws3P8daj+wSostBZN43rJ5u
BCg3aS64bX52MZZslgJCkwN0E7KjFiz9bzu7pisewpIe4dhaMNTlaUhPc5T45LORgcBEfSkK9LoD
0cDrazAw3TggA2r8bcy77rvWM4wM0YtTVfsO70FRIelWnt5UI1t+oBkk1zuro+Jno/QqYhDtFxfd
N8qz/mNQhDz+SQCBiX+gWaLQ66tkfC86WyN2hGrJI0l6/2xFkRhMKuG0lEkuw+cy4BznM0hqwrvY
wyL3JJzl0WEe15AeHXeoQ3QzzW9w+Sbsk7HCvQQBGz6lRUI+Qs00rueuwFjbTdCh1TPrZnZHzlJY
VK+VM5/wzOu7ltQQavIKSHm49rDu0ikh+jw2qNkyExT1Z8yez1kfYxzRGOb5nZ1N8JxwPz9wsar0
1BUwEznqeJnPPUApZ2J0eGGgjCPmtXR4VyhglicjO8zDOwcHqyzuUa2++QmmxV9hiYNOw7B4pj7j
sANOQ9wteA6RryqEBUEJ7ZCDoBhCN3T8qGaOjJSiOYbkqgyrOIDhMbASB4vBjvgYpxKdQD9FHcg7
iV3Lc2RC8w6gQFW/RmkHW4MZTJHXEjeS0fKamucI28voM4tuL31CIpiwnBrczseuK3x3qvqiUnnE
EuO/XdXbl67VTXM3J8mq8Rt1MLyiVPb6icrE3yGzLOkpTU3Q3UAUnPgXHK60R4SJtj3ZOK6GQ6Sc
JhCAAnV87HyIIALHl1u8CzTYChN3Br0jDxm+W5bxdQhU5fI2noi+DQLXrGcY6q0/ghggsEwDdnon
127G8ilSPI7ah8dasAkV5uhvaUeQwqqyvVuMil+hx+8x8wLHUnTuYD1CWVJ8DlYMSJxSzHwtH9E5
nR02oiEkP8bUyigB1ale0esa9GTaS4szt/KrWvuhyfGmYOGQ1gplACKmdk2u+sLAkR92XOIBpn/p
f6g7s+bGjXRN/5UOXx94sCUSOXHcEQOAFClRa6lUyw1CqpKw70hsv34elnv6tHXa9ozvJtoXrZJI
AmAuX77bB1Ize60+Lo3b+ReSrvY0+40nz88CQxDkuZ+Vc56ERj4lCSf3jnMbi08R5dug5uOIzUgF
drOMJdMYBvdVs3fGx7YfzSSayIg30RZXtms9NS4VWjTNqk9D6U4e7rXRW4unzCN4KTLBM7LPJeic
G1S1TtOP5rKxeiSG4VmXnrQqEVbKLu2oAd+dwqaeAGuD1FuXJMqxy5q3btv1/j0tbrIpWMk1b3d6
jQVHYXtzqWBUa43fjJ4+IYHAvKTu6c40yYt0bWf5zeOm5k8DBap3EoNVytAtZWHflclsEgPecsxI
s6GqHlYiKYq9nQ9mtQaC+IgJSD6ttyRwy5HAGAb1QlHYrDLuaBWvhvg6bcxsO1quudTXqoV5CLzW
mekA0Kb9qymcLL2xt7hGaRebRX2gFYNh3+EElh5zqne2GUazXts9HUnnfo92s61CeEKhX+q5Ggxa
fm6jfzRKsMHPZlmdvyGPI1Vk9arNOdRz0KtuNIh4EeIYGgcdkC5k2VemZwuOs2I06kOGcmh6me1V
DVHsefF4MbNez1Ev2rbYlY7jd5FNj6WxCLq+WtM9J4ySo7JLoCBy4vLc8I7+f02Up5laLuPRlH6I
8ylRIiJbxGRCZXGFQgNyv0kuvWlxNmqWsXUPa+026E86arsAZsEqAizQWx51DINy7y7a6l5lJorS
4OxguaNDB2died7aoipxKBZwviObaUWd6IZG2asLz27tdTkWlu/4T7qnN9FpBmBYWm48c3OXGmRx
mlshs3L5ZHA3yghSUJBG78/57Bx8J3+b3Bt9PrNfxUZTLBRfKMC3IF/jJLldK2vgsNJrx2OCuwUA
rAxhD8U8BuZQqfpbtnKeR626ysp87cfJ6CgGpODA1Iy4dSf6LzX95aAa7d8KFo+EUtHPt+9FCr/2
Nc/npti7iVsbAERd69R0F/f67N6l3Gcu20q6Yt9SGnWvaeuK2Q9GS5E/PktX+48WYHNGQyMYrfFF
EVBcPLWGboy7JoHCvJ9U3g1kcKx+aYdy6kjqxgja9uUxrWByGSRu6+x7ycHH29EZVHdXeFoTMYcb
rGhTkTvYy0xGpvBG/2pu4UZPVNe+d6IscocPdZkX/aVMnLk5GrpMqq+OaYJbeeeaba+bytBBKe3Z
ODUmeWv3hh50xhpHp81QURnXu1VXfn+TDSPWrUqYcnrcSkS6oW8O0JaZU9aEJvWJMX7zvaGNHx1A
09Cu6diRT9ulsdGQnpKVpM7yOLeJs1JP0bQ9tOQy6sPa1Mo59PBG80VZeJv5ZKWjEJdZAbcdtmaF
pGWHQ97sAT1qqCsIrWERxr7rbVuHjlflRsCcu/ba4YzR1oLAl71pYRbo9plhwWB6NaTlGpQ0DfSD
tVtaEfWpFO5hXLTaDq27GGZNSKE9axUUTkL3P1AJKz8Jqx+GJzHQJ+BVJq6uThS2mdyXItXqwzxD
NkZlAu6N3xaJ5V1W16V3FSdlXXyYfR7M1Wr7xXBpappEgeDhubgohnUTd7mWVXK55L0qPnLQA14F
Sqda7oDa/AoOxiV1MDNDzWRujZA0G29tI5ht6at9gcD1HMotv5DJaQ5WqBSRrtWugtwc9JECrOfB
jjJv+zv26RoWBXkZ5DC1m1o/ODx27IJKpMX2ET4QxHdiJu/VtskTh2jPuLKNGGg98EzyGO0zMe3b
F2buee1FkctOnLayIUvAstdm/DJnWoFpF5ownP2YtMuaBtYMOQFrbyMjNLvBn4h97KvhazW5vn3X
ECQy2PtzeLEFprGIyQdc2NSUh6qa5yJaq/7cI3EcvBvRx259JJB0mw9d3WonSqa1rU/2QPJSsMSF
aR3drRXOyRgsy9jDt49ZVPqJ4sDZdkNLbeRUmfO8yFy7V/GW5MsDTIs7QiGlcb99d2rhJC9t0Zjl
0XSw7R7NbF67axIw+vGxJF6dqqYW7nKyXGNY39ZO5O0pm3Qld5sWPqCgohAJIK81PGE2DAhXu9G9
1mY1zOG40gT32HMJeaQ32y5CfB4e+g/XPUvFJ3+vUOnflBNdrj+ac5EM1/24WfWlpIXjdv6eZYxv
R43rFGaDdPMX0EQDSFb4RjsAm3OSCYeacV7tqKkLtkaW0PMBf+7b+VYZ/eSEq2FYPdPE73qsP604
PzvVgl9RQ/RC3Q5yKg2iMzKZfdfnnfG71ADQ5CKI5Ng1arUgVCinPjh9b4+aWhtKqw906RJOMjv0
PJNwBGbk2MJAKeYkXXxjp3Kc96yfxHpOZZ1Nr2O+tMup2WQlPvWL9lxOLV2uL1dA+uWTL6t2uj3H
kTqHodJxUJHb1AWUockS1Q6kFZstXPydv65KXg4pppkb6L6K7AaK4g1MqyuAqwQ9WF0xPmttdH6A
R86ewfnbAiSv79IHFD8WpdBEf/GHHJEuGyLtYoghVZMfqyfZmgrTRG1CzQL9xn3XjEGGddUNGh9J
jBMi4+j1KwhSAk4MUmOOz8AUW2YE3kjdmgeC5XXcgqRsMC4F9FvgwLlfcDrT56peXC/9QlgAbE2g
Z/oxdRfVNIosD+eOKHwKUNNbhBX1TooqKfqPoR9JmjaEfwHf6oyhibgNYNMfuzgk89v56PBq42qa
06Q9qvQHwsy5e4GNqIlAvW3sod8BE2wav4ARG8f/iPViLuvglgcy55clMr280cG2puIW2rXWkReT
Y/DXxHjvQ7K81a2rph7Knak+5+6jN+3/mpztrBX9V5Nv6UwLRXe5c7IHH7QiE3/NDea8T8ZqCB5V
cSblnv3RBD1Sk3k9sEwPhz++8t/JXnO8dyJlMDB7RFwJJ2Iw/bq0ycarajYa4jwHhGYg1FNOhwup
OvtuGcBsOVnlhhlClPA9/fFF/J5w7p1GMlmAvTOjl/uGxrxllOHPukYH24UUapDoEOD+n4Rm/J4u
8J0Noe8GhprjeHuyLTr5YVybWEdtQoFLEMJwDtolyaSkHF3W+k+e8O/ohd8HbeVIHdlGbLH3fNrL
jCQo7TpA5j+5od9793dCypbmlINMlUAEVb0UvfU0+238J86H33vvd0pn6vOuapNY7GGeOSn06zHT
pfMX3/ydWHK0rLFutCf2gM87NMgwHhaQ4x8PqN+78ndK53iBVhQq8/aJaQxs5lMcWCnb/l979/On
/stst4vWQejGc7G3ipjpUdEwdWs+/PGb/84IfZ+y5fVwp+2SM1xSqezvA2DSHJreatMiy7erNmg1
xoIDfj3R/qVOk454twSkfjJL4ofEns6+4pPb9cNNboGr/vEN/XBS/xst7vu8LZmvDnhQ4u4rX6VA
z6peZ1gV/ve6WqP35FJy8y+1a9XeRdbmj/mWPVqMNHGIh0ynHFKSdEej0e/L5KStHYySWuzXq/sf
35b/mbw2d79ex/D3/+Tnb03LKT9Jx3c//v2xqfjvP8+v+eff/PYVf794bW6eq9fh/R/95jW87z8+
N3oen3/zw46CfFzv9Wu/PrwOuhx/vD9XeP7L/9tf/u31x7s8ru3rLz89f69QjnDa6bNv40//+NXx
+y8/2RIV2b98RedP+Mevz7fwy08Pz/nzMKbP9b951Su/+eUn6f9sS08qlyVRKOecFzu/nn/hqZ8B
XaXtCdNygRtdpkBNB9/0l58c82fLIq3aVyj8TNs5/2po9PlXtvOz6bpCnbWZpm+ZhN/9n9v/zRf0
X1/Y32pd3TWoE4ZffkIx+BudtXSxQyhper6kWaYjfe/dYo7wYzFqYxz2ZuX9SNBawFPsUsCecnb2
jjVIIkDwMg3ehcpzZGwdoUd1VBkFavAe0Dmo7MS/sgn8Az9ZnJPXqSILq5Xjbgic0m4cakXdhbmu
bH1S1bLXMncmRJgSiGbtHeAfkqQ3bFXCmEOduTFKrbnvo6yqvWOqUGDsNNok4pTXvPiyZcuCfsrB
XL/zOS6jfm4qkiNNlDKnBYXlC7seJi2poKIn5d9tBUdJQuiNXUXPViJ7i2bX0qHwYYLy+zYhHXxe
ge6qj7SH9l5gpevPtk6SPlxt+JqgEnGa7hN3SL5Ppsw/lTjvkXqZ9oQ0b5YFmN5ULR8G09R0xha9
fTJlp7+sa0sKxbYuX/BjLUzW2mxvMrQLZlTVVj4FXj1uCJ+RNplRORoA816e0NVwqojcJ8zG4iiQ
UCTfVj0qpGC1tPrSAmUmzyYxtXmQNYRN7eDDNCWH2/c3HsEMaH+tvA7GObXAy1RtXA6DU4686aS3
yECO6lz50zqQ/Fg3jXVsLEQk7ljrT1qPeRnY4zhwAwXal8Bc+mrf5XX+Ag1SnLbcbe/wXrnfU8ta
PkLTQWOA/1ECz0tXX7bFBmUAZLzsYnpuPFUDkWnT5jdQ2ALKHBF810BwccB6SnUyPnW0AUuiblOZ
CjpaRT9YXpJ3O65geZrmsbyr2y69L5Ai9nvIbHVIMxoSOuC3n/NkkQKURmTSj7JaL07kS7194oQz
9Zce6yK4LrI0a68NlMQHw53yZzFwwAsQSybOlSVbDjuiN8nuXC1A8Mo0zUcyDfN+R3TiSpdWYnLR
1DXDGAfjKjVmv9UfnrTnyS3U5bx8yQFnTvTSJW8+U/BZu2mMKxweCg9DOKAtAibss9q5QC1Eu614
zs+8d4csIzJBfi6QnejTULn2vR5m/2OBLi9QRcqnGjVAaKiAue/ifHTKByDrJoCqcg5Z5zl3VrqN
V8tk0nCrHGpRBZbl119qpClXkl3IiKym9761QISRVVcI/cDRxsssXj03NBfnrCep552qG++LSnLL
Dyors7qw0UbSRrCcaqZAJSeEILD+6AMu5PumT9HDN6Yew5ls8xVhCDJWlw4MmoI3V5/NOes+4dTx
X7zJd6/kjM6NoxpvTsuHInQb/5OeMr8MQczJTRkt91mKzDNvEzdpvF1VzkjH1VLq267egP7o+ONe
9pOLfmjjJJ3vnb7Vn0WTDi8pqkQ8HhJ47aJnHcj3drFp51CsNkfFxEO2H8Tm5Ogg9gqZXnVtMouw
ySQhaymm3Qm5kWrTcAFzM3dZAQEfUE7O11gIXCsC2+xHREMW7dCbGO0QCvhx9TFZENEStAzY58Y1
sueCQ1x8sFVafl87be1zlTinmhlO1rs5pN96z6P7pGzFxWKaG/yP9rLAjh33W68r1IOr9NyrZQPr
u0l0M301No7wee0OoYWM9+RbefKREQXYVSlGZd1vzZ7NZP1S6LW86RLfnMOeIFfJITmxLwTFoNoJ
OX3Le3e5kAmJ8Gu6VvCQS7FEOrdgXDmAT94pKb3tA4uNqB4L5cfPfm74Nzb6HD5AdqCmSVt8zlZS
6SAR6YYKXFQZnzpz0TfFpMw3PaecWP2cMiroiE+RpKwnJ9O0m++j0ymHtT2zzQvfYnV8AorLkXKY
lWPscbuv8sJFzNLvZleYQzjWm2Nf9+hPD5Ly6dGPLVgha9ZrUGlmikuET70b4KWvHJF9TUarOjhl
RgFjt/q5XHT7Qc906gA8MgMBiPgBEKYm3cHtaA6NvUAWQaJKG6Zim56FWhzvkC1OfacKREXYA9fp
aNWjOMqy2z6PGDXandXM/s5qiWM99PHoZh9Mt1oEfxtnT90Anhno1C/3iu3+WCw2jGABXsVyNMMY
6biVtw2V19czT3Vnr1azd7pFP5XJ4md3VTqi8BztRHiBAwj5NYeOPIAxLk6o5zb77mkkoWnWNz7I
cKcWjD4w3Y+Joae3RWZ2FYmq6r6K3oULHIcBrifOE/Abo2rGMFtiMaEpkvD6tMjFtDStPrqcLb4D
/NjMncziZIp8cN+Cjo6W92mAXGXjxlhnbgjI7UrBu6oYmYqSC6ihbR8SPaUUfToNWmw/uzamB2dc
jPoLB8E5DhLU42ngAm2VwXkeGuS5yPp07stxO3begy7lEmG2+NQkExMzgd9GV+3jeBLxVeb0SGCW
wf2+pLl5TFLlo5hru3Cc2jVy1+xrQSEXxJ18RaH2MiauQW+VskF3nlQ61EOGM1Uki/tpLAD4d03L
SkzgLfpDSDN3do4uCnjgMrfL2yP5CinOKAPJWUgHHDGh8lydLkxkqbf90vvIlJfU/940XZMi+B6t
p7T1jS1oTXJcD3NR+svNxvD5DoWDvmSeKHXctKzGiH6WzQl57QoIauaHAvXgzp6IpdNpOV3pZfQj
yYQYotLJ8iNmHHOXQow+FMIq92KKyygmavFbhVzgzc/i8Uvp0/R92dbhxejgfovNc7NoRqEBuyRi
7wbyygtqNdfWjiZCWw7sVxceIpjGMD66aVaiZUAa2oR+obs6gvybtpvOB6vYkcyODapq83Ql5BFB
ym7qk4WOOIZz01nTloXw/EmzayztfLZlWuRHhfDl1e9iO6i8koAT12/LY1UNyglZEWj4iPDUv922
Ei5gq3t1PW+tOpmjva7haHEAqdrBuRR9bxRBPKXjS2uPHI9GeLyvpk3CMujpiB5WG4j6UY3FxGzU
noWWeTQ1dWjildtFtYp4iQqe8rWFcA8rXOFILyDC87Ko+jhs7QbPaePZwxNF1IYMRFn2t6Fb+88a
VuiyrFAWRrXtI3ZjU1pukl7BtpSqN41QWiK2ztLL/FZLK00D9HVj1HoIOyKrGHvvNCVY/vBD+znL
mWnvZ1wK7H6b7FDNLyafZ5fVdi1Kpmm4KN+HWim9+1ltzROolJSh8LPmiGxcYlHqdH6orRS2KEcU
gIbS7tedznjLU9bINbvtrTi5XnI0X6FjD9Qvnuru7bbyHuiJS+vO2KZ9V5BMm9OyVtqMEzhX7tkp
tbmfhjzqIQKiaUzxXxBR2t8LGKYrHfN48OFYZxF3ugnkMFTFLBnQtBeZWRfdzk9dv/qUiLx5tfvK
zh6KcWW5SOZzdZSn7dYSpz6WzxQK8cM6LWty8tt2MIkkHteNaaOSaldUmayhZnJUEyzQ64j9KR2f
ChIakI2zR9/qZo2vaj1NpN6W/WulhfUwY9oYIqtV5X1K89aPdmeqJ3taxIVNE6ZX7Uzmx9Xw5ytU
fsaX1YxpPxV3+XY/N7n+wvpLueDSodUNK3/IL6raXddgrkz/SGbT+qnJ1nKDOrHKT55rtmN01mdU
LAL4Vi4aeCDUk4g3hzAhNrukUjYLVDZGSRUzZCDHB5/qH658QgTTTKlzzAbbK/edWaBZ9FJ2t8Cl
qdZ6ETtpkl1uo1dcCe2u3VG7FurELC8Js9WqVG9TPVXfhp5s9LCc6dOzGzhLPbn5SmaIl85Lb12Y
AIlGyOhN3UuYp35izcrbfC+wsE6wj3WjjOemH+RhRXjoN5EiXiw/pnUOFhhuE8edyDXJM/zcLbPl
P4iGuuQCuZmNkK8gs+3coEo/ixq59krLw/2M+ysYlxIbo+02SM9oAXZ0mE8MzM3wq1Pqjei2teNO
zs3WJhSsDr5JVETi0WS/2S6LeI3vYTa68g4FOWJvdgSV2KeStl0xnZZnXZLqlJBjZIKKO6FTTRMn
lbIW/YqMIe267jrdGsqjFrsa1mmrrdybMXfq+FJYw5Te+rPU3i0Rf/F8yIdsjJZJ1PcIUDrj5Atq
kse1NO3tQnWrcPbDsqXZUVh5ln/OYGCrA+zTuu7bAq0HppDVfFZZXnhBu6KA+0p37DoO5JJYkiJp
dGK02Nls94SLDgNlZr90WQhHhtk9Slbb/AoqM4xhP/YzYpO4taM4E6s6sX1386HwLX3pQmX3qIkH
60A2V3ExJiO1hB17y4e0pn3Jcc283Nynfev44Dc6ya8bFz1WiJ2jGXdjYQ/7zkgn/G3J7F2QtqHi
S6dvFpT9OQrDkOaDMr6sO712Nt0ZbYwz7AxVsUPXUQ5floJyu+2WtbouHcSgIQ5AsUExz6PfXtZm
vapDDKi0BqMgkvuJTcobju6CS4VVbp5P00yyhRtkGW3YPqIGga6ymMPNPdwYidJeS2YxmpeMox2y
wLu8U+oLclnhBuiJWhkN3A7O/T5bt4OV+HK6Sg13K9HuC+kGmyHHvbT7zgs2n3bqWVV8UbkRU5Fb
bXKXFi17ohu3Xw1nUWlQmttdPiQPSNBNHfVZMTB41FziD3WmHIG916ZRFkOo22PFNlWnRvy2ZdR6
R0vmnIyAGKY0GMt0/bYmveMch9lKKFjNabjsukl/QAzhnYXdDvu/WKvj5HSGC9FSPmiknMQwY428
ShZmLFVLDLsboyz0UNEk08sgfV1SvftIghuEeBKTCOeaQzb0iRcOAHhPQ+IkfB/+hkilzBLrFltx
aV8TKTclEa9GzOPWE27Gjja5ddBU6WKFaOuXiyWp5feOpR8lItbWj4PlcmIqYISfK8OrjwatRMJz
R/CTbMsB11a1WV5QJqIvo60Szq0oE+ehyxr3DBBWx5zWlduLY/E4MOv0V4zL8ZEnrw4ualJe30ir
2c3bcGzNenlO0Mw/rWs24n5MRgLFc8u+nBwLozbQoxVq3yq/JMUk6dPeo1ELZWMhB54n0ZpR3ZGa
e6O07liXHL9Se4Mbe+qSQl1BtK0VIX0N2FLtxzMBkhz2owGHTxdBo6V4GzI6+0Wz9mNW7A7h5Q/I
7h/44W9gsX9ikn8Bt7zOvmHdbt7G/w+AS2wxlvXH0OX/qr8/V8/1357r73+7yb41L8/93/DL8uPw
r2DmP9/pVzhTOT8r2E5FpJ/pSMs8J3/9imcq+2ebJduTrsKeL1gn/olnWs7P/AuApue6rjTJifkn
nun9jCrD9ZRPeWWb/IX1/4Jn/mg0/l/4+Bm/tCQ7h4NhSpkkHLxjwRDCI/zPlv4inSsO06J6qVu/
2FF7DQHSgHbfbOXb6GVtuKnipbEwKanGsMJuMoM1a6gosYtE8QJeEM/Z04QL/08Ij3ck4Y9L9Mnu
IsBb8kSEeneJzhQDCBf0HPereAkQ5dg7eDS05qk6TV33jK35xht0NCSkBxZel/8Zh3CGdN89Iy7A
JfqMRyWVeEdJ2YXV+qxndIJPuABnO1tHLXIlnCzepV1rhzqOY9Cm8VKnnQ6Y53+WYnimjt5fgeef
268J0zP998kog5vZfVmVyPc0sfLKko86FTdZV/9ZIpX6tx/k8TEuALf9Psre2+JhXFH8005tag5s
vWovx/Zz07ECqRWhOo1SmrDzEP1O86xCGZv1yVjse1Fb9QkxqbHDbxI/Iymcd/1imw9EL04cFUx1
gSuhZ+1rVvrzuOy2aI6ConDlTnjobHoc5uS0Jds+1vYdG3jJ+ONBrp33ZYiHI2Z4P8JsGV8mteFj
02jXi0Fs6fUaf9ygUfGpbY+N5Qv0efNyswzFm4XdcTdM5Uv9Q6REX9bNV69TWj04m/z0LyzGP1bE
3xAD/+3BMSXYp0yLOtj9b50p5VabZZJ1tCtzYn8Hk/uFrAXEugBjsW2fz7yJQjc3qT8h/+3z6P/t
0HCFA4bqS4qR8zLC7/+FF6xaJdtB0bDCH1JqhLHMj5IT4cG2Ka4SB49AJjfEqb0trqqVCV0PJANI
v+YLLUksKdNkr8kPCDHDMKQtu4jQkwM2dPN6UebxGPrKdoHTDUruP35mP9K23127Z8Gk+Ixq5cn3
qbYmoik02/TC4NRZRx061quEAiZ0Juz9yLx3hRzRSpMSetMuPpUFoQxFcqnRsAZx5VEJnhcgd9k3
4uQRzhBgvUTUY3DTcuVucL9nIbLOb3983Wd6+/1l2w48FGyXEpxvfvvIRztDFjVx2bPRkyDusij4
QJ2/Pujew3Xa6VGFhlvafzY//90nu7Yi/kdAZb3P19R2FaPPoydMjKIm5DjpBwqMP/rj+2NH+m/3
53DoJMWUm2PB+e391fTwdYyuLBEiy/pC9l1x2cfpyx9/iP+j08n7x+gqaVNDWxiJ3jcLaKpeSnSm
5UVjl2+U5H2JC5USDg4HB4nLJFfGzN4yjeOutrbiEnDgzUrc7b7dyCxAkc2+s6rQcicVViiAdpgv
zEOJgmRPRoYN1mtkoVP7j4ZnYOnx5I29rD0ND7QfFYvOg8kqKawQPu8yjkA7vxEX5sL6JizakRBw
gu8t48+GVFhwVFxaTr3J9OD1SNPRUW4Yd+2N/9cti3HIExJ5Wjsj+0EbNZ6n1t3bQCtAWWBr7YzT
bCT0ZcteRO7cc9iML+M2V4Hr5G+9rZvDoFOFyKw+GItC9+iZal822VufxKi4G9bczgEiAFFmwFmM
7zoZ7HBqSxgExiB5Lx+7rd3wIqvHlMERGmPBdTv3daaMw5xO9s6xx89WzWyfz6v3uhbDp3YRA8gm
0tJlqW1aKfBhpcrdZ8uE1emx3UblnL0MoLERRCGGdK/swswWX+seYWkCS/kwNTPFQ7axEW+esZNl
/ob0YQimBBSvqrjeZBwfaA/x6hXsnjQ7PyUcyRE1s3DPGvl/wQYS5Whywqo3PkuT/i1u3KtQpRh9
he/EoXaHdM9ahitYZC8OXB1+EC8LjYEduFwRYVdudRJl+yG31CNeg4pp2I9REfvpBcWPw8YC7l06
fDX10D94Gbh01epbCowLTEwvvTn0x0Fz1DdkOezUOV+pWlks+y73Qp/mj11XvtUoNgOvm666cbra
quIN6FZdLCC7UUKjtWCYK4Fo8Dom8jX068mPbFPe0EOUUEC056BNbhHZSLGjuGWcw5cYu7WhviIx
sMXzV7wZicGI5ZulIfebINouLMxOPE3nKJc68evAdiuAzjh5ayC4OLGdAYVs9iMjbU6LHPIA5x+I
5Fa9kI5Q3iLjRek8Gf6HAYpqy9MXzzGbQ7qa/ZUXy0dzLLlHytOTl2tqq/MXQ2VwM3j9uIMK5qfz
2F1nho3ZKkyVMQRpm2YvfkzNKBLn3vFLdTGu5QsmE8B9Rrg1MjV+DNz+nDkS18teLuiosdpdIAh+
bBWFTAoO9OsUqBhhluXcD2M/RGKi+HTddruu4dpxWJ2rDYP3a6qz9zZlBJFQVGNKZrq0ujED257S
02waxs6a4yxsfQYt6NTLjwvncqlidL3tc4M9TSnu2xZ6+ARtp/b0YmO9bhemmkzb6wYT0y4jKiyU
QHi7rZNHy1u4pspG5j3i38Kme2pmIq3yApJtGeMaQr98M4bzgiUFr+E+GLrFr19wZYp7u+w+43Xy
A2/J3zqPqwaCe/mxXGhZvJGowW1NrAR1nvABg4e/kgiZsIW/D3prHJBJ8hA5DFAPbdRTVMkymIR1
IHAmP5WNX0TQ2sRKCavYeVv7WdjN6cfuRNgS/dgTnoCw3PjS9vI3QEBSLrBpVhRJYebRrqIf6nZP
D6aI9fR7XbKYODYjF8H5EAxD9hFOiSXP4H0n1trCa3ggQIy9LF9G6qvzcoaMkyWv9G5+LEpasLwg
hvmcL1xbpr0bu/G2Q1eKe847cMjYhAP62b+Qg5iHvtPnQTnx5f44TaTngsXLHGN33na8Rt78uEMA
6LfzlOgycX/eCqRn348tF/bjO2htdZPR+ypA1mASEXTyk1yEVn0eNjXsZ2xj3Wys/rOZu9ZJ9DmJ
Ukm5IwGjiOhZvv660vkuiwnBso/NKlhRvc3YsZrMt3hYx91iMH8xvNm72dh4le8ah5JEgcvx/O0s
BiNPbM1pSzBJox/kn9ptufyxEmcoNaPMS8poxm7JDKbMWjf/UZbQowGv8LgSfwF+47f+wBegM92i
5IZlQTiS3TTKLCL/DA2ogRWBMczbn/cVp+CiaODGVPXEvdXHuzUt1gsnRvFQQOGF5xG2bPwlKqZ7
wUqzh5dDgtAw6HrFwkMQ4BAQp9PSn4evxlEUFOdvFxnB56xmhsuUVZ9TUI1PjzfsJk4FP9bf8rw6
xl1aX9SF5eCBbJpDlw/j7rzHwRTgi4HpDoRmAv1v8s5suW0ly6K/0j+AbmQiMb2SIMFJsiTLsuwX
hGRbmOcZX98Lqu7oa8lhRT33Q1VUxK0rkhgyT56z99r2kl4si28tmbJtESgCzlvL4Z4W764fccJq
QTZ/wc5VHmz8KhsDFiSSivT59Vmh8/ecONEL+JT7QE9mNgzwIcPApV53m8BlXWTCBjMMJP7VZFup
Z2mWvlEDrS7VNSmR6Hh8saPVe6JBaXrjLbgesb55JnT7rTJtHHt1dMiqkg1v7uprVsn6HKuoO6qR
QXNrorubjIjJsFgwIPTMPMvSDbwEofumxH2D2R563AEFT/hMPhHqZgNQxR6z4LDpANn6oHgoNab4
hWnZI/EQ3X7iZPVDAxL12ciS6sw0YfLCqvsMyCD0OefAIwqEeNSVwHuZzwUVsRF7US8CzzAW/QDf
g+42x6ShDNfSoBrKY2NG9o3osSyOWIm3iuRznoSaOcp6gEvRuTKCaa4NEam9rSZx0t3wudcyWEQ2
k44hDYytpI21xxW4nJeG1wkj0bOzHvNKu0o9TNH8l4PI3zTHCB8tABXEx6k3FUm8HVf+O+km+hb5
OLjJLFTUKBiNQRmx885csUE2v+A3a7uOZtdG1EUGjavqdtJWRxy6ENnoBOKWWzb4RUZMI4Qqpkz3
/Eo0yTZOVMDHo9opOv6YEj1/eykwcAvRo9wwTxniADhL4y+mUNEhr53AG6cAP45E5GGPuyScf/TM
mzaaiFi0NMbqJQGsG63u6EbKlWaVog21BFYqrK1S5wwXMzaLjYO2YiyMFr/kECqP4vlGG9Ot1rAA
tHq/DxEB7pyQexpGV9rYnPFilDyE4xehj6fGypyNE+cYT1ztVwX6wrNHme7kJCSULe3J7Fh1k1oY
uBjVbZgmcpM0+qXRjNSDAzNtyLFr6eISDFbHyKDaKeetXU8+SwoNTl9YluI+fhFT6e6jiPpJBKw0
ZRHNX4xO4ayx5bIdM3YgQDzBC9lc5VYKJ3ugHa7OatEfB8lSoYn2sYDLvsnTuvkRLmjh2Yn73WLZ
nZ+WFMHRVC/7MaVi0jnDpZtEY2z1uo4rLb0YOvtcyOKgC5OkgaEEmVYh5Ho90Zs4Dj3b4DXFtkF/
WBe3xuQ0zDTidNvkPLeQHdHIhK6vxvHZHXrHT4vhNnJ4YgI3bzZaMbBoshWs33Nw9FtB98FvLcGx
kN1641JmkyD1jDP2UU97amRTv20hnTEbhYwxgko9CRGVm1i3UWLb4U2RjZdqFt85QNZ7fTCbc6vL
5kuvpd8S9jSctn6NE/E0NixqWIzTq2Tk2+CLZNDldlTX63K60EK+Snt2vMHpcEeazr0Rp8/VnF8o
MKabhWQBqkDjqmqoazThXpizWJwbnXjbyTHeZFP+2cWrQa7Esu8YjjIBa6xrNSbRjY7A7Vusc+0L
yuSdSO1jpnjCqoyngSlwSYHFNUUXxHVWtvNQGgVNai0e7/Na0zf0xCk81+ZVHM4IPdJoOzusawHe
5F1aRxNp54bsN5a7LtI5FR8iQ2rvtlv4sdSYchnAwsbkhZZNechC4Qd63x6Fm7wUWvSC5fGxadiH
EFhdA91DpLfu6N3EIWwtd+r1WQ15TK6xaHLKoybgcC13iTFrO1iyDrwz9sxiLqGgrKcWtEXTxkaM
4PVh81jmbD3D2I+fQqa/jBp0bnaxpmAjqTvNdCY3rg43JrW69K5GObXNdbHTsDtvJ7TqZHAbzPHX
Xa7pygLvkkEZpWbHCx1YVWHFx2SSZ3iKjOV7btgRrI/J3dK1GOiA9CaA0T5cKTkSXVsQPGVjy19p
8pdVBfKcB0Nxydj1Xp9+zps7rGfxicPqC00IflVm3YFZ8C1X3hYh22QbsHMlQIPWRpWplvrQh+5w
ZdbckTld98CQ5xNq6bBtqaFYFMLqtnGLnM3MhUEnNEgCenQ9xyxjNCPTXY5yFixsd9J69AhDVWG8
g/ulaj5+xgwGI5PbAefgE4NRODPMzDZaNArPjdiGedrZ4npu0VCo29e91514TyMV3P/94P+7xnxt
5yrL0m1hGwihbOttJE4ve72KSjIn1XqZ1iMV+iOKjHbqdo2pbuOQ5+/vH2n+qaNhoeXVBdJiXbfe
GBaGZACTmcykQxacc3F5IIHpuse6og+Z6PmyXzSRcuF4sLCPL3vIlRhv0+rBrL86dXUPohT0FIP8
/VrZ9Lau7Szbvk+H8EaX08JUFqgQ4Qy9F43YKKtxuLFyDYex01Fzd+GX197p67HMFvJn3OXRizV1
QKQ6C54s8uBR68RFYh0/WdWUX1BiUkMOax1sc+zqjBXog/ubIz1On1bTYYWt5z5iKZ273vnJGKo5
F1BtsKWthWcUlwypjMwzQyfAdiymf78rzxDCYDZh033U3beBm0kWQxfj5fSDlmOsY4+gI3uaIBaY
Woap5gOpki1XmRM68rv1YEad+vfb+oc+nOMyP0GniwiRFvLvfSpSM2ozlmnvJ3arNq1cogNaQjY+
q2ZcrxE3EVmDvh2y2PigQ/aaRPamd0XHwHUUGnUlaV/9/tEsJqKPUwyaTg1WAsOoDXVSE3fxaK1E
n6r63usJIGx9IXfaTG5K9MSf3QqkiTGJx79fhvc9e0V/lNkv4wkdIuGb72IUnc5xM+j9NjCcXVYD
K6lD/hfo/fupbQY8ntroFWPDXDUc8sPfP/0PrxZzAr6A63ArGGX9fiVyfqHRIYj3gYzh0aShsyW2
96NEiD8sGnSZIb+Zq4T/3ZiK3VSaTMkgFMDf2/bkrXlNMn3X5vYaEMi3ucvijx7wP/2w1YDg0N8W
zH3e/DC42iFlSd75AFHbc4BWdB93qjnyftLKGZ37iO0TnRvdM+Bsz/mUzf4wiWqD9rjfZkP8c8ke
/n6tf7eqvS6d6xwRzSpPHk3gdUz0j15/BUogdvWKBz5NvpdYWH/9q/hNE2q8bKo/sOasU8Y3jWDT
ZJFWdP0d/Bj2m0ZwL23NCgqolE5sXzdSkvmnmcWuDFS81amaN2KwnlSWfMGifsx0+0sD0BJ62njV
y/Rn52BHXcx4+Sisbe2v//7ymaYrTZNHnffMeh2J/OMyGA6JLyFyXR8yIX2ajOLZQmS87/WCLVPK
Y1/Wl4gm2VdESdW+LblFwNJo6Wrlo2gmGlPUcStCA/1HWcwUGcb1CCh00yXJD6s9mJ0+eYuiBOns
o9Eat5Iapw/xo8GFT3ZaF+4im06NjaEPQS4G+HXqmFo6zFs9S7YqJ8KoBTi4xbgvN1mAvhblVc6l
oZW1ju1ed5mEXIzj358Q+f7arJNkUzFXxg5jvZ3notWeyLHSKx+86gT1rQ63dheCfBkhfFZ23SFx
Rs8+kQ256YZBf/2ZtFaBi9QlBaFNqzZg21lgU50qvSdhXWdKNKx1M+z+Zd/iDr+iJQFi36ETGuYf
7tbi/UjLNiGUW8pAoacTKPH7Y04vg0W3odikKG2J9CCaiJ4aYgcbWaIEnwLc/uK4+OoFTvyNlsX7
ZsRb8fdL+f7ht3EN8XhJJvc6xp/fv0WeIBMc7LD2MXad5MiFkTwJcTFYH3yQfL/SMDoUjmsz4bWl
/XalYQoSAG4jcyHAOpIkFCFiTpd9bXfFS7a0dDjIr9oCKedUNJHgUKSobmXvztsgRwQzVtGz5Agf
o+q5wOOjF8gRkOubAnnm3yk4vNPfvjQGs3kDJfsBG6H2wSzvTzeNAR4DUNPWTfPd5Ljg5CqRSFZ+
1ILVlZnCNFFM1TZvqTqnfIJDOvY/1/PSnNJ+6uvoheiND1as9wukjSyCeaIhDfV+m8hk39rgpisf
UvovA/jPlsvAh2WN3I7zR58m3wsDbBvBjrtCvwT4mLc7bwlVHGQNxD+qm31aAUZex5JLK0Fawkam
gUtBvXQMOaSjwk/5Uj6WU5leWTnFvdJBLjhivspUvRwGDt7I4lNO5jkney1oh6vEGD8IyXm/j/KN
zXVQbFus6G+FBI052TnetMq3tTn2yxZFp5bSgeh1zk+0snVv0LMPhpZ/qL75NJ4IHeMcy/bbNwkz
uTOW5AP4QUJjsy4NxUF8kpcE/tIhyjv6qSHoDpH2x5b2FFBoGpVrz5B+Ox40WepYlmghBAyKvA4m
PI1QQ5xorYh9TWlZGRwxI4tjt2F2j5jt6KavPZFCcHAC9+HsQXqxmsUm/dp1/KJkH9+mnKi2eWlE
B7XYyg9TgC1xYHzJarnA32OoVwnL2aCtrPYRST1bFUB+RydfbPDI3k4jfZLX2UaZKX3DzO3HehK2
4o6Pm3QmFMF3Q5smUBPtuF+WD62tf1w2LEMh4FlNj2g2fl+gkMQh9VIsG+HcRTdpzhhTcJbYS1N1
GxrLJXsgh9zYlc+0zelmm9zoYqwdhGEy2xVWMwLYoEf0utbncmQ0OscEQKgWOkzXyW+vo01VCRfN
T96ccsbd11HCTfj7Svu+gHVYXyleUZzoUn/rPm5CxQi2sVu/sNmMe2JsvNxeXwkVDWcU5zi7nCX/
psDTAaoY0g/2zNUc+qaecKSyTQPNC3IoVLy/X0jXmVJ3nIrS1zOmaCWi1RuR0u93Mjrh2HPUQ1GZ
+TYGR3HsBe8I7hW6Chp97Hj9X2ZKLFSv2+iiFx5T9i4mSvhFPLSf33UkrelcPmotzdfX+QOtDaHR
5wsg70ckHj2a1ToNMGmyJzQlfT1fe3zgQhmkVfFtU4/qQc9Mr9LdSzOgxDetBXv8qnnJQ/eF/zD0
gID9S7VJ5mN1nH24QfKDevgPlQVMUEc4wnUVu7K1XsV/VF3oR9MiGaPSrxlSvA4IcrWOhAUToSrm
NVy6bNyE6XKc9FR/5ahs8f8wPKgwDDGGWfQe4VSDAYLd+jZb17faulcYr5mLV98KJvpohJlF2IDM
/L8/Yu/XPUdaVBS89zpnxrdnpB6ddpvTePE1R/kiYL64LhXpzBH1tRsF4uaDVe9d8YwTmnUAzBb9
DsXG/uapigSo6Salz0Fru9rMVWdv4nVy/zqLaV9vb89QaGB9QcmxosrXMeDQAWwxECvvmrpJdyZi
ltUf8JEv/u1G+frlTOpa3rdVNbT+83/cTGt2kkRLi9SPI3QEXcN3gPXHFID7ROL5R/q1P3zc+oqj
VDIEh4l3205amahhy9QfzfWptfMLvFNWpJZnh7PjR/2e1wTFf54QbNY4VhQUnQjZBCfH339e1AxM
G5s48qMogpgZD4q1sCGFWbl7Rk3ooseUiiQuMMwZlKEHOGnBQQituFaor7+OKndvkqE/WEb/CRDI
tIMyZW3UONS7kXfUo9XRnjOnKnx3nBHDd0V8KYzERa2SM91cumLfxvxx0ketdXZ9C3Y3ORL+LMD2
tuAUS3xpAPWqA2cYFW1Bn4yewkGy1Y1oOE7BuKcjWe+asFY+fnHjhJZDY6KSfsK3p/DF2AaIW4Nr
iGUWC7mWYBdJw08F5+T9MmiDR8Ke4/UR/yCS2rOoaKYKPDS3M4XaPs+CxLMxulwF5TDQNjQlHUEM
b5uYObVXwI87IVA10YGlbuJZeV3si0rFpz5phhGlRZHSsgoM37Br5+DGfAdycFY24ueqU5/CiOAi
je4wYmXMYKm2iO892EYf24H5wYtmvC3UbelQhElEtKxKOuf132+2G9a46jN2eRQUzuH13GNkqEaK
FpAr6QNeInP9U1XXhR9UIz62ZVY7Wa03sEyV5zSYTlD2UNfbjZ14MVD5TCbAOJEeYogaLfo7g9rh
okk8hwXSw45Z7BkiKPxTXG3HWLT7uRzVxV3/fFJ2n7pI3ps2apNxslCSmL2x65u8OABpdD7o/rzd
vJD98ULxBlPHsNDobx51Vk5hGiChMEQsfoMrgRbRBweUt4vn60fYKAxNV7eE+TYcnlOYSSOA4Mx8
SiqvHOiFDs3AMaNaEINgYOXaaB+dit4WBXwoa6eiuOE8wbLxZoUKNfJirQg8T13a9Y7hF9CuhSj4
IUwFggFGepDt22NJlgF+/H8XTbTKKdnnlCUp4Glu0nH5/ama6zwbkpywwN6qNObyScvdhjmQJOsH
goc6Vm7n+Kx297QdUh/DzvDl75vWqwLut2Vs/Q70qyVnGUS/b9NWeW0aWzaatYe0TzzvXLeHXBkN
B3G9XTbNALY7zvX2CStdgL3RVtflhOoU8LTzWUvtZSURNyDoVLLv88V51FvJpaxbqruo2udp1NyN
89xi0bP5OV1kX+paWdghxvpBhqgSNlMhYn90uxvDDqHxDFr2QfH1ynn57TdSwDIQsAzwHDTb3oop
8UdYqmYL3RObUlyId5j2ehXC8xvK4fT6I1wMoTf6GNqXNuIfMHgMtu6iL14m0I4slGCeQS9ia0RB
eHDDCN8oaHTea709Tot8qdBiHABHIiEj88uLQ+M2lbkBUDEeTssStYestoA6mIvjW5M9MNVud5qZ
gNZfrHqXWYDMOISsM/ZC2+eVXLwmwDZfRdM+ber2euLf3FcYmzZRFK44VmCFwZjdkNfzsDSJwSLU
n8yx58sqPduEdTRcydjuHrWy+Pn3R8Z4t9NyOemIo6m0aQUbb89alQu4a+HctAeRTu+kJ6XXToZL
HI6fCe0MCIBQYr8AE9jE1hxsydpGcGRWDt4rXOlaTPcK3L7YZi6vWQLR9oxXXn+q5wRT++IuZ/4K
xs4BU+2kqeJAI6nfcNEtH0fQjyWpILCuiTA6XjCmG63a15J8QHCOzVazyoc+m/v9MGn3OQ1pL12a
f7uyWQ9EAtiou7487yqbeYojBm1cgCEzX5DMOzfrDW8IS9tiXBo+6EW+psu+eXwN00BmRTsSxulb
RW4Ow1LqfccygSbISximPqKOis7VUoitvgBvMfQgucYHGJ0lgMcNI1LQU6NY8OHVlKFYTkm1Gr4O
bnAZQ+sqWMx2L5Cq4NGdw6T06pmHc0jQbfL/ha9hgSVxubgw+AJPjjyS1J4vhGQttxLs+l7Uy/BL
lGV76A1uJHiR4pK0urUD4xGSYFWPX8Yha+6YWgeeACp9S4bjslUSsUGqBH0aa6l3IZmKVyiS3CNj
xdsOk8fBTWce/8Xtr3KrsEl9KYerUWdtaas03bfr12EGl63V5PDFnEMycAbWSqx4Tr41pQ0To+54
lDotuZaQMfC7FRgCAxuH6SCYyUbEa+3dBoBDO4TATbmQm8gW1i6ioUEZRZNs+WBr+8PrwkNCQ2EV
Va9L/e+rfGtZWUpIjrV3GpQlCakx+6YyWWFLVXq2WX6YRP9uL1WCjhD7iWECMKKZ//sHJoCaLH6H
uRcDpSXuZuO7nKBHUlKxQLW9A3ihdDq/Gydtb5CyjUysjs4C//9hhkAOzRi7fp6V5HeFq/goZlNI
iRwkm8QkAkECvz2xWQM2R7pJThcr2NzxO+D7k78CIWk3Nz1ZYpFA6aI+j4PxCNaAgBDX/hxE8U9O
4v2mYpQJ+kKziWwEJ018u3MDAUHuogw4AjximkVFVHn5OHW+RefKVwyk94zNWYYHPnJyM+ODDuP7
W8WID0U6JRYHdfPtKZ30T5TBC8AwKOoUIBWfh2zOPaI5cg74susPPk+8Lyw5thEcyIkXmbptu29K
EAd5Wy1DGGLomIxdPKMMhRtjXeKcQVRBVNp5clW8C1trX5V9A8CXG2KltbHDhShgORWMAkY72E6c
nMEosVHpADaB2agGUYLo/Krmp8RW2dzlLcu1Waybuxk07DxxdmMW5dO83qiwMAMU17yvBGc/oV+s
d7B0WN6xO5NqaYj7Eg7xkWCdq2yI0j1ThheIpaW3jOZLamdPMuK7azr5VbMTLGf6WnIn+onGStnc
twvLBOGwyb+21iql1GqcMHpEUWbsXPLkbwUiXzQiLESuyy4Z8faeQRnr57FTnY95lt00TxGDV9Ql
KUCqbZ+DOtHXZY4A7QRZTz8/FwtPUDqwRCwA/z1C79oDymL2npQHu02r+iHGeQrxmj0za/hClW2X
EHnY610tYgoAuPh//mnGUgHRGlKPrXGaL1GGeAQU1duJOT/AWP5CEkl8uTCUWWdYaWMxUg90E9go
MbXHqNOdK1EzTe9J3Ty6XegcWpvFDfoL9ymkgigCt8ONi/gbzXfnN2ELAVqgIiq6AKz4+jM1nNLX
g7YsUIBECzOlhCZXB+5RArvduRnMUsLLvliz/SNHr7uFEyWPLGzDBU+NAY6LBSc0Z8K+6oySheSG
zetK6VpcPpSmfAJZd16F53ob5Vz/yDU6Du3cjtfC4f+zpdPgOMRZ8L/+F/f2jkX3pQNL+x83zdPP
X230Twvn//yb/zJwOuo/HXQjOrY7i5kazZb/NXDa9n9SsjJ2dpU0HOmsKoH/A9IBD+P0gECAWsw0
+Jf+D0jHyk+zc61PBI1b+e8YON/sJ2tzA+E2QDoLJQaTKr7CPxs5HRJIC8nj4FdJB467b+ZPBU8s
HioO5c+au6TnUXfr6oNuIK42k7/8j8qHT173Lwx1OAOkRQX0+yf3LXmhE3pwH05/sI8bw6yeaCJD
FSIeQyEwQuJLR70Z+8cM6P+ym1RZpagVM6PfBmhLLfqtlZDblpCbbwGG+A5mG2gFJWbCMJ0Gq74O
Sj3apnnQ9odRrug1uFHkUIixY4hZlc78bIz1xiAstPClYdjf8IBMT3Mp3YdcT/Jop8thuJ2BKFVe
ihblDD+fGBNwpSxKg5D9Y6HsGG08ZBuHdA4Vl5x3QrqrC/7zpXhOag0duzF4SylKrw3KH9RO4tI2
Y3ILGM/+6nJGQG2tJReaaKIgjloRkqCFVvBFQ3mS7JZQK4+zI6dtEcy/bIK26fBiRhkSeezklHjj
GN04UW9TFucLQ84SPakoWApznDLVRJrhKD8PQFA2tPLvZloxWzPJim2Wlz1aR0N9Kki2cyYQPdIg
4iIc6bOOTW3SsbEyFEN6sbEqyhv8mE9oCNDeueqMbsHDMchxxFgzMzP6YsiU64BubG0QWGARPoy/
MuP/VJLjFrTjp7Hp64veV91xCZpmE2Ca33dln8MqIDpEkHi0xfKP+36M7R16XQN9KrENnRn2R6m3
Yk9qn3lUOgQabeAkKpq+PwV6G/vGGEnGECiperOQB4wV/T6owvyEZhiMopkF5PIxsFrGRkMcqUow
EyLMjkWhqZ+VGMIDxG7No0uhXRNRUxxFWcd385K16GZVprwQnj9ByIiAuw0neIOznYN+yaNhTPZz
6oAi2Y2Gap9gjKUlnQYgBts4WuxvYa+cK+gy4rkYZP6zszkJQQiqTHSgZOHe0dW86JNWouxv9Pg6
kW597Ob6HOpKO+VGVZ2iJS+/5o6luNZJUxFyvnQRgZzmSNnduhFrvq6XloUu0ypvaDugWNcDc+UR
likcolya12CCF307CYxTGfNVH51JlvupFjmfc1NraCjmSvdqq1jkztRER//dphrQQWiPm7aeh1up
EWulCEcLT2FYQZ6qdeD5+DoQ76IRhnRkG4Re1ODw7sjv0slKiqdia9Vhfll4oRCRjQEtAN0J4R1k
6r5sGkh/DrEsMxdzBT8aM/gokj4qMm3ycnigM2dGG+besLGsSRqIUVUz7hxzDOvTPHbiV1lXtQ+b
XjykBtZpv8uFeimsMXD3ipwxBPRtTQsbMrep3TnkoO1B+izntHUI/aT31hjbgrlEtkE9H933ErIh
8grt3FS62BOHXRlbM4ztu56A2pHvl7f7bNE+BWr+aYXpc5tHFwEFo9I1irxZonceZHYY2GQ/WYqY
rlrBFiJvc+PMVnpxuzjdLEIDW6QzBMsXcsqSqr4urKW9ISzkZ5QKa9OUJMcFXRYe9MSurgrbJpyF
ruTenpkkhrkd30Rk6fgEaztnkgrljlq/fCaSkjjmXLOu9TkJYy+fg/EStOQf52QacFwfZXx2I4eg
vCRxKAyWYh7KTTOb4tlOxvjE8Ds7U8d+YsQ74Y1rRWd4ArOf9asuZ5HFpHLNCkualvNeao9dHsKG
JXUDapT5hZQPe98WQ39LcpJeEy1DGxiYBB2SfvlVGTXrB2AStXJXAs+Vs40snz60ShcctzhjdmMe
xmC6ovwGdWJAEpTRG1u9HIM7O6PWuadKasgimdPuSIb18KPT8v66HXsyGTiUYhTgaEQi/IAsuSsJ
dU6MiSBRimGN1SJ8xh/VehpJlwf0P/wwZAjbLB65GpOUXxySNc64Y+BSTiN/YeIBDsf0egiQtoxh
cOgzmW/L3DxBMrGvKmlFJzjQL+xO8TWzZcJ/Gzr0G8oumoqJkTK3Deh84MpZ4MPEbSgKT5vr5mes
AQxjzIUs37aKNoBMk3TtLmq0BAG8OYRXUzTcxXOYfu1iJjgZOthfeiR6n4CnCfoML4xv1oMzHKrK
StRuGAbnuu7S/MHmPm2RkDUHEkaLn3Sk1U071cEzMXtCfW6JLYMyshTkupWdoU+rNrxJvIrqoERN
Hja7tGqWKyD7BvBY/ZnwpnJPVtriZ1IMZ1L+vKkpHjUYgKQuwVUHDdYCBIM5YhnCj5k7EtBbcQDD
pBN392MqVYSiPlHXdmuDKaUTgZppGOsbpG+3gQHJNALA5bVVrt2QrxZcTxo4EixR29hRe/yUMdX7
SogkYhtc7TGHKbMbccWfExBgmok40UjjkJ8QXQGZ/1nb0w8C0NRxbG1KBV1C/15IoNamGiapFhAc
GcKkkTK7VE427Za+MX1nCIttEMrAW6KQmxxN6pyY4UNouOGuJmtwO9KN88bQIJoCLcawzbUlustR
ke3KJN5rY7CLc0vsu7mXl2iCfJyhxt3oGkkQUyhx8CNJuiKWcpVPC7kppyndzi30oLANGr+yiSXh
Do07akFjS34AKopp+RJkAxcyL6tdbnFhs7oIrrCZIINoqy+jGWn3blk0h47xwFpqwJbCcMlhyhE+
KxABXWYFsDdtrJ2OnM4zYUsdrMQg1jdxb1pt5vUlxerTxH3XxwyqkmyGSflaasW7dLJDv3HSeWMY
jcELHyvzTLnQfouZhcMfck1zDwuwvQHtQYglHkPcTEUwfkPDkd2Rvq2fdTdLX9rJtCDl5ITLk9X4
NalIgu8lAaL70dRLuqaAfbzQ1oMXPVqYl3GW2SZdJmlU0Cj3mXObMeBCEd2QlsfOmYaDfrJCeJsT
M5YnVzTkkaKh/pS7XYogvSoYk0OAsE4hJ8/Vg5DkJ1L/4s+hK8yz7gziHkZa8CtrkalhTHJyn8ix
OGVhEsEx6XTzhCmq0LfYPdxdiDTkxKvSEvEdzkPol7qT+jnElQdDOWhtyN3qcPmi9I9kFv7s0wK9
f2a5dslNKPKb1HG0e0TlySGO2vmcTMniF/o8PCqzy899PRfaZqF8IOO5aPey7d3i1Ol6ClgUI8F9
mszzrz4hoMcDq5Le0Wgf7tyorMg0iq3Io7TttyOl/T4J0vbBmUv9OoiK4hQFJFzPkmMhm589wi1q
rPAxVrXCT61nZ3PSpvthzNVhIFbklo5gRzVpBTdGS3Qv/DVxRphoP2qwB7cw9ctHQwXHtiTvyurC
68ZJrIt0Qm3ZgV0gVMlJcWxt8BS1BBWjLodZHV+UbiybyW4av9QkBQ/e2mmLFAaDVN9OtLIzzg3R
JjWD/Jo0vch3s6LeyKGgYMzn7s7qtOXINCHdFk4hvhjWgMkKordxD4yMQONFk4m4YYtgf+tDe8DV
h+bGy1v8MFnGcNxdUN1aBtZdSDn1dZ8qRJeZ+5TEFd4OKbCvOsXskxaxmrOr6CdFS7bTrKqLt+GS
SeIZyVTwcxNtCxa09hsv7XKnuZirF3PCSd7wIY6G9z+xod6YObZemhnhTTk18nps9WF6Kg051bf0
levss0aoq+118AcCTiIc8LaBCJORZlgzMRWSAzQqG7EBTl9n0HyTtM67XI3h/VSJ+GVBauW7swUo
EmJJ6PdMKG6rWYpvfemqe4Qvkj5cI93HfgndZZfEcfE5zLXo5zRaCV09ZTzVCjsBIJGYNK2xsqY7
EnfUr8Yol1M4lhDR8niq7+ZGsFYstWSBpvBmVTMJVvBr8sKKTdMa/VeL2/2UBrb6wkzVau4d+o/d
NQntytgtwBNwarcO70+ekCpqzAkzNzOcSYjJQzCqcS/m+FgJHkLMOVpAZ9EkY6XLZ0tsspS3V82J
I7yS/fBcEmHNINWoK/CRdhQxODYkfPHKFrzvtpzp3lRrxE5vfMuWMfILgvEeMJr3T5Ij0bYmRe/u
1RnCVDucstarWsc5dzOh7CHPIbQCS39K7Gj8HhZucrTIQ35ImIE/iqo0nZ1F7PI3K8ZaMXTjvB9c
p/wkF8O6Dek1hmQHTsFBYUKt5yo9UlFHl0kqkpaIBTn0XMInVKDDpSs160ZFVbPPNdsXwL4+xXYy
nzr0yV4/9MldoTR15XZGj9fU7XQYSchiNpNTI021M9CNZbM0rDh2cMWQ6jt64p8Ab6fbvtIRRE5r
iN0GbiUjVWtwX3qH9PCoz+O9Ql5OSKGMHhqMSF/HhDcn04rua5KFISoiy7gqQLSf4kzlt2mpXkIV
6Xj2O/euppy9yXIi4qc4rn4xL2LAH47yUIDbvl8GkEUgM/QdcX3jAxZeTIxaGl23wWpZWBqDXjFx
wKRQVt1lIv7UawBeH60wj24HGgCeUcXETjbJWN30nEmf61mq2yjH2DozJ9i0Ttl8GsyR7Eu7/trr
U1x6ExGnlAe50e8wKTpogWaJmbZbniIrmzdi6nW6ZAY1UJfIRxIV5dUw0MXIrNR9jO06+B7ErPmg
Odsj2+pwN4cQUWNqseuiC5fdQkjFFZ5nAtap8tLNSJzrfoE8fSI1oLoKWh75oWW9t+nZfo/jptgF
Sxc/zfRESftzOVKLYrCvHATe4I5n3q6YXYVRaowY0GVPcUZz2CYzZywjSPdEJiZXBQyJh8wx25NZ
BcmDVvJctaiUOQkOhedUc+rlkSFukJLKU2APo6cNfXY/zZW8irS8eFHjFNXYEQsJ0DnprvWcPW+D
p974SdgxJyzkA81ZD1uXhKr/pu7MluNGsmz7RSjD5BgeL2KOYDBIBsVBLzCKSmEeHHCMX98Lqupb
ElNXsuqHNruZaTLLVEoQIgD34+fsvTb44r3Gg2ZsLGLqDcKqs+65k5mK1pVm189qrKXPuWs0rpmY
6ke3Mdu3VIvprbjf0bajL8sXkoPCt0HpYG99QInpqYWBfjez+jG0XMC46XdILikHdrNNM6jXkRo4
X5F0YH3pndJ5QsMyrzJatG/jYJC8Guruc+XQpBGFqm4iKjWosawd/IHSYp2VIKCT3rUfCHMyNobT
iD2fZAu2dRk1ZT1xVUXXn4yFAdyaXrhpqyTfT50FIXhhBbcg0QIy1+qXxtUTBpyF9oDrWKxSUoUD
w10plvhqBaa//FoRBD/eAgiNxV5zZhDGMPfQFg6R8VRy2oDMnOHDJrWa7LFGnzZTOo1OEM5DFMML
mKbnjDPkOoJOSVc4AdfMzSMfIz6UA7WJ9qPYUgU0N5Pex6+mnxiPbor2hi7zzJ9Ba6uHqfLakUZQ
VD7ZhfzWfqctS3cq37BUT98qatBDLDSWoZDJYVzICsOXpjGCTr5kEY0toyJQzZ1gdotprdiaV4NS
FjY0sM8UY08sMtVxatqrHpKVHHWJdooYE/FtAowGmSrWDFwJQKxDqnTvQSWtfQkthG56ZAOzsOyF
P0163EGosjwNGIIPcKt4HGDQi+NcNGRn5rG1bFPFNquUXPtujiXRb3nTtPk0dpN3xksaI7Dxm53h
h/qXmMfnS22QlhdkZVXw63N5cmJdnHtOUFu8kOohnVxG47GxY28eHrJQK8EaG0w+Ok2Qf6hhNmZU
2VzA312WntCr7oSkKxT1YFjrTCvTC5VdES1Cl/SMCc6h29WKGBh+bOPQTDl4QiSdbfpvs1pbY5wj
n3RzJyAh3bmnNMhtXPBZeCGIG1vs4LZ7RargKoUWtbaIpQi8cOK9zEMfDIdRhFuF36hk06uak93Q
S1zZnRk+y4iwP2BD7Ws6WfoZznTWBk5MWGBr9+LeSjp5llxtVUkZ3sV4jM56jQExCP3KPXXki+yt
KkuPJiEXp1rpNbCBxHtgxAOka8BMsjZJi3+Z2l5daK6BVRAWynK0zbBKZa/BG5jtOt1E9vTuz3Je
A0m3iM009a/aHGWHPpzDq8PKFDhuB+BXLnIdZ/aybZR20bYR+nzxoXvsYpPw0sBIC+88Zqq+h2qk
8+hJnZ/SrHLvVMP8Nva5e6xFnX5yhGQVHJk40290APzTvIIKiMLywpnAJHmcDMq1rvfUXK69t1o2
M4WDP3InuCJEoILa0D55Cr1EOg2L2aFYcnyRU2zSMR/v3dDMV7jYtIPKnfqoVTrGFK2Un3UGPmst
qpJ1W6TwEHxG3LPYZUYhL71eqW2TMZ005pGNlH8VB2WD4M1Hd9haaPXcdYl4ecLkEqqNbcW842jf
gAd7U7jrMtks4xmzvwUK1T5BKzeevKGM1nk3pXFA52qOVr1DrLlLtCXn5CGpHzMoQ/o2Ee04rWe3
T8uthuOnOvVxbNKSrSuT55bmB4D1LNKey9Ruj54OxnzVU0Rnqxj+1cM8xU1yqlwnuUI+Idwl9zWa
vTNmuAHfb9J9S13ym+ducD5n5uxgJPYrY+uWucYcMGWEvRVWxbqVytjHRp87ZIKCBrMeWs+mRB78
xFz4CX793IGa+tJr+jQjqWZ2f8AfGDpH/P32IzoaUuutcNhp0CcuI+qBKIiEbO/BsAK8NsH23NW4
3h+s3i4ubDevwmBuF3oEPxqohj9riOm39TTG5KG61rElOeoJS7eqwZSOpM06sbmZSiOnkaIOfArz
ptVrkFEJGNhAMK+8KtUTxhdO8yPtS3H0pOneWROBD+uUiLGbCKgyk2dpeV/pGjiCwagJZ1tvGB0g
tdfsteYOzZ4espxXTVSNL4nnsEHQQp3OOJ7cTRffJ7XbITRmdPyY4Xi4iQiPsTOnwRwPd/8cmuwE
+5ZtpgiSGe66F6ctOZrT2LXBSHBOj6FGE/debaG+rIcp9zHwT2C1lUWnFj2vhzbSsqp0yzZCXLPt
q3sLK/YzjfPhXnM6NO6+ke8Sgit2CnfMJysjzddCN7lJPG3Qt1ViTkRni/RCmBNuTtIVnM+KhPHX
ZHTyk9KM/q7RzEzSggTicZLeyNTFMHJ+jD1DYAqnylopV+tfpnmhxjsU19tYjCmI7GS8jH5jN4GL
2aRcZXwQ91XazBrTWzP6Ghqx26FrN4xrFNLoDVCYFdc0cU34NyEHaGJIBdtpK1aOH3OQGgtL3Db4
7x9kVOkP5mCVFzRQJa5zaL+vMyEOUMEIuUTA4TlnHfMybRwohEQ8K2l8AodkEjXsO9GqkIke40Kn
/0lYRuEeUxLP3pOsmN9qn5dnM8QUbEGvy4XTPsclCnuLY9zc9PkzTxtK1hJfMjV92Y6XVrfCd3zV
ywLHSyQM/ifcMebBMkAa6GbpHuM41HeRLNoTazsbUOvrX1u7a+K1X7HzETKqfXK0pL4fncY9MlqW
N/ag+sNsxd23trMx9PPYymDwfEmqiBrHv5w0LNZN3q05QzDBVo4q90T2ukcku8W6d6v8akPgPmom
NpU5m7qvZSotXEKYBXZ1rpf71HbHcj1GhXwzanJRNlHnVg8ckeh+12X7Kest7x78Sf4+Mx+/zmbD
Dw3rUBv18iVSBiwjtOeMOxK31Y4q04dNx2d4LYdWvbMDFUTMuIP/iCoXHRGyCjPZoFm66wq3faiq
TDA9YG0pA7uz7ZOvK3WHsiM/1Qa/yAirJIgAgdw5iANFoE9F93mmrbZsyL159jq4MKHLqQSQ35A/
kM+DMCD2U7O+hmE13wMu5huhuCH/JMH9zlkT76gRP7SmqMEMjYIED8lRw66aTdMYcTDHQ3gp+sk5
8suiC2+39mWEgA8FoXqJwz7bGEkFcBlpwm3nzvPdNBZfpSHWRQaygXRJEjJSfzo7aiquyWANu6Zy
q1Ua+9cJHj3gpBz5s0Pr8qBaXaSBNYzJJjV1Z4lxpq5wXF6eaaHf57zXQaPh6Ok5vjKh6ehwaEkR
HhRl+2c3rpy7UNcNMA3W2DzYFPScBHKh9YFHRFbQj2N9THphFQhuohb+89hg+/feqyYzM3TkrbjE
kemeB6ey70faGZ9L17NFkJFtoDjuMr6JO56mQY/2rKrhEmTmrSLE9Zus6RA7liHhTK0uu3JlVC3G
KNrujbHOxDChwqJEOHWaWz5bEVtWXPiULDEdzsxY8CM20xYctEb9xDxVHRCxVJtYqmo/xmATdFdH
sTDpHkYZS9jsptHI0Eqp4rNjhe2Z2WGHWnLyvvVt2Z4GLcvpBRveq04wbhNMXe5pK1SC/rELBYWs
mzK3suaOE4xpxMOpNVtaOYUkmoppDu3eWrzVwi7tVUzc1yHUWp5IeiQYYOhjnKHCs8j5Luw2Yl3i
qwAks8WoPjwmkOa+VsM0fkkoWx/xTIJiAjy4rP9h2d04fupV8M/H8bPMmF8GrAqAxlnzOOEhcGOl
SlmM+85zmcNkuFFXUabi86BB+iAh0Cs2Q40hnOELG9dU+s4hJCngxE1pM496MxK7bPWHSaiInQvb
yaFpRW2T+WmWNREC+fQsvcxkbgOYxDRr9vxSgoYi5aEKV1W4KH2Ui3G6S8Il8wNG0BF5UnuMRiK2
A5EhJyEzJaGXpzPxI5qgYrcyke5rgeFP4rYuFgo4jbZM8ZiziwUkwy0Rak5nyRt/HLkM6N2IrEMQ
VqsCwsKnvG+Yo5hlRlCWOwLCCDXtQJO9cNeiaZf/MPDSBWGXmJ+Y2Vo5KRVm4a6KUoivsk/K25oJ
6j2bF7VLznYZhIKt/aD0YmF9QZ55od9sbpos1R6j5XRVeGregj0Z1cpmPrj5TuMaQXGePYzdXzPI
S2xiC6IzzEjtsQE9hVuBioBMdr84zQBejmMpx9tpcRahxKZJvhgrGdMA8wQiwJsF81JLh3tif++s
uB04XbcvwDmb4xSW+cEjyo/EAKNdk3aNahKp8LmjnLg1l9U5msHDYN2FcNxjwA2hoxHqJlQckAyl
v+iaTG5bgLXnrBnMTaX02FuBg2iBjmIuiuFX3TcQym6qDM9dC7JlY5shRnmI3O953RMaUXvNTdFV
8SWcZYrAPRmSNVFp8zvU+3gfGb57IMSK3IaOwKIBAI3Y/u/Kfn5Krfz/KKfS0PnbWTgw/2950P8h
SOntPX7LfyUR+vdv8C/Mu/sPBD8mVmALQQ5hk9jF/4V5N/4BI9iGXG4gTMZE8X9FQiaBlugL+b9N
Ey481u9/i4Scfziwd6kJ+JFUS4RM/y1juvunCOefPP5fp1bai+7pR7EO/mSOk3j2mJqbKHa+u7d/
8Ht1y9sPuq47JEIYBO5UCiVI5ONUdXflkvZSzX3TbnIV+kzAKugxtLph0ahIMmatR5bDxpdVubat
Wb0g8EUrQlsFoE6jPwCgWqdZsSptTpm1mdqrcM5cDk5+SPttAHlQDEZ/Y3iFUnSHobcJyXkAHX+z
F+Nov1ut9kozctqw0JQXOdLsnpiuB6XJ/ubyHrsElq/qzOmuoVxGT1SAJK/Fw8pNdKFBcpAG0J5E
CiZCpJZu56S/iRUE3Cwz+i2HfXfvW/1DLtroxaoM3DyVLaLH3M3KZ0mi/drsmPX0pYU2EeZw90Tk
uXXPChyZQdnoGx9D2dmeIb5lEbWpcgXxUU1FVGHXE6aDUMZ6SjAAFe6wK5GQXdmUUWL0CxOUkPSJ
vEkcA9Cq1LH2RiQ2XS7Unen37RMIgvJTSi4bpuPcDV9bUdXHyOrF2sFFddt6xghLKgxfG3z8Oz7T
MQt8eKeHuTdiWKFlvEYre0rL+owiy9iUnmBmZDvYlkr2Tjzly6cCKarw0vpOmWXzFKWOPJB5FO4k
8o4n6XZfpiEaaIm5yWls/WmxjDUFPueu9/cqKW4ixmIB4R8xsiU//gJyWu2sGZ2NbebhbqR02YWo
FLZN01lr3ygeoty013m7EBD1+J5Tzru50KTIGqgfLYbZt82UJ/u50KDWTra1Ar0M48rptomctdss
QeEAN6eWn1TGx5sxNA/6QdEi9eo+3jpdFwLfEAgmIFq89qaRPGqcRZ5kiskK6I4erypOGyuk1en9
3NIYbTDOnJCyMaVxXbWpnLrGdR67d25spJ+Iusd4n3ES4eDhh0t6kG4TvKOcEJxnXsEMI67FoY4B
AOqn1k1dVFffH2Bp5rYR2PmUFbBR/JJztqTFSTNlqMVKapLBo+UV+rc40StmbcDGqCIZFDyUcWjn
Oz8sohdpo93YeXSd3i1HU3d1it4JtF/ZrfjOhi6wGrt/4xg6HoTHPJ9WmJO8gs9qidujxcHOoOsY
0p1mPRSmc1hSrgOrRL7HKao0yc1DuvPIoGJ6gVPgqYCaIVSIWMhbN4kBBWg4N0T6MLMpxKZuXets
FsZwHsZZO1lFDvtutpP51kIhYFxNxNBG0JDRFG1tv7b8Z4Ir5WGScWtscp/KE2lKZMrdNBrIoghU
UU1ykG0r9AsRjUNN82qmKbRNAe56jy0c4sUzAEYk5Et5MVtYZu3ULx9WfCDit4SwUg8bfhv7REqD
3HuZV0wXA1o1J0Y37o1L5HogTgjGGVbpkMq1ETKGtJk30PTUv6WTnDZlBjxrQFB7qDSKBcyKZtBI
wwQK3SK6IJX1Fu1MHBQWVdU022qbZMaEVA4SKucdZwD26HfuFQfvgWOhAUKf5JejlnfFxk7DK/aH
6JZ2/LNZIy7LHHAbdg2b0RdfDTKLSpphA4E0O/pDDC9an3MzwvUNq2l5jkyrPDpLZxy9mHZwxj5b
pRZysVxKb4eiccncqNGrQLVBQkXDCh7/HHpnvAbt2bMrYGB9IW/yeHD5Vu34q923+c6zy+KZSPLy
trcyse96E4E28XFwWmPa+H0bXTK6YgwRuurB5bh1C7ADEEwmmKIgA1gwYnr4KcrHK11BSQRpFh2m
biDC0nWbY+3E6CH8Kly7IxGGdpV+YdJnXWVl0GEsI1If0GRsnTC3N3ZJtBAULSPoQzxrhurOEhAJ
gXsxlr50Et1jHtd3fd2AUNJp1xNtBguS/LNLGJMuJuZJMVaA4yUIj6yEuetls2KgzwmLmlR3tWtZ
1n91XXKXDYYKCKZDeaOUWpVp6144okQvkaeBZ1si6xiDli/oW+uD5lmPJN2uUIZpgSjCr7kR7wzy
ee6QdOt/NWnCk17Vp5oOKjJMB/2SryG6QpXllurUQepYyUHjm6+tYqUVGZsWE2Hq307B0RFEhlg5
rfYEgxAiuvYmjenslW2Rr3CUjavBdYE+TmJ+0fhzb9M0nLFY2AhKrXQ4e3EGepSWEGOc6upwwjzm
goobzmGP0aNxN5492puMFsh9Q229MVwCjmCOzLc0rDt7PZHCuY+NkLgmHMEdeckIRFe2TVeTPj9n
Uj00pyfGW9TMNP5uSeatNyTAZhs/FuJdyeZbLZFx6p0nj6MTWtuYFsAG91iyQv1b3Amm2UxGWvM4
giD8UtVlueUAjUKXANnyzlY0sfNe9/Y8CayECmbUJpSd+63WEnaUMJQDh3U3OXJ2nA/oqKPbWqnP
ktPQigAEAy+ZNj+NgzyL0kWUJsjkKt0NyZQdXTjwUtQRzz/UeP+qnX4M8nC+4yZ+EDZ7EIegaWDR
cTFe4g364KitqoZ83liPD55J630dGkPhMH+ppksLDfnTUFEM1cymcEBbkmCwsunLR3oSEz6/nDzT
SPrpDX5gg5xJJaDtIMtg91weHzCzDDiDQR9IfYrdkHY10haEF6VnxAfRFd5wGUmaabBdz8NT61jZ
w8QBhMMWe2AvTnUye+d57rI75tSscbIOW6CwlqVWylQkGlrmYiGIneesnSpYjtkEWtElWSPQJb97
ELoAdX20JodhcKddxwZxQqE8bpnUfM8EGynJXP/oT9i8PZOqxMoRRWA1Uk/EjNVrZ9AofbpFA1Ih
hSarkt6JgV1y645sfMqr8IxDwFs5xDhOe89pNBIjewPP2c5FSA57Ckj8npmbKG5cBh4UVw69o67X
/oJFNh3bFv1XHlVLCxdR70OWOTXTBiUuxdRady1BgVeySTaz1eB0SWpBt29ewhxSo0JFVIiVBw31
AnlQPJdaba1pl9GczSUYF1USEa6D9qj1WG2tyLvGwisp3z6X6XRiHP5WKeZSMSxdE/f4bU23vMcq
x0TspjJw4gi6KWvYCe1DjMZnFVd8cDOcr7LTaXDiAdf2pd4lbxhLoI3meO47tz8qraQvitIwDosY
TKnl3PVJvHcpCg/sS9lKV07+RERlFQaUkvIwux2V6FS3hMcyHgyA3pYv9KXbtW7WX1A4ilXT2JC1
Z8IiDJ7Ni3QlVWck3t3KHh+qmFfXGjoEloqad6t5cautPKxF88HrDDs6kp7ml1/zya5fcC7j5vQy
17d3BLLQPZjr3mRVF2JE3j4ai+pDr98mxumv5Cvb81WEtC/587lyogscyVdS1uNbr1bWbRKXzpch
Dd0FRo3vPRKW9gVTEqfiwumHVWkosfM1PQE/4BItUKTO1bI09W7BCQoy0y+uZjl28cYFJbITuYcc
S3bi7NKDOndV5/dQRcrosyAV8UG3lX3OUxYsKQcKBea7a8emeec4mvcosTMGaM6dNwRcmct+RE7h
ftBlfkwGqQF6h/+s057TsoehlMOwAshgJRu9yZJFhLBQ3GwqlnbDalnLLR8lWp8UbyDHDMznR7qs
0W2hIp+P00ypG2g+bjI4NfclQswX9ib7r65yuj21mzJZY5cU3ZqgOlLoTCLcvK7c15M/s3x6YOE3
A3SZJ0dAF2Z+Z/O0OOjLUx89UGsZj0lhY4pswugBIRE1k0V+7XVm7v9ozHTvPZmwt812jr7OGwgN
lLYgysRr3Zs4y/tyxQFOEBBE1RE3FR6Kgn6nZtnLQLK31TVXifuC6PgbI25pris3ZXlt8vIttr1h
M4iUSVs2jZ8bi3zNIBwheAUt8rs3Yhj6K3p0+yUcXZwn9OERikeM8JMggbW+x/9pfZ4zIi/Y1rRX
RyXpQ2KE/lvdyvHRsBeDKv7wDLe5ySwJ56xAkKP3+Qa7NP1TesUcDKzZee9QZe9rrVO4VLF2jxvR
ZR07c4WoZWWPimhcMhFvB72mTVaGqeUHZhlmJ81O5dnu3GGtz2b/VS/IuuWla71nxJqoklPf1KxT
lZmRChJTj17MbphCzpVjUqxqrQHiodgtXnGJFlcxeNlhCKGk2xF4PZDRNlZXOyzJUCK6E11W77eM
LQsyydAIjPm6CiUjSUHv8rNyEYPsR3uIv6AjRsZdIBM91wSQBpLmEOO7zG3nk0eVrht1Fp0mjov1
1hqU+zWKlXETJk53jFOzyXbMMuYnCOcmCdzKAFsYEQDLYCa+Y+bjfalGQ117g61yhL8j+UazMecp
iHgLC4SvvPOSh4RBWenczH1tHBJiNVBqjQV6Q6WiIg88247uQM7Oj0pPtMuUjqz2rh5DdxuZEXxT
nc2gpy1MBkUtvfPb2U+w6sLf6M8SJvvrHFvWF8zEEzj51JR/TYrJtCGdMCNfXkYv5YiNlRO6GxEN
ZtvfzKTv6Usj4eT0lZAJI+nmbkKtz3p0Rpl8MgDzDSutHAns1uhFB+yiw8bPvImUSq0dwVLEszq1
TepfsCT7D3w+5e2gDOpWp21eCzkYRGlaZbkGHWHWK4R99SuCFSUDGpJds0K2IjZGNIyHxtaGHe6E
lDksfRMMwnCVoiCtx+qCmCi50AuN9lKzWi9A0Gftm5JZ8AqxQc+kO82USTC5jYWxbJT/BN+cuQCZ
sp8MzZi+cBKi2Z6OiW0HspyciUeBZPtmGic8oQpc+NQML/jSrr2m5CMiLplsOjBVF0KI9Oquz8Z4
38+meHPIBOWnplzdJpE5HiSKqw2UUjqd0mq/jZHuFWttqLxrpQMYn+2UYMohZyvKejc+FE0RA3x0
vfgUwVHPtpTS2jmqcJ5tO8ZFhxgzJP5hK/7U9I55nEpLNceMPm268zsNcVlEcPJt6cfNxfXA4eax
nInXKcYAaG17cJ3eeyUBbrw21FvjGtVgeOCw5URbY7Qw8VCxNlslp2I9dzydK9OcUNdJ5pm8QDTy
VrPXTzuGftZbP5XNAWVCdasbGTnJPqaKwG7swedEWlOCxfhomdhIbbzTmoERbi6Gd9r76mtU5xoK
oNQrGhj5/VLzsk68cSDuEbWUyl2Bn5XrvtRQJI5icKmL0ukpGtIcOeyskRTt+3XKabyOiaUq+owC
WvJiT6uony1Gz548pHOnHm2RpwbxRUgkAHNZZbSLCJ5hQGvLs6chfYY3sUSddONLXaEhuxRa4fAM
N8u6WSf6ZK1Z0K0T80RV3NWIVPtNz1k62Y3Snigw3GpeRI/1BmaTWW2sBP9Xo+c+setSRe9zM1sn
JJKZvgFPPOMRK6KM+PLGA2tPoDLCtYFM3+OAeiw6kM/WxBtiDqbPtU/dpmPl+TRKX/4lsoEYaLoa
z0Jk8RPdjW4KelMfdoOuGYfKwPvrODQVp5LO90xAwDdMQsj5Qgh/5DQUZT6uZOv168kIW3qNQtux
J6EjyiZOgjrHucJ0aRREExYbhKXi3QbruiDoa/E4MyTflCbH0Mh3ji4Ini0+CGtDetV8JUNbv80H
GnKmllWBH6LAWCVjWj20jh++V3MN2lU08prriOywf2FV6yqlceJUVvIw0yPdtiiDnm1f62/pSY6P
Ve2WoMvmNqWcrXTUncDg/LIOz22OqLznhX+c1NII1fJpH7kjYYg4pL5VnluiVWrEI489pXBqHw0M
2IfRCBXT2N4+4S2YT+5sADtEm3RA+ElkkLJwLKIjaV1xpShv7iGMyhOZQKCqOqvao+J3XnW+uS+h
lUbwhHWx7RO7WYezkd3UXZnctfhjTEymQYwMJQoGk05FG5rRN8+OP4Xw6fa2wHzQ5BZAOH9YVZxU
N5MlmhtVq1e/J0pLZu2w8xlZLR4cAmYY6QeMUZ99Fiyc0PVwEG3ybriY2Ol3kAvapAReWyRcCbM7
mnGY7J1I5afQS801SABk18aYfwZcWZ5nm0Yk4eANf8i83cNaUntwI+5aU1665X7arZvY1hpkHkYI
/08O1e8G1J/PcbZn6TouYOKVDcP5gFrQWH/LgZXkYPaJSeG51GlJ6RMQ3iHA9CIyHbpE7QgVBWs1
4FvKO1Ggthvr9ahER3pi5CX7BHv4J1LIuLX8e0VofK8O/e+VItMnqsakz6Z3sfSJOdl4F5LqqS1R
CFv7cGQRVK30TUBZSwlKC8N5A9CSM8TzvYMWmp+wf3cHbJ4RzE/abxlet0BLkYhBY6HOhbRCyest
1W+x1MFEiPCvS20cxqOKNx5yp2taTTQmjYEqeqmnvaWyjmOGSU1dkAQvGxpjSxsOdyrVOLMnCvNx
qdHTpVr3l7rdXCr4SZvqV0kGz7SigUCJX/uxOV8d0WavwszrN4FAqVuXk7LGZ6DHfEiiysWtmjmT
7AbbiRx+iUShGdZO+VWLnY5qU3TRN2TRlWRHc3Zp36ovOOwGcvx6228vHt4A5y7TibbZEFo2PPQT
YoyAdCgFrKJngYvt/mkYTUGrcTKbaFukmNQICBJIJBwBvXNtt5p4liRm3AHA4dEjI/rFk0xjkZ/y
oRZDj0uuHMtyZXJufqaDpBHdpayr2Q/aexMj9SO3I/rEiLtzySWLkheVYLVhjUfTrSf0Vbxef8Zp
wpuSxOO9rJyU3jWY7s0069mJmKBmbU2VRSVlRZeBiIyVAi324LrFdEKcZJ27PKIeKEW+tcb8xbQq
/Z5x/NEdDBrVS9+X7vT0Xn9vBkNxZovQMAzEm4G15aH+3jmOvneRXZSRdFCW3rJpS/crEkjvbhRZ
8zBHs/Gsj336Vw7TJ2BqghvGN+NDicp7H809nW/S31fITtwDgb/hn2IBPtLIdIDhBrBDT5jYxMAf
/mwKjxF7lCKehoOBiQQktjGleyux/dPvmzQfvOe0aLgMOEHTNzxLWP7y8z+Ms5Dc1EaX6sOBQ0t2
dOZeLkq2tZ/+iQ/zywu5Hn8txn/d+3ChCB5SMdWiP8QEAwLQLuDyBoMjMPS6YijWv7+tD2Z+both
lg3c3FnIhZb3gbdOQnvPcLjpDvHo0ZlvLzjFAtqWAfAuaqPsD7Tkv98clyN4dWlyGdbfvizwUXPE
UtAdwPnIQNnVOe7yQ6Wip9/f1t8fCthjDB3Ziij4PPHhQ+wIqCrjqu8OBb07b2rw2Ux/4DD96laW
i+iu5Xrk4H147gqs6LpFw+OAUTVXa7nMNhORjTqaMv3997fzEUSzfEsgDwyuZnkLJ+7nh8+kYZnb
oYunvVz8UEJo3bbqteyMrFa2G6R13uH3V/zb3S1IbSJfuaLvEMe0PDc/PO7zFE6GkI1zQNcoV1gj
n33X4Btzbe0PPKS/fVXLlUy+qgVPQazDhyfQl30+RwqGdVfZe0Y625Qn4/c388tLEIxlOv6yUnwk
1E+lnXXSj5xD3KgGS6kjmWJ6x//BRWxughLAFmTO/PyJZWHbtkyJnYNY8jO9xLSPUWapP7yvv7oV
5v1AQRxDd3mFfr6KjDlKZSwEB6VMA2Wkga54GTH+5/cC0NrR0XlZrvWRXQscytBqKQRFQm+vEX69
T8tE8/cX+dUj5jnIoxyL7YOV9edbyXLY7fgrxCFO0oLQ90GdmWmoc7mMUf/jS4HshFbJkdnlnw9g
fRIpsV5opXEotNHERGbiS3OIHGQL/MOVfvH90APhGfNNj7nXd0zsD++NV4uqJXTVPNi5X5+9f47z
Eyv80yP9iw+P69igq002Jk98uKPQScZ4qmcDD5v7OHf0NiyGpIjOe/0PG9/fdgiXFY4sDtYdtCHQ
ZX7+msLYMMKcpPMDbLSivh8IqCD+qc/VFpEYbcm4zXQSI3v/jyvD3xQky5VZWB3GIsBg3A/POklW
KteKCuuJ7bVAJL0Kda5/BWCwS1KaQmkhHyXCx83vH5Zf3fBC17GppHj8PvJtGIyzistOP6BlcLDz
pv7tQB9t2uOFiR7TBn/WJi417fn3l13u5qezA3eLZoe1EOmOAdvn5895pEr0xMzAXZv8JoJAQ7sJ
7HarMNY0/c34XdVS9wLp+OwogpnjcfrDov+rO0e04wjHMNnTPhYDZi3I9IWbQWXjzIFbdulx9Hvn
mVL3VbWJ/U5+dLP//W3/4kFGKkS1A9PHWgBFP9/2MM9u3YTZdJCDH2FsXkQ4WQKobK6K9Pr7a/1t
G3UXmpuJJR7YKn99eJQrZ6gABw7TwbGa9pjEE1OByVmVI2MWFIt/CD745Z1xfPUpG/lM7eXT/mEp
aJO6KzjTTQfwy5PYVaKvCcCFtbztVfqHh+cXy45H/gQvKmor1tPlzn+4lhsykMWjPuJxSM5M4lc1
cZ2///B+8XD8dInldn+4BLgGwBYq4+EQUdDk+grQByKA6g8L6K8+tR/v5MOnhgyT7Dy6HIfeP2sd
pxzbu0mSze/v5RcrC/odaN2s0gvu98PWQ9vSYyOXrNL+4rmYCONxJH2WdtFX9T2IotHiLe/Qzf7h
yr+4vZ+u/OERJLHLqpZhx8HorGOvWXuMJr+/t188CiglBABhg97md/Hfj98THitf9UMJPQeCDdBx
11qnNBD+85KKzBMUhuhfXNu2PnxNKBKldIzGOrRKI8VUD+/nnn3hP7+V/6LuvJrjttps/VdOzT1c
yKHqzLno3Oxu5qgbFClS2Agb2Mjh158HtOcbidInjn03VS7bEgMaaYf3XetZ3x/kw5AYWElpJ2Nn
7XOvs7+ME/6sCdn3Jwu3X4wKAcOPDfjZYgzy5wv63YMd9TnSc+ma+84vtCWKIEptgwbRp00EEt/Q
/idn9d3x5kfku+M5rqoQp3O8OvIUjnp9iY9cfPIa/TybgKxEXGZYbFUpSH24Pxo74qKi1bJvZnEf
NqPwKX1X/DlS5Xe9beY3se0jZMmHoboTvW1/sj36+TEkNY04KH8ekSzn4w6MogaZkpay9+2sJGxm
TWEcau74ycX8eVRiGcwiSOdxNwCqfnifVFDYoqbLuHeBALXtxhzsT67kz28sR2AbyRyFcpD36sfb
lTquJIGRExmjKtuYpdzg8lKL2B6rT47086j045E+PIhKaX5b+bm9D50H2jYko3xysX59KhCDbaZB
6gsf5lriydKOfpK9pzd3Yu93QDS/TygK/f61/dV5sH5hAeGQ+GN+VP7Wk6vHlDGcPdaTdperorlJ
8d6tUJgTXTurK/NZZ4nbV3yyVv3FQ0fZdS5GWQCZjY+1oDSkO9/Qx9hPTkUaT1nWghBjK//6+xP8
5WFYIbHED3i6ZxH192+w1whZ5x6HoXIG2WfYQk745Br+8hDzcMTmm2n941M3VrKcCmJq9n5FFHD9
MlRY1P/BWXx3iA+PW6KzEUYUYYNo6fOLoWuLMyeKrn9/kF88CwRF+gxC7Fn1n54FG38wljzGISfY
bJroiRLvPzgN7EqUSZG0I4L/MJzmE97Exq3sPUb6flGhLBaKNtTvT+MXbw57OZbmts5Cx7LNH++4
jrouRZXk7YOIpOEAK2p1VN0n9/yzg3wYafy6RmqbcJCK347d+E7oA/AuRBG/P5mf7wkJLIA3MCP4
JhCdD3tHb6gNP/JTdvdj227jIPKXhLptpa+/tGG8of6kr4UffJbI8vNQzWEpJ8yjDyvUd/bxd/Ne
rbcyA4XEsBCSIgAoANgmoymbg56qrXmDINJf/f5Mf76iPBIuHgTfNincfhwPeld2dUAI135MwuA0
6K66M9+l4LMo/PeH+nkVwaGCWchHDYvt/4extQSYFGM7BDapArLU4hbZYeVuvMThoXTDbvP7w/08
PuAFZM5z32uPMCN/fCCjftSqsBHOnp56tqNoT6oIIvh/cBCqZg7juM5D/+EgrS5QH1WtvUe8szdd
ZVkAI5EmfDLv/ZRbpHtUTOiYzYME5/NuJfnuyUAcrAYSc5lilcqjBd709NwGA35Qo0y3SiOWAZHd
uA5mwT+IuHRrzSaApM9zCskZDTWnFS/1bBbAx+n9g0vNypDFNCVy5pb5Ifvu09mTpvlRgkIQ2eSx
1swXx0/KTy7Br96N72/n/HR9d4wwoMJLE4xXMlzF9ENf32/k30Itn+KvVVEX35r/O//Y10KNVYx8
593j899/ui0k/3z8lh9+AhvQXwee8cY//AF6I8jEq/atGq/fcIr/+dtxDM3f+T/94v95e/8tt6N6
+8//eH6VwO8w0FTx1+Z7YLJB24J7onMl/72fio7jcwNlJHquxL/54X8Rl+Ej2+T8+nM1n1Lxf3mp
fP0PKmzU9z0dbfsMWP5vM5X9h8GUpjOx8eJTVuaz/EVcNrw/GObmOFSeave91PA3zFReMA/J3xWH
bBd1ACupuag410g+5uGQ59BBqO2GjWcXwtwMRl1hLUBbvRyD2Y5pKUQE+ByNHNdKNDuxPU+108oe
zEFb4AgnF4g6/zHvDXBoLarpRRui33c8L7tJ4167dYxQ7CMoe5euzMWhkp4+Azs8uUXgFKw9S6Vo
72rxirZ1EgTSZ74g0wXPIDio7J7klgwGKQlQB6grNoIq5uwlJpDxygVhgPNhuong6qDZ2EHTb32Y
bXRJQTlWB+aafDn4gDw2Y9G26TIcInT0AKzQQuUQ1s9RQuPEbbNJvwmdOHvERxvdFCbmMBjVyUvp
j9EJwSTqsRECywtCIufLIGwPSVlbPfcI1wnHhDoDNYaMUAJJl0Vi4M7A9ZJfDmCJLtSUJutc4+rk
5gBJt0HgJiEEx1ZlboDLRABYIE9McEdeZuEkGuyixdDR+HF6LIWbvvQuwlUwMlnwCg0nujMBJ+KW
8vD2oEmEHLeKwNQBOMUbH1ipvdCteACsGplnCTdgCU/LxrufdIehqO7HOCdWxzMHNN9TnQ/LLMmB
kkxDmdObnlJrRb/DO7VunzzHuS3fdFhIwbbqRmi/Zd4BxdeDsT4iaakXyqk1HHES3z4hN000LN0c
2WFELSJbmADmTgQnB2cD0pMnUYdwHSUUCH0BFwjSgEUcxxJJtXiUmbQjRKCm2Fk1xzFGK++A6vc+
treowb4/OhUDeEE4OLB+cmF2mdDbV1XlvdhYZjHsQAYFWw/GEIiMyB3XpmrRajP8YgPIeKzvGvyE
l7ix7CNS1PpW0MZ7jkgoA5SK5yc4NBGP4hLRl/paMic8QTMujJUTe4ByA1jHX4wW8w7M3DkoPkny
6oZtf3DJ7h+H86T64JikRX0pRVli7coFNPBg8Ksr382H+9rW0EOGUtfeSG9xHOZUo3q08QK+uCD0
t1Av+Dqo7/62znMc9TSufLKdm0RQHjY9QRQ10KtDg2TF7TMTsEkzIFYTfX8fuL26dppi2ltGPr+3
ablDAKd1S1u5OMJ1OmSrEvNPuQx1M32JeLnmHw3RgtlVlpU7Pa5B49md6+87J3YvM2J/8GDb2aA/
ROWoP7o8cuMao+I0u7y4gT5S4GJrjb6z8K2SrOhar3pjQYBatJtqgTI9dN/CzJye+mhYw1lYWrK3
vhYA6xCrpkn14ngDzhHkLsMTPf58VbZiIHINW/PQt+oofCvcpeTVn+Uy60EARw1f9iAilkjHHybQ
ZwIpFKU1k0BWpIfwozyd+vUCxgoa9lHlG/wCJDAOfrgjeQJT3ziti5Kgyw79BaJnUW3bksyeyfTC
+8BMMH02lheQehG4UMvbGpVzU6kS5q4sV2LKQXjaUwwMT/aDLNZmCGdyaYoyfktaJe4meIAHPTUg
7ZYN6wg4O2b/qPGiEO1qWkSRpGXZPkkrwc8eaaBPqEdPvNqTdMpLNcZy3FAZB8ogJ4W0UFMNbVGH
gaVt3fa8LFOoXyNIsH0j6/qx1hEyoUt7TWWXoGOpGKcpMLoHEaQCWSgEKkwQQXmnN2ZC/A1ZslCl
hu7BDqPqaIVCPBndLIzOHTmtW1ND7RkMIVwD6Uk9Xpbl5H1FFJ3tItl81cvYpvlIWfaMqcRJlxHi
u1dbizxAp1WLwSFv+v4Uty28+wC8orOqDbwF4MNaH797n+Cl4DxdbwfOS7BdT6IZgaUH9dto10Wz
7AdvgdaNWcbu5A5EXHlGMypHUIjVhig/YkRWss/SZmvWVi12BWG7UNjdRt9J0Jo1qiALP6uRwXRC
AIMTjLPXbYyaelV+G4hMPtOBMa8M2qnIhaeBwQnG502u8bqRGxIPq6wvyydAI8T5KCp7V42qzPvR
K5AyumVqHnUIfnf0TMpHUrn8Mx9ooUWqT4NNxVeRdaHIFrpwWYrelSN2XIYNl8fHq7vM2oxECMzs
2u40eo1LRtFgR/eB0epyNRSe8U2n4eQf+ITCWuGOwcAi/NF/anCYgLHIzPrEe+vIXWibzhz67ri3
jE3VsZNBct6HhblhR04qZGhiqBg0WM+LTAP2tsymzNhoZREfkzH0HkakJousGORFmgT4oc1SARMr
4kvyHyD+T4ZxSZRpAXBDlPdtpKd3KrDUyhjbJ0VX7bZB6HSZkqu5atPE2pWO1OmVFdqbmRDYtjAj
s10hBrb2Cchw8gZIFrmVeoQ5tYhvi0LXLsNiDFfpOOs0OpGkl1piEgtjqwIswJg7DZJJkszWAASh
CxEJSPLC6CWkMISZP8xPQmapZ1ip4WZ4pwh0gACBDoMWEDNkoJlxA90MHsiEEa+0dxpBPoMJCjer
j3KGFajejb/EDQpqFU3bASPyNoyhjHiujJ/DdrRXhd+n1z6xN1utxPfkANDdlBrwoiVbX+3P6OGx
FRYiLEw+1clzpPySiQ4MHXqLwV/rWWpkG4R0swFIMbjUFIj3rYBFXU59scu1Ck50qkManSlsEkRj
vEgLgjH12ra2NgPQEihhd+swtcB8yKxoWfd9CgAv9d11off188SW6eTXVpisGRHEvqMDcB7pnXmj
2626NNoATkYTOR6YvA5rCrXbcgnA3Nj2tWVuE3/wz1F8Rc0B+De410AX2clNCNlRYxA+UWhNrxt6
Hd+qMrM8ZmWWEjCplWOtDZhZPX9TaQosfZtnl/FAkOYCehfgcvwY4a6qmxgTFWLcB3Mim0alo7pM
FRmpwFk8qk5WbVjP8EF1LGlJJO5duxbVpodpqpFDV4mDHSXTqibONNxawpP5EqE/eqyAzNti14yJ
+9ARPnqXy7i7Jt2+3EIeNy56U5iYpJwapH+rMTwgCYq2rsyaJ8S5xVVFnFewMoEMnqG+npF+Ke/q
BB726I3WeKzcssdVa2ntFQvYvlyUQScehdFU0SLru4ZUj1RYt3oylA+WiRE9qJN0DVVpOvdbF/Mu
05Y9rBww86wJqxhb3Si9V4DztIRI0xzPtS7MzwKV69tqCoZuWfWNtgZL7n6dJr8xiPuzx+dGNADe
SPoFtTGq7iUxswTAo4X6t8fdDUdj6q+6tDHaP8+ytL18qeyyQw3r3VoJJp1+6lES6oSUL8o4V5d+
L2dBoLxz0uya1nu8GrKoPgZSwHOxQowQqQ3qN5d4P5bIJ5tVPrc88Ta6wYMyKmYQUkejdOnaZAIt
UEZY94kbQmEho+06KAr3upMu6gTyIY51NGaPmg9+FQxx7X9N4SRupxRQ+nJA/XQ+ADvsMCw1wxdi
F/TxrBisbtylgdGlZyI3aSG4UTTuUOg6X8Mswn+a6zjJctT/pE8oHGYLE4rseV5G085g5nrTDAIC
YHVW7bpLUrAG7YSHZuVK7vXC6azY3JpFEN/haTE3+LmTR7bg0zXKZOygKDUD5jbR3RtpIK690czO
UYlPl1NsNW/W++RbhckcRDjhRgTEfz2KkQIqbMyTh8/gtsKphEQD3aiQnfssMIXgg7J9Ya11kNIB
ysixXWBzsC5wqOHf6SNIdyIekajCVQIyqyMoSndtmxA83ZU1g0ZJs3qRtabzqEdGiQWvbCAR6HHV
E3qhq6+2VjY7FJrxqSDZ6yrGCPVQBZN4rUsn2EH3M+47Y2bkDeMQ7YOuhShhkNGAgw0R8R5A5aTt
yfzWd6YXD4cUR5SxcEbRfBFskmlXVg2xEcKSapu6PkROADPJkS0BYmlIMTs16GUKXweKouEI1qEj
GEIYnblSEHUlEq8kdCbiAz2NW4fS40zKBPY9zdg4A7NqFJd41oATZ9a8urHaZOvodbLznRxvZg+i
/ppCr73rDTd/8YtJfpl32Q1HwMy/ggGo3eht1RI1YlQPqCtGsj0syVKVCX/pWOFEw7p2+Eqns8TQ
zOJQ66M6FkGUzWg/MTOKsiJ5lkVWiZ3ZxNGFWUhOIU0BPvI+JMlVG8hv8Idci9dFbnvCvPBjxBAF
R9zmy2pynEMkBgOzyKjptwTvBdcA4ae1DTfDXuL8cFMyAjoWJEVn4bSLgT2t3Mm2R5xlrtrVDWAS
pKyxxtYUIiqTciydXdXU3BqW8boMMHQ6fXXWMCM9xwgp0BbEIYEN5EWQGJZjlrZXomnCbmE6JKMh
eUqIXK+JgsFphG9toacuzDtbQKaCjFyl3fQqfcPdTMMgm3kZKdXaa0XlA4xP432Qsi4borQ4RRXW
n4VG6MdVCeznTjrznqLxnYzMZ2bxJTF81YXdGtZRYuvemXqX7zqMX/u8HUWJe14O92CfTX2LnLvY
a2UXfmkqPy7BxE3ZKQeDAMauAkn54LVDwwLQ6+u/unl/lYv+skL/iZH5V8npwx//368rUD+UrP5n
paz/RWwgIMyM0FSW/n0pa9smz9XzDyWwf/3UnzUsz/4DnQn9ePzlSNCAT/1XDcv1/6C2qrMxRxJA
fdqmmvxXaphp/0GfjC4+IghUZO/lrb9qWKb+B700JMEGxXPDQMbyt4BAHypYyEjnV36WeSIu4hH8
scIJ5qRza8Co68YRvNPTBPCYGtHwicD4Qxke/SWzFrFkxCWQSOtYHw5TQ5ZPetyFa9dOuy+drvkb
uhERBMcm7bYRy8rtd3fhF+Z940M35f2I9EppauhoRgz/Q+k2kFPqt2norj1jCORCEZUg4AoLCWHN
s/IVNOv4xm+9ZNeE/nXbg3NgqSKnL/lIAoqOc/+MAcA6M0rAYSa2cozwWX+S0TQdjSFVn/TlPxbb
3z8vtxwpJO0KNGc8C9+XmlntpyMBrcRlhYV87bsxRd5r8G/QnMEq0UKMhRGW/UXsF69VoU+v7eD3
9wTDqq2DRvdbRInuLi+GBjbcVHz7/eU058N/X+mcbyD9zrkfYFFZ8nmIv/94XgC7HnKiu24NZZ9i
nEfDMnYKa+XVvTjgBvUKBlJVHDIMIWtdA0rYRNhy+cxkcg6292COkbwACXswDIUeSrvCgu2wLenY
4bJB7NInWmPEH4Z2dZlRRHxpI4OAjrFU178/l3eZ7MdzQWhG78BCFcx/fzwX1J+93rQWgJs2E0dq
Yz7b58GMVoPyxVlfxdQ6paU7a62o+1dCqDDjZzKHL5vLxtkNbqBdtcPQPLl2B+8EwdVRsjJ7HMCd
ALc5eRWZ9zk+NSYkLbrIrbbbszMV6ypKnpSDWzoOnccASOB5o7VLNmoX/hiTAjTCiU+rzD03ZA5f
VAvZ0BMt5uQQ/YxwA07fhdfpAS8cfXthZr11gp4nXn23ioBGtZY6YFwEiJgA314IRiMKxjqGw8SE
Er8qCEJ5/P21fH9xP1xLWrwOSiODBqzrfnjNlId4wUFHR5XKkheFnuabIun1I016XMnGN5B7w0WL
cKxeyoGgtV1bZf03t8yqF1uVzamM+o5iGXjfPQvTbOVp5cyryj1jqYWWuiwE8cUdhBqqv0qOr0Hb
GzeAzItDkBFdZVhpdFQTS13YZLG+GCN9OPppm2ya1tU/eXAYWX96CWbtK1MCeltsDB/eUeXrbH/n
l6BOy+48kmYbzpfW3iuG9Us0i8GmRA4D+CUD+Ec172Ap6soLRB9qZ0y2f+fUzvhW9dHfdCLMo4c/
/4v0Y/IfffdDMyyLRknKde+se8pLs+b4m+jGvY0ucOUN3SfKrF9cBjS4dG51msDYRuau2XddMTod
bu+PjbMmMd571IuxmN/i5O/pNP88pe+O8uEtzfwkdmurwgdnxfGbTg/tOLZgPBZ2k4+b3z/GH2RZ
78cK6ODMMyo2gY+9RB7JRCkTKEKO7vhA2PL0OlFZPtqVpV+byG6ZNIo+KCiy6/llkId/Ux04f4BZ
sEeblfEfofHHS6r1SG8g7YAq8thC9aUNj3/yPpmF3zvD37+tsyXr3TLFEG7qqPh/vHMmQ64/Zom7
7pzqWoGQX0p93CbEBg30H4P4YqAEbg3967z+b0WmXUxGxjp5KmCyWf24Ctq2XjbCLq7cWvVbj4YQ
NIPr2lTEGI1CX6s4gsLUCjQ4A+5pK4CSwq7qDZDzJ73ZDyICvBw+lQDmSlp587rqgyxjottSti7o
o5Jph6AoQjlccp1Wk1toq98/HvPV/+GyUUSZJz7j3aoCWe3HyyYmOPReq9Fuy9zoLBxTbUe1vDtE
VY6Frw7bHZc6+OSgc5v9w3Fd2pc04ZGCWOzpWZ79eNzebJwZvxZSme6pV6YYvCO/ookw9I8We1t3
QX7xtUbaXhX1Tx5g7I2H6/qZ5hVZIKRSs/YBReJ75JO4l7WCtMrgVm7jipS7uR1Th/FTaNZPRUfo
m04nAKt4DcSBDlqZ4Yv3QB84aUc+O2Xdy7lVspy7eUE8gtbWHIBWeNT1DXlbzskvwmEVVfpRmVoG
AqinXw6/lh6ovIIQEgC2jRQvEBgjSPQdM53t30Ahay8m99lW0yvhzvVFTjl/BUc2eqzBs11oZWJu
+qQm3WZKjIUsfbmoai/ZZrELNkqWWfI0IjVaDW2c0/4c6u7VzMigsIUNvRdvtf00xCaVH13eKtVd
Vv625Txj6udfifTAgRaCN4y1iK2x48QTOQ9OtXHKNF3ncaB2A5ytJfmT8twuqbYasK/ahZmUzRp7
N3Nu1ZpvcOr8kwSZvYmNyFiFcdqHNDa7cD31LqjvkFnqS1rn/TqmZZiTdbAkPO3GITJnBcIew3be
tkjWiHcfD+R02leh6Kh8x+N6QPMT0J8rRD5tzQwfsXvbEp01DvaqGc3g29hbx7Rvb8uufUMM4dzH
ZpFuyOOT68DvHuinndVyqDd123QQ7UsDMmJiUfmqHIDFqpD8rgyUfjAFOLTLKxlM90PU+ic2ofaO
En5FsSCi+pD6bJtJ3O0uqgGnhzFlzmXT+fI1r7ltbYW0EYYbjvOuCbbRFNY7vfTVVZ35xmNequyh
j61tDmAMnl4y+JdFgWsFMHRbLcBSUHWXZgnrPunGuyyamisrHNs7Ba0bdmI1AnUM1VYVWnqOA4ou
2VDBg2Khdd6SdbBMdFNfGaX0OLKrzsNJa9dpP+hrIluNZy00qj0dN+fcpCG1Ety93ZTI5gqT40vV
eRA45jPsdagEVdhdkoqCzeFWR9O4nAGDZTieQrLFtxTle2AHafE1BI5/W+g8kqXVkuLYEnHll6lx
pnkZ8RtN2aymgGp2MUTOlVf24jyl/bfSFUSPAl3zN1+vB9w59ngmVSUvSLN8E6XzlOvUuhY1VrWQ
bIx4eKCuWezsqNcW4whZRVgDvIhaAG/qqVG0VfRQqfpBBT3cq8YxqpesMJp7ZGTuTgal3AY4kdcq
zPEby74mmbhyVhWcrR092WxTIaFZOxStlobukk5T5dop5lOt8CnwzWl+zQg77EpQKXuDGs6a74q2
pjfnkXZvlhMd6IW4dKMC4NS5bg3UmAXfQNrOTTcE/robOm2TouGdDazQ2QvNv0GC/IKkrrjOqt69
wBKuaO3miCKsuEM35VxOSreuWiG5JyY8jhW05vbMNuqel6oRGxHgtG8DazmYhTp6yVxusqCJkT9D
mG84ibuGyhR/p6aDrpecYFHWy5EcApDRNfEcbgl8xRDJc93CAO8ipz+PpzC7ckC1nRqat2tNVc1K
ZFTT7PipRFa6iVy6rPQR8Frq1Srtgm41aDI5J5fXQt0wmF+tHiJI75fJqgyEvoqJNr00NRlEi5Ct
nbuxpH2P4cxhDIzoFwsyCwwvvaDEDtopHA8GIc+tVe9RPNyG1NQ5Y5VeWfpgUASLzVd9GrJr1SWs
9P1+srdJjRQW/UaekOXpXlSmC4hdiWlXDtaNgZ/bgcJL85Oqlue123xSLWARk/Di8iBA4tPJeMlj
yKBx3tkEHLjmttL0myJVEKqH7pQ7XXjs2yIpFw4ht4/NJI2VAq4VfonYnuEwC6W3IS2pYXc9VYfG
aCKIT+AE6jQ6b6faB0TXG0vRW5O59ApotVpZkUcSByQlOnVuE+ELPpDQP9jdVrEtkiQ9FJbWXWpG
XG7mDtZRFMjkHbcurm23vBK4yBcFoSjP4C+K56nS060RevF9mPv2uhns+BiHlfXIpy7WdZs6lKBj
0KqDP22FqwQhk1pyVvo6sUAuM2dl0tERUgW7jtbrUqEXOI7kbCCJLuReWU7M0O+Arq9S/ZT1ipDr
ksE7iauryvgGqsgiUEMb61u/oXtQG4ArzT4br0kU9g+qykZYH15y0G3a/zZE5Yd8CsbHNkvhliN4
vB7mrkvu2MyFwky2NmzZL/BvqbrC39/gt/QeFXb9fSwCPHZWxHQrxkvdTcVqSMkmpLLTrHXO9tjT
Mj40Xe0cQ6t11kQh6LcmpqOrLG4smPO9f7SDqF3rQRKdOunzf3XQkfScvCpZJrf0RvVlbEf6jkd0
Xbb1iy8dscmJjxwXXjWPLoEQyHAyxbp/8txxT59tbWnQP9sLR49pobn5RZ/FaCPU4DdLQ7nhWmt9
72TREL1upth5deJSPnpm7iw1zb4fQ9tZFQL5Q1423dbpu4qYpakhmsQOcvr/riSyoiT12yJ3zEbY
vYp1euKeVpU3mtPZ+kyeCrqNpxyxLy1PEcQFQikzCNCabMmDHzZ02FZD7tr7BDTPPvf1B99uvEuf
n1+02EmuyAnMTlNcvrq1aax1SvisgDN4annVnmu1tfNqgqj9CtfwFF3C6nBXw9ilZKuLZN9ZXGd0
FQB+LUKYKEed6kitkXotWaiFmyqUvaJAMIo18WzBRW8ELQzSOrpji0lUEhklxiawc1cs6HNX57YV
hPde5RnXUjb6yWx6dWZF0XAahqF+rZ1YB6BYCnHb53wYDavJmzXowVcf1h4cJjLmTcHPGegQVhX5
awb9XqVv6CJZEIoGa3w2AyhwyG9HbRFZRQ7L28uvVQ7wRpRJ95b1g9suEktTFOX9blsXyiKz0IiN
Oy1kTZIIYCWEOTJfd5R/ioWEaLm1e2UzVbZleGsrhD7LOThpUZMDvR1LywEIFpauwhppEjpYm9l9
4QTDY+VNGThmelgkR5G/Eq6T1hLuoiywdkLqhmyaav3KYjM0MNhozlNUMgV5KsyeXLP1SIPX4Dil
iCMWfS+DUwCbjw+PQFeynkmsdTejMWDnatPFQNuXJVNVqws1ivqUdMm1dKcX20seWmmTiSNG86yK
QgLk2+mxBVRAV1yWy1Gk5AhZE4oV2eVglJludHMGBAfVVM4lomGFTalcqcxvjwhVjI0IW7HxrCQ8
IyAS3VUFWGbfiX4TSkxfkhgDZle0FpZEY1WPeQIVJFb3+TAd2vB1sr1rvzdvK797NkrYoyOIw7R+
FKjgdzLS5FU5c1RrPSd9TJfeMev8tFllRSxXhY4CER3IFJzDaaxW6F+mncy01qAUZbJOojF0Cpyq
udHqNF0ZhW/VC1uZ7Xmax5G9qNEcPw99jsyIj9BelqETXWXBcBMO0toVdp4/DZM+wb3tdWtHaal/
65KwuZnkDG8aClr7Snl058eIHCemvde2BaqlpBEuItsNF2FuqS1v8szhrIorBLz9rtON6CkHt7mo
jJaQziJCVwehx8pTdeXCKwKYFcTwuLBu7j3i2+/JZWDS8f0OJRakSwij2NRfBx0RLPpJN/7Gz+Tr
rEIJtCpHjVg4ljHCXk4TKTigrJI16//6gkCJWCDcGtN1BW3y2NlCI7fPLbwNsSPeFoVHw5BrFxbM
MzAx8Kb8G22glb7wKBreCUC+T2zY9QMlimJbIRLl5W6DrRZpBMKE09Usyu4CVEboEafNYDX6M++w
CXqJDj+YmelS63TiL70gYxlMC3Jv5b520gWihIU+VOkJglp4UbH4IEU4zZeFkRXbNvTjVWzZxkFG
Pmkd+pkpa3Lj2yjeQuwRN7Shi5sJwM+yVeiCY8lwWsvAvYJfoH8RThZct6lpnkyPuER+ZfR1Hgq/
yKgQN20vS4e/TI1DNbu5VaIFd97UNLdeSl9r1TbxVwaW7FwgBLvr9TFOSL1Ki41BPugXJCgl5yDS
nYj86QiUJTo3pqi86qqhOCsSZe1V1EKnM2SxIEo4esCOG14QN5XzAlF76QlFP0gWbA8yAPQ482Wz
LWseIO1lZ2trXw7Bruy8DioicpALKoPdPUqy8XXQRnlWANIPFsTU1VfkJXmUU6YKThrrtYObNe5b
b5RmuZiSPL6yeFSvSj8BWQbp3zT3jsf+WGTsJncpiP1xkcd9tikTP9+JvE8e6lpWT2UCy3Nt6TQO
FoBp9WDF4jy5aw0HUYQ/GmtbalW98NDSVgs/kjoq1E6ca8Sz0OIt1K4LiTrXLIP0l1FUl0yTyaay
psziLYEhKUZ/vNeMPL9DfpQtfaJEV8T1hWwO8+Y89eZQPN/j4e/Sdqc4BW2hfJV/44+2u+ztjKVl
OtLoJIavpNcxRL5zrYkIyGqVsAoJzZT8PwKH7gBFUjDVddZ3fLkkhyQc1t3UmRdGJxFrkBfNTqrS
umdHhMlT7pCVsg4Np+mWRU7m3bUlRAPAzmKxq01jWx4KlGgLMg6uOVFK6KpC49zr0toyqY9biKBy
l1qabt3LMKy/wUlFmmxSOczPTFu6AFHb0ekPwRi7SO9CwxtX0PSrnqSFUtMucJQ0/sEY3axfA6R9
bHHi79TkW9fZZAW7WIvLcSG7gi47K/wEUe4E+WjNPrO/aMq+ZCiYpnZYhGkciI3MgXs1BchCQFY+
/Ly6Gs0j5b1QX7qxQ6PKL2AIORC89kPpFKfUCuo78poS+uDElvWlxz5N84dvE6w8SRnY7s8mUJ8v
jqG6Ta0ypkgwrwz/et/R3SW478Ek6O2bCByyzyZHe+XUy6c2JLKSnEnVnDEVMgxwb+x8PUKArs4d
PxrP68L1gf+0U7bpnE4/Ug2LGM87lJ2rzsriVRkW6iJGCXRegNz+wtaS7aLXl/5LklQp1XUG7ofS
8IN07Vv9IWmEXyz7niBFtGuuIgo7IN9T2eEjLSXeqy6DfOvGxU3ehf4xrJwo3cBHf8lmwmBfo0ds
bJon1DNBeE1naYrgB+kNmay4vqLrePSy24Fm9MbSVXT4/+ydyZLjRtplX6hdhtEBLJsApyBjHjM3
sMiISMAxz4M//X8olawkVXdVy+zfdFtvZKVKRTBJAo5vuPfchiC629zNBYOPbuy8zTiRj75Wejiu
ZWttAYB3wxYIevdqZ3I6ZDy+XqAUkkvg+6lEMj+b/VWns/y9plzazmC3D9yqCWl3o3nX9JlAQAjh
jYAN4pJEOCyE+YXLssagREALIxac9HVmmjQGdMM/LLf1j0xXk5M1LV+9OX11vXg2aAE2RabMo22C
pvSR/eycmSO0dqvxpWuS5IrcRGTKTqK+Jq9ELKlrtd4w2eLJUFJYw2eygMO3+BW2TaeIT18a8dUH
80UA6dk/e8ud+4/LS5BeJecBnUPqpO5WWhMhm3pStPaSdSaRlfaKhtKc4Mrizd2g+KMF1y9u15EH
AA78hxJNlYeTvwy3S+zdTengXg+cwS5vC6fKgHZ+E+T2eJqGVh+72QFm267f8HVpuUGr6kQ0Jvle
DuuCSCXxl6hb9Xd/ZA6X7IPS+ebB8bw1Ws9+I9aUd85jeMN8cYBlyBSS6ZL9wtMpdASkQ2KsVvdG
mMscUssgOylyPyKG5TqtyvYUyA5O89A2n2uxXIBPo9jHDb2uWLImtNt5iMO4QsNX+yP3gQA8Q6A8
XXPDw4o89YVH8pBbyx6FmNjXRl+Ar0QJs0lGq7npLQFn3um8Y+1ZibHhpDMfG7+TH4wysiCaUekZ
oYDAoM3+oYy79M60mAsGoi/oAUf7Oo7HcMi4DuGugjf3/Xo98I0TIIH8hKWrT5LCmKKbn4K3Wdje
S6qlvMrXrglzX5uMZkvUajx7r0bQxdf+NMrIp1x5m0ySlEuEjSHFQbO1FmC7amrrDQFB8/UC0QN5
nwGoNLBTtnVAU9N7MoG56iaUUJ0XqI+kw0PSFHEX2i5rNJIuq+cSAf1TQv7lg0A+/MK+vqYlUoSu
kHPREsuW4EcoZIY82KkG/8UXIAbtprAehxW0orWqOKQFauCyEc/X2PYleLvL0ErlkKFhqwybwFlK
BdnT7Pc8pjNEo54BaDd3Y9IQL8m6sl6n7xyjLWpTeO/BLqhnSvtYq+HIFtrX4dq3TbnrlTc+DKZv
4Dcg8Y/T1G9JdFgs1D+BO4t7VazZTVvXMQGf5bBP666IZsS5Z9SQ7WHGN7PzW50Rh9zTA/WFjNCQ
NYgl0T2Vtv2Mbg3ovvVd1fI9KALSKGvMESQWTe1WprrsEXbLcFjRZZI0d0AwZjyQBG+HbWX7VyXo
22vV508VcS9In6f0Zwvt69HrHOcJsWZ8VJQgWzQ3j7FFbIUfy/lhLmcDvZWb3yw8SauxrLY9uK+H
mKTdR6lLjDkDBkOrZMrMQNe+nitn3EMXGHYjHAsCkDjz/c4gwrsQ+4UUMNj58CcdLiNSLn4OdCuf
yErBg4slHFcwxAtgQwwMDYL3pjwaVo2Mn1zuvZf2zIZibyBmmukAHHydPg247QFHbu224jtm17U1
1v7D6Ut9SuYZ7dw4dC4SJocsesFJWjF/2juxAbksN6CiNoPlby33tkVtTo5l3iCwdFFNktXcwFVm
tdygDytOPuhv3YhtkJEqogTKfAJORl8k+1EsJiBYwtEGv5D3o9GFdS/Plh4OoqG/AyvnnEhWuGX2
W7M7KPd1mt3XwiU0utEzRxPtsDWXmGyXaT0xAHvOA4exguGFLB5CSymGfdPYoHtSgIpJmRq6pfi0
h1iFud191zo5myZdxSZRdQ013EpArDfIxlxPuLvGpQXSrjp61gpVrw7aEpJpxSaL0sM7uWIhcETT
IJNCj6jedqstHk5CaS7thGsGy/eKnK4T2F+SYGpJ0z4uOwwWIPkh1U9RodwfdVk5j0QqVeM2SS0c
C4jn5I5YneFQrGvjMGup0ytXoEa7YKXdb91kiuQd4HTO7dk1kr43MJ9AyyCCnSembfk6AZQfSJKh
l95q31/h2gUNo4xOrfexcOLHtrHHjRoDMKqY5I9AQqLEb60rEggUC8xpntfD5Gk02l7MU9EjxGHT
KbPOnoQilpWsIjsN3hMVcxADYPLwAaciPsG0Qn2Z5NKcvwVBlt8H8Hnx8jso+MN1ZD/CgjY7F+6k
Q50vZJng19iswN03hNVtWkkW7eU8DSTOgk49ZPOUP44om5OQc6Pa2xmwys0cg4vcgLr1vjVVMb6v
teV+EkCSg3MOxhLAM3UziVRIxuul2GkNUttvV3M4IBmswsLgq6YZJDsMlS3qEl90bwyKu22GzYwV
5uBdQQNihk/siuMMLqdVcUPKInrkpr21M7gfZfOeGkBq2XPdujzfk7q6tUUCKXkQj44549xxiLO5
dylIrrni0m9xm7V0xMS+9omB/tn87NyFSOHVag4F6fVsl1Zg4lmwx2jwfUqmB7dd3hwYxcSfxZQZ
mSbjYcl5LSi0e6fq6psAdEgoOy70UjFsTFzrIrIxxwee3RVPyJwpWVY05ZY2gE51ACONslpP5ZfG
+BB2jk1KDjDvqkptHDAxPZMzGahMJFupJujnRxi7w3NCKOFmUTZD6sJtbzIEDIjur3tbxFtz8czI
JCkCinAdx2/0C6WxRZXWRl5ua5Ty9vBdmRkS206uy0kPvUEktptnFL6KtXA78NAtiRZnVUHYBIDt
LAkOq0GABJ59G9thXgLuLir3Eb6USaHF/FSBkqbayr71iTD3pI4wMF4591XtdmhdF/22enRtZcgq
i8mG5GK5lV35Ns+mfQ/uFBNyP9iwqw2FCpjq+JrAZfm2thpxactaj5JIu1gM18C4XkDGtxvP42NA
Dyayfdkn8a3NaOiD3pQuRGfxjZqSikEFnx+fpEg9cxu7ZvFMC0fweNft85UkqdI0TrCj2Rf0U/5c
Du2hG5t555bzy9CXYJ3r5JkF8r6B5ngo2CVtR931obESnhC5ncuMOxO3dsJKkXNFPQ+1R2qbT8yS
O3GhbQppdD8rrW6a1ssJsSCqBXIrO7WrIW22qWVPJIT55Dg5VpPsgrW06OlRv8jIcdUPC/Fzg4ix
mQ8l/eabUQXMUqXTXlyX7WeVM3+NFosLYlZdrDYlcv3HAoYRvG5zyA95DJkaR4l3JqKrfLbg82H8
YjgXhIaT6KiaL0aUSib3AF9vBo8IsX5qFHFYLSsGqywOSxcU5CAbI55Fp5z1g15UdUBoBjrdQiZ9
gE4O2QnfJuuDNcveMk7BD212Jgkh8AdkQ9IcdWCjTq52OLJcb7obctZkkxXTuNWWOBXKamiRWhgq
nTXhxJGA729m6pYrAr3wVI49TJBNCputJ5Kp5uYeYDFEM0gmhEbW+JL3OqXf0P5Wyanbz+STUcZZ
R+k1PPaIWdm7PRXThibUuqZjqzdAKw96ijB6kfHx2YOQ+qrzRYSgLsQ5v1S4s7YUqR1NfWMjHQ/r
EulzprU8cOvYdwHjnxcntQChBgJLIxBu+jsMPJYmS9vNCYVCPs05VVn5GV3Txa46USuTlHTihF3C
idptN3Iq7wkHYs9fd5dNWBubrwXjhauYrU/UIMaPKmXLh5E8huvcrN0PbD5evGGKx8MizxYbHThE
qpQ0n7BIxzliZmRHRoozosnF8Nap1H00uR7v08bkUkpIGJodXT+4SLM2NXsnHGt2H2UcqgykJudo
tEbO9CRfVQRXgqDlssn3Yy+H1zbmbKvBUGT7uULJtlmNjHdcipHcgaKCrtMk3tBvvTr9cNDNfnMn
X92uVt9GrA9FSKSltakzYnhh1RMPYCSST4pUvqyy11MqfB4xCXcHA+G69d/FLL5V/vqVTJ597Qb2
HRcU03mmRyF+luwuFWY5RmNGQkQ0O2m53ASaVfW+ocsd9zWHZRqmMPcPXNYt5aLNiHQu/fRoZip5
hgxAYBwPnsmAXE7ObSj4ZJEI6OBcTWZ8cL2y+7Cgn9jM2GPPHm5bUa7Hylg84ijFRGTSnCGXSQcV
3ycMhx65utRrXjXm22zZRSS9Ptkmwk12cR3rW1nVRdh6I/1kTCxeNBSm8YbKcnjOtcUgygcLTiiN
6QNUxcODTCz5ChKAwU1sEOQl9foIzL85V+jVdzwdiq30AO5Vi4GJXGN8Yt1i/toVj+FiV+1JZHRb
VlIUV+6amEcxBAOOUMWGRBf+uuudSd8wWBmOOs3FO4GY8sXIy+7A4yC4VS5KE76KyBzktrCW8VME
aNXVjG0B88ssC1K71TnW83LHtVhQPDvdt1pO2YcdQNnu0kQ/ep41zZuVzqaJVhbFaBUi5sMblIz8
M2ce8rQirh9JfyYDOzSmoX80l7K/cfK6dW8MLJdXw2pWqJTEPG6BWapDq3AtDzo37lY79ekZZWke
AjMtto0cUKOYDfO7IPOe4sm2btKmpuQwPcYzGIe5k7npmqRnXenr4jntSsQiArGU7utrUYtnrxLY
XbriqWxE+1CPToxXZlGX+rXGU6zUiyG66XYdE2xGSz49iHWqoyy7nxmq7iwnG9/yWvZ3rmkvbyIm
CxqP0Hiya+WHMLvGNw6UN5kX9jWoESqBucxvsK1bp6rojX2RQK9PQGGHsTvln9NE2kI7kx3XlZOi
KTE4F5BSHegCFYHojTWkIUIPeCVez7fV+fpbmbQdzsFVWx8lLi42FA2etIKK+ETOdBJB32QCS6Ig
GZ6eDpNmtMIWF/6ertnnUEqaI6mUTHjksO9sb7xq8FeGqTTNNzcoak5Z/lYllqrSvGesqk6THuwd
09mM3+otu7ox8mOCo+Wu8YAol4AcI8zb/mk0GV5k1c+ZyQxZEyg+4xHkKE8CIsVth0AHstrCuM+q
QyuZD0s/+ean6Sd6pC+fuWqYsK8mGWm3eIjR2l5m+6atv3J5iY2QGLdUV2zKlez1HAsjJqRz0iXn
2atflpEDZ9H4Q0lP2hDZYrAhTrfcrOFoOtGkPPNYTM3j2psHtEGhZ0zpYc2qInRnhdaA/c+wmRdW
Vv7IYKfsjU1iiYM22qvCdg5jtp6dljn3Clfm4ZLKdej9Jds5Q4LyuNGKthFX03cPdshOYHW8Jo48
f7TYdD25Fb1hrRVD77I29/9D17B8Opb0Wy8fkneRps41za6x0yQF7Kte9c+/auP+u70h/xe5Pi5k
rz/oAy+MlH+wT27eS9gn/7Pv38s/Ykt++4Hf3B6B/MUwbQtI6wXk5AUSqelv6c9+8AvrNn433CNo
p7/+ye9uD+8XbBi0jp7kh1GgoqL+3e0BzMQKLsQ++Gn0XFDb/gaxRF7MJn+QMiLbxQ3BK4EsATfH
a/1Fylin3oz2nrV2nOL5ZcckcLuPiLfZugP5qMjf1cWdrzC4hyhmicSbknXAxAg7oQxT1Kn9Bpal
18HcGMwdC3XtbmxAP/VhEWCq9vVK8p1Ps7bFvOJ80aDZeNxRw18RhjNiPRx9wAXBpEAEJdvMrfo7
R1XWfdCb8iax4L6WzPTOixWoIyX5cj1azqPvNH3IJ0j2D0bKqK6t4TrrCW7xG+qOOdu60r5i5xJ6
zThGupt1iBYU2fzQsDnp/HrnrTkKo3y0trY7rmHdBtcxbcbNJPpk7+j0e2UqdcK1iNBVTDLU6CN2
TIo+G8KPkCv2H1WZ+/u8QWY69K5mihUD6QOid6+Z57F8R4cfcO4g1mFcTbbdu7cInzrX6HbZ2FBr
BrymrwA7TJ55M7TLpx5Hd0cqDeV+JiCdciNn+kfAzlckdjSU8evS2qehLc706sj9xqvSQaeZGmys
vFZ8ONisd/FifxZFs++JXd3kcmU2RdyjNdtPSYB/rVZY6dxcxRHbvXrTmtkrm4lLkLT3JjPjnHUm
M04vmntgLGpc2i0hfn7kk+Z0okLvkOabV2VZr/tVOftFoLMai+Eu7xpWRHrpybxNSuuAAIDkaPHr
bNa417a0eMK5Vlh0zvi97K0S3Y6ckg8rZgmcwpu4y0ebI9ecnY+uYyRcjK1/S3aNd7IXuf7sgKVu
RhL72g0Ldn2inp7PXZrfGmajfjrdXCM3buyNedm0svxEUKSK4bPJ2TsJXzyYbXCVj0MZIsjMi40W
nX1rxSxd4ePc5TWcilnqBz+t73PPYF87e3e6VPPRZfdxUu0gazx/sXUXTIQUKXf9KNxs2fmi+F7i
5rjGbHwUFtwbepA+f6DSdtEltNlpMVh3t9Lf2XRc22qxdcjyZT0NuXdrCsd9GJK+J8Xcw/IZGmll
tkSoCGWHpZOXyIvKYlQhm7cER3NArMomm3izl+UM910mR7J7JLwr8vA0OJQ9QBbJG4YB8ND5PvrA
zC77iQcSu/OIWF3DCIklJzipYZmcbHsPMQGJUqmSoWfWsRfFRUxZlGSm021GUaXLpkq6KTkLR5XD
YSQZdwhTK+9ZcOWOal4F8BGmb6LyBx3lJT5GMuBqUksmKq0bN80Ggj6rvFtPcZsW885fXDgpSdV1
/iMCT7c+5qiG658N7I6A180C7oA+LZgvWSKTmzWOK4cdfoAucQ1QYZGoZbj1PrXlSuXvYg7ZDpah
iB8HS9d/1taUlmzF4ROjZlipLoDRuN8NK1lfifwZr4Ihi+/IavHXKIuRlaERX9L6wDy3MGAdCWzx
MluockivSVzGGwUflpeLTUc0/Mhf4znPDO6QwedWUPSIeVaVZDwnw9dMAr0DFgyTe5iz1cnvZJ2V
2U6ThOdvS9RYyQ07e759HOjpPpkWa7hgT7oiNKRPThhO+obBw8hg4Sjbbig+2k6Mahd4eZsjpfNj
xBmTqd+rwKNgIQrzAaqUsXUBJeWcKXk0IBrkjTapR/RWvDDYbcmbK2p9JYVlfc+lSi8W0eF9pr1G
GZUuLcmZyB7BY+jsWC5Sv/uuCN20B3wk+6ds8J7SYXnzq2yJ+oqdke/O7U7naXFP+gDHnkokrtRq
eCQ9vYbr1vvfiPhmGGwPjv5u4kubmbVf+v3qJRZd1ARVJJD1bspuGk6S30ugzwDRCx3rggz8PLDU
siF+x3yiE0LrUCYzycqFL9rbtSvMrUiXeNwnM5PpiOTCbt5aVVXMJ07tl2lwFm8n03Z4zEqvsB/i
AofsrvA8H0l4LzHsXsAzazcYy4NbKOQwhCon0cSsK30sPDP9FLIwSbFSJVBSv3PUU8d4bELjqIfu
iqguT+/SSfUMw7GbmyrHZD8vP5Y0YzkkuZZN1vySxUrS6IuuJws7ROh3w7CqW0cQTD5Bxbr27fF+
ZUV/jNloAjVi3N4XmiW/NryzwMr0rV/c5r4RBsCaaQ2Cpx4I7P0ad2VxN8EG+FFh5D+MLP+O8VR6
LNZHAjdlrMx70VMAe9YQ3C4D2YCbwcz8H4nlj68F/X0bdRVUok1nX9IIyDzzf/qFbs9AJuef6Mzn
MSS6m41tL1oPy6GAn2vZEreah765+Kku5rIwE6lxk0+TfKhrU76WDAv2ijAtD/UaG/mzWeGuFxU6
N8GA6alO2gbgRj5XX4hU65+TJ+Y3hhYjS3gnBRLkll1NQNrA5FMxP70l0s6+TopeEOucN84T+4y2
PFfN4jOCMusL8B9dcrYNjNQHH5Owtcp6uCMZTjDrSpq581nTViEXsvwno66Kc6UGhYRliL3nojPd
73rkCcJqmkPSK9fkTU7CuLcWkzayYDN5Xa8M0nzLk4d4DiB0JK55Sumtj5NjkTiZMPmNXGyigjOi
Jm/Y7zrUYVqsiGxFoPvnJTXFTVwhOmKj2tOJy6TQRHUJxaAFPkY1c0q2xbrpDLhqo6HXgoRvwEv9
sIzWTtt279532VS8MYrkoquTxJ62Jc2SzfQz8DCgVghFjn48DvFRIEjqDoZj8PxrEyhZ95NrifXW
lXFq3Qt2PkQX1tkw7bDRsRrvbY/0uyblrbNhKxJS9ggaJ7bdN/N5n3RAh86qAgRNUvQ83ZsW/eEV
rgzXOM9ZpmECBKLxQ9KuIVUsjYeGRqxsvVrlNi+klYVLSZpUVmQ4FgNMC1XOLc9KMwhhD0zXuWf6
+3logyeUZPIenNGM9yjm3JdLqw7C0fYhcNlDN5ayDjzPyls0MSW+mh5LqJOitqNNLiImEvrcxw4y
hYpR9UnZjFhxU7QNuWYoKD/gYsA7W1Y2JqNt3PQr0WcMNh8MbviQaPR4O0gSc3uSz958E9EKQNfk
OevbISQAD1SS0cjkyXGTNEHIzNMBTQfL49VnbtLVtQ/j0nGy4CBRt/O1ooa1Q/pOZ7izrMK4JWPX
vi5Eaj87M4gxbCqCqXtNRPqCGUXKPGqyrDwC9rCfV3NCFFavq5dsg3UcHxebJNCjufoQPCydfPKY
47CMoRUtm2lmSXwolMF0nv7jvTHL4LSSinunnfquxeiz79VoEgbZFJuu0u657ho/qkb31KIEIz5x
eEqkylGEVvFpFq5+54GRPSaeVXw2I/7rNm/NdofiIT+aQxdXG1qZ9jNhAr6pazc+JoUxs9QoeUA1
S+qhYVBdhmK2px1HfIumWtk8CPbzQtl+7abYQHrWwgGN76Jvcwc0Yjus9UfTrx8sOXObwHCUaYwD
EWTsIE4FcWQWJQKCPzRn/wsn+J/div/a8fzFoWovI4S+eliOTl2wsLbdvruqCpE9/f2XwRUaYHMH
LGm5f3G4T7qsWJWI+egttN8b4huzsF2ZaPyHt/NnX/vl7Vy+X8xotkFHyL/+2RNmBsIa/MAdj3qs
xvfs8oSXg6YjSFYfh/sicvVVTDolDHUorf+E/rcun9Y/rXC/vbyHA9wJcFAH8q9vU8GvwRxhD0en
I4w4vRQCll+y2rwUB9PcF/d+a7e7vHbWb/la4wijmpiM4ElTXcCEp8wwk6i4FB6VpO7Xyx3W8Zro
j3ZprgxoSgjjNNnIaPJUccuWhaOq9jRzkAx5wMYNzv/+e/vXN0QnbGDq5YPFPuv+xWaqbSf1ippl
slY9gZ8tIgsgGrWaMQ9BV+IZnxS+ffy7L2ob0iCL0qcylcTo/PlL7OIYTBuQEF400WebLIi8HL4Z
XXKlvLV9//cv9mej5OUr48V+xaGa/CbHuYwE/mDXTdCLVYVfDsdZK7F1O+tzycWuNJbhP7yrf73T
bC5LF38kkb0YpC9//ocXQoSKExNU0lGNpTXc4l+JeXCS4T0e/v07Mv/1S7PdwKGLpEyE7+z95UtL
cuVkrPCL4+CYIPvQ50TMAtPkzPTDHqMcB3e/D7Siz7tE9N7ikLOdO990GXZS8o2/Vn8IrBIU4WOs
2VFd6sPu11rx3/9V/+UzYUXFpRUw2OFjcf/KGkiEkyB09hUOj9Twjg3yi7ulXmiW/vbrkAZ1gUdc
Jkk4mf/82cs27WEn4butYpqBqMNloaIkZnT/6+v8d4/7/p9DwSAXwYkb/NvB4BNHHtzaP44G//lj
/xgPWr8AgWHWbcDe53HhcbP+Nh4MzF9MMmAsGBf8OeUQ1/Tv40HnF9eVkjBIfoRotksG1e/jQesX
JnkGUYrQLEhRgkD8N8aDjrw4iv95vHs+3gjuXH6hlGRccyT++TJCVYilwjHHgxM7LDV+hRfN/qFE
bIoIn75QosybiEsOCYJdcUkOX0CUXjPff6P9MqgH/XZLl/5J++Nt8qEcsWXJMRLCFGgw2uoxb4z+
5E0J8ml/rSI9seIGMngvG5FHM+38oUJWu0mS5sZrcmvTI/lhyeu+1UHT7uS4PtSO8VU2xZ25XoYc
CeBNPDzOBjjaJ8nrN5h3LLp50X5P6zZhYTst0O5WNKIArXjVZPquetjsuj7DomJlOly4bqVM7hIR
B5GyXLE12hXZkJ1V5wZ+CNxYR181opHntEK1wYCARTaB3utLHCRPyA3eZ1bruTGwx57YnFwLVirb
bFliJMYIuFJkXBsUwmg41myPm8w5N9JcjlbuItaK1zpK2oC8ntYk7X3jjesybzLXHH+aY0AJm8it
ySblnrW9EQZNuk3bPt+vPcobEkOqay+rAfcvffzDbhNxkMghr1Is+ViAWgt/HVjHvGMjDC5Z/hjk
+r1bAiJ0LnixhslmSCgz/wtnxo8RtMl1LCfjGGAI3Cj2kxFGX+da592IpKH+yswBem7QeredgfBv
TuBhjRnMC/MyBspJGdjmaYURMmi7q7ZcrAe/159NgzSL7XiLQ2zM3+x6fUPhkIYzO2JEPUgM2Ymw
A8nHbUNyTIT6CqHrRPdZ0QB6dfA9GIocsif/Oelza7qb2chtp9K4qj3JBeDnxQHDS3pSdLJKyie2
yNmVbyBCK5NFPfVx10e5Z+VbdI7JddYmxcOMDjpkgJKjWqLjm1UK2qBxnj2cO1uPtes1W99Xrtfg
azEqjHaiKm80OuWoHNISc1H/FIv4KV0XPCuQp7Gvv2TayRkuTNS+lQ3DQTjfCvarh2zoH0y3Wbb5
pbSBB9zvSlLIXyBLQueV/gM9/xNLzbsKwdHG5X4PpxRvZj+VNsZsCqg9DjDq6uzXGrvUA2kxsUKy
nKBEvXPkAhgbO1SUdnlxC6Cv2NYYE46lMpud5Bq8TYZ+uqLsUIckT1dGQSnHWdDv9dBcj0YWo9Mp
OvvkVnX20GeOv7ca+A1gbV/MpF8ey6BMrjBnGAdsnlU4OPLZNDKLCeRUvhRZrkK+qmk7Q7AbmJGB
eQxGEX/r6mbaxrnVnhWutyu9zsw0GYA7jG6pRKIx7r5qONQRWivUX6zOb2TpLPcJkrOoWRzIkDy6
w6GXV3Cs7FujQ9QNFVFvZDCr+9mEWbXyUL016FFHVrn6Y1gxAwxosiSru4NvMGRgh2bex/mwRKNA
erqmS70bjICE+x4h3CSTNMqHmTRt2ZDzDQK2KrZAteFmI/WPglmMr2sfyGfkbN4Bqnn8WlzwwcLw
sBRPBqMQB8FV5rXrqfVc9Ryopj0ndUtwc+pqC4MCo4Gg7PS+DIrsVVbWq4F8ZFeTu5T0SXVo+uWu
GSbra6IoeVAz8j9BOao39iQ9JiQM9EBSs5Xumx+KKcQXJLzy1kOnAJVKzocBpSVa8QZjpVfkOxw3
2ByL5kZ0/ikWpRV5EpKpEYQBSvUQIUMdMl47LVNscecqO4vKJY+jZkq9k0MPdjfruDnH5pDdpoDD
6NHG8yjVtC+doX2tjBEGQl12bDHWEctKZ0SjMi08oOi4p0xnMCL5axTzqh/YM90vLttii3DvqKYf
PzbZeM9zSBAtG7c713CTH11d6oNZiKdkaQ2ErNWyqREl3dY5/hdkOSpiiAGm2VJntE75Q5uAIHHx
429K5YwYx4DlUpVC3AdYHa3aRLkp2MYdhSvGaBCIkWLll3vjkuGyCNAWomTfEhN9EiEO4RRW7pdp
4skOGAeynwruUZl/QI5Yae+ZkxBPzljBaOwtWU0zVpVeb6cx5niBYx3VVfxi0F/+9ndAUGczr5rp
bYfAevUn7ubCtZhhxTq4zi9eX0ZBrtPjUU/mHyIZUZdm1dw9WY3/0+2z63IeOX3Ngz9fWNSWfwvd
P9gsDEoF3MB0frDmdNzh+2PvIbIHbzGba7qM7KVhkbhtMRpsoVi+wIvao3tASMIzgUG3CL4hP9K7
Nmg+64ULCvTb09SSRp8t6xxVhXGjsUoADlhDnnbZM1Jm6zgKEYTd5ZuGWBjv7CmxNn7J0TME1Wdl
6R+jV3+fPAuBt9B2itbDY3jYs45ycRVeLXFyp9K2u/YNpDCJbd0rUwJajycfI9FksWuiK8THzkQh
8+wDKrruCRg1BIU+afEoDOXBXup3Q3AKyTKPYitm9e7+WCv2To77WY4YiuPBREFou5//v9z9P4nx
IPKZNvF/jz3EaP7e/bHQ/e0Hfityff8X26APpGA2mFT4Ds3IP3bgNuUv/7eUZM8Rk+PS2P1e5Hq/
uJbhEQXNblpa8pLk/nuR6/zCT0ifuSFJUh6t7N8pcimY/1zkOhTKZMaxfb6glviVf2mI2wmSdRXg
S2ti03nKCLSNgG1WV4vn9dHENmg/teW3lKhXHEW+D9O8LM+wVUZm6/zD2VeBKa/T2slfszRVQAa0
vDaDyouPix4g3fRWhx5TdVLCbp51vpmrQp7jHKUnNXFbHXNO7X2C5O81sGX9U9fe8Jpqj1m0Y9M5
S08sd4aPNCzoDRE6LUiX2fCtq6WbrIexn9uT01f1FZtmqomLLSeZVtTEpiXsV56BlnNqqH9OWQHw
mBGvUz2xAdbGkb5ZnCCL8wR3nQy/RyrZdWP+j58ZFrcE9gj3JIN6+t6qZmCdKHye7K23qpcYlPpz
7K5zwKwu4XfbNc4au8iAxzDotj6DS7e5kWlZY2RbEh6MMqdcyjpnk/WjOhtl5jlhV+MMR7fM4C+V
dncvmjoPNgwV1/uApn7HbqO6hubAyN3I0Zmyo8MyRPWyUg0zTX2I7SJmxaXimRmoW5obJOoAcXqx
tjfpkrvrpjX8stnFniNkmKT/xd55LUeOnFv3VfQCmIA3ESfORXnLIln0NwiyyYZLuIRJAE//L/TM
/OqZkXSke0XoYhTdNF1VSPPtvdfus7uGkMzeVU656UaLGp+CIQ+x8czaVCxdJyaCzj41DNysua1b
m9xjvkvbMOWcg/U9bgUOVzd2Uo24vi13qQZ3alEGOm6nodV5d+MuMDHQsSa+NSDZ96MNxnFs9WrT
QNy8OqXubTBrys+xFYinKcAoQhKp9a3KDPVqtL17QAiMjqhwcLX80aQIspBnMnOpw+6qe9rGqfRU
Ww9E5/IFVN2IyE/qOocuQvAX2RBcJHGPdc2CGy2d0s4PuB+8k12k6uC0LYq8U6Gsp5paG27nvOVx
j0ENWvwVq0qsdiVeorsEag4mWkabdDg7Q3Cju0F8qVwwEgsv89szmWfr5NSeudcNjcMhkZ5uz0Zo
0rqieEmJXWX5ztCC9C6JOjbNLOiHE/nGa65P4VtAZuWgZfacLsvdI0oT5QimNHmZSiO4kR0vFObe
wqcZpUcqXhbYO9gjA8QnIr0NmogRqjmD30zWvkFehS8GtWGdjL2810o2Nn9M4WEk2gqa2ltV5eEq
dMt8Vbe99lTbclhKQBr60GkbXJTlyhntS0sMa8C4s8kDLguhtJ/DGJpFZzabsvSku5i8+GTrvvoU
ef3NgD1xk7vyWsvqe5A0+HGtbC2Crl1UWFTayVYXYrwrzyHjYRBnXDAN2JQJ1N9LSBYMvcPzBnej
TDOjtQOy9yKxB+x2ZQNJX6fcgE2wcw7c3JZE7Bkk2zmVBsHU5ie6S901j2H/iKRbnDVw8xx8AKcI
m9DPXesyVWR/FZIArK7F7LXa4L91cIYLkjgtKOShjeJvWcGauGI1gc4JRrQNDv40xPHW6nhxCLYL
bcDWAwdiwxc5OgGYCBT8YClszcppJbc238s+sRh0m85ItY3vpg4fixYoVO7YWx0wB6aQ2tgbEB6W
vdJhF0c2xHOoUOGjx0s7O/jBmVYOMlrEuXiVxcpMuFBH9RpEVAdVJp0g8ST61U8lwURjPkqbieyP
uWkSkvfC7DY0/XCjp2XyncgBYVHyabSGTK0+btSYUWtqaWpYUE/CA2/19C/YQt/VGbU6QMSzZDdS
gLjpyoxJRN545lnCqF1YGQbRoI5olzFR00M5SuK1KtrkOH3Wwi76qy4M+aJxjcVwxIB/ZeJj3jYd
0gKvf3ObpnrXE96yu49o4B7B4Hk3Rc7RyLLx1OqZeJFm1ByBeuw6RhZXpJdsn3KBvR+TOrq4jT5d
TC3Ltz5NNrc1EwhCdaiA463eJsnK9Kz+EWPWHDGmTZiDm1eDDKq0G70p9Opo8Wm6KNgzJ0SptF9m
XWAcbCVewyBoX4HMZk910pVnXubsLs8m+611CmSpWuoDcDfRh5eIccUJfCS6uRlNGLu7ltux3wbL
BvT2mc55YE0K4N6aYM5RjJNN8UVPbQgdT0fy4j5VCAhV10llYiNoDr+GhHXkMsyj7NkPBms9VgRX
webj2RJzIpUGqWqJHzP9rLO42xt9x5uUa05yFXbEp2z+2R5ZvNu2SMxNlKPBm0blfjMUXeFuGLH0
+bk5Lq1CMHoQxjC3DFiFdsI/PacOIrHtFdt9JeuNkcLtHqdM3cdBQ2V2q0UUCPl+tg+mMdqGdlwt
kzAUz1rRTY8tZWenCSd6tiD9Yh4ISdcQW2PL2Ee69dmMerbSDZV9ODH4r/VUptXjYPTYl22OHtwm
aumdiJ6lZ9NvRmRY1lYnzt+tpkj4GGfpTWrL6GJVDRFQsrsRfVAqyN6oqkjSJeEMS1uPUVHeATo2
mODXyfRAzxG3Ntq7uoPeSPdpTm4+DinZI7BH0xayOTfFSFgXrovRl9e10QbATMtt1iRhPDa2bS9s
FTC1IInzlEpPPXgsNe8hUHkWXZMuWlJGwPQXtCRWj96Yii9hIZ929FKt8jjBIZO3xmucmqa7k2lt
ka/H7TSwiA6R5q9BGKWHqXL6lyCMPsiz73i0fOLaAU0bJjj1Xot2RW1cdbpBiQaV6jDW4Q22lnoB
jiCFJKNg9aTVaF4zyUOy64LEOQ5F6l77gg4Preno3yiCdu/HKYcOZ8qajyrNbxDxeaNGU+7NSnO2
sBtwDWGqSQnlpQKuoKnuuIQ1nPd0tlZmKxtIZ+oR55Dg1iy5FheGvBWePTxm1aTNbUbOIhOFi/It
bCwRjvbgQ8sebCZRUjf9O7Ig+Q1E11n+TNJnYxxprJbMPWVPLKSQabZVWVPgdYLsPnhF8OJaMOVC
wy0/+8YcNqqZFKFp1x2vuE9q3MDYoSuzgfqmx4SDunGT9XH9FgDaOw5G6X73QFQsq9ABm0EAMtfY
7gtselyI0MhBG/pmuBz6xmI00mvJUVDPaHOSzIbvYair00QYi+6KXHNvRsLZm4ZCg4+8l+ZaaY1/
jEKt3ZJyTW7dkXOUgb1+47WgjafUY1QUBrNTmhQWDdx4YprhE4xOc8vE46bzrXZn6FWzGg2N4wA2
9IU3utmpbuk2wW9y4tCZrNKgsC+iN8UurFjWaTyxySFnW91LTmMbf+Ao+ayAJXlRxJSsbLGpkrn3
7suqqkjuVjqEnVojf4kWDQQ5jR9yAiew9sahoB5LdYwTnaCejp7bqo01ttq9r4+W/qqgRXgHLPHD
1nOJl28YjdvfOWSVBHRJYT6xSdXbQbXGl+eoqD7A/+HsJ/0s+Owh/BmbCdD+G7EHMnTC8Vb21E1n
vdHI1aTOPYfJ8ZAGKVYovclODeM1TnNdCqwDkwGe08igc0BJx3qg3Sba5U1L+cAse6s2PVpO5d6w
IrSMz6P85EZmL5ldWslLxVeczJwsHNSwbLqRrT+b1PXaexWcrK9EcOSJ5xWZDT7juOGq3t9lWk3m
c/Rc/0wZTqsvKpdCwnXICZcLd4aJdjAKcZ0M16zXlaog8GRxfrKajOixkZvOjQXabpVltRnhDEyp
Cowjt7zNYJK6yyZvaKGgWyaZllkNfHodTTomzIzo5bOexRhvqqpNF7Fua4fI44hhd82+zER+g53P
FSuScWeT2RYEIOhoHMCshCEEuZRPSNjGB6EC/+wGmffakUPaY23U8NNgXyiXeRRTaRQW6H1LG2U2
wOMwYDErK6NeEybxHxqCdS0JQwk+ExF7QT7a39i1swVfwyiEcWNGoICpFu2zcsuq9d4nc/jX7MpV
7NvxVvhYnYeEPLoZ3WJaJBXeR7uwKEGBpGGzzHJtr1fxjnzdDSZqgmhula8EnsCrriQMJPhE29AR
9DTpoTVXBm21+YrheRha7G5aqnJTlJwN+U0OrlN8p/JZrBJG94D3dYJTHLi5ImeLBNTdKijj50Aq
sVRx9NDCHCKpHj1qHDsWXAfVRqbthds5bCDln9E96xU9eTsLCMSGy8gH9p9T5qSEwBx/SQaMvUGP
3qjyok2RqxluCHPVdp67mhT8lKyM272XUWmWK1KTuIkmBmdgq6yixyFjd/ye4DuWTF9BiAi5yYW5
0sXwjvFs1XTxrsW+vMLyepk6L7tVIK4I4uvTmWfP3tKSQ0yJwCe8rlFiAAxM65AWTXQfVjhrfgww
I0im65oJ45x1dOUC0oW1IcmfcSglKrMdDCfEF+cY5KQFHXWErjq/XnhQxE7u2KVEMgSvry+FtyWO
h1HJsvudrdFS1xlm90I8pEopKBVcWNLWTY4DQ0saJM2+vxN6msdrN6qCJ0Ee/721ovDYuPQA7SSh
Kw40zgs+xC5atwwX06UxccE56JaR3LtVNORr17KmudRlWLBx0P5XNOLa6lGFA17aLkbjTDQHz/Na
zqA+QUrd66tn226vFk6/rd76D22bOUcWGPxZSeWDn63fpyqx8BTPztchJWvXBOvK0Psvc+xik9Op
7t9EnYXVfArJOcV6JV5Hn6qtAbohehdE0zeeLAb0AGcJI+fxNncHdzuMbNUO5rS9GQfRIZ1MdDKf
KcHCpwlsncBKPRoRaz6rkK6eInJ2r7AXk21CSqpY55BJH30OLiSb3FzA1Umt7FdDwX/F5od/XaLL
LClgaPXPx2+Xz6SJ/yA0//Ylvw3gvF/4NOk2YvGvOvPfB3DGL9zo4QIaOg4eZF7iKb8P4MxfMCj8
XKn7/wdw1OZSu2bgWAkMbBd4L/6TARwNvH8awFGbi/HFcnXLt2hu/xFS+ckoQuVI7dtlO20qUdYQ
dnJHFAtoUfo59iQ1CR7Zi46D2TrIOSyvTU4wJxqMxCYUQ33MUmxn4aBzu6eUKiAMCVJsYZqtRzFh
qDy5hTApz4ORxN4iwPm1hlLukyZO6AAqgrF+YdhP+xEcjX1iiXiXY2onMN4jKM5LWA224YKiAwml
jto+WDmWjYibZ4jTHDLsTlHuKWWxN31hH5MhIYrcVTbF4kQazgrkEsdYQAdcYYJB+wqbTnIEAP34
kQRUTeg66zQn5ORQdthZF1zCyhPatPvccCmn7pN6b6KNFb566AyyJyVtdTiW0yJ9SlvxqiY9OScy
eQhpKaQ9Lu+Jcrvy3XUnOt/MOr4PZevOaUpx1hMkuoGMy5rDFbUTsM72/ahpC4gA+1aTYoPuNq0D
Xjocr2m8hNBKNLhAYZA4Buke8eF6D+JokilcRk32aUaVs+jcMrkPfSfdF0YlSFX24xuMeORxBzrg
PH0g+pZgemSC6FvWIZtTKMtGtybU3q4iZVAKxz9qbZRU2DQJGyyEMAzgI4PiuJTHnv/IOE7nBNoM
9wG9nMHe5+rXcD2I6ktmDSNwtdxs3ksvVvUeQEZ3pAPCpNsLnOyl9MnCEWUnaYjtnCXsqCpDWHNk
JLYXiPPkkKYqCm4btAxr6bbcrjYFY7tDM2DgDivBcUcP/RoLTZcnyca1G0y4iutahLYKF0BL37Qe
127YALAoUjyi/JN6gS4V+I/MXp210/rDieBEf2npl+KthEw3LuzBJ+9sKtlffToiZ/nKMp87R7lP
HGCkQpCXxh15MJcmTJo8AQSE5a5zPLHLAxv8uuow/LfkGz5qJ0nvGsrF1hbUo3rNEXMkrsg/qd90
wijXzihkuCw4Nt1jCfJ3rZfR5pdFw2amEollmPXlrq688ixM0W6i/sp1oiOyCFFVi59KVQ9o9mN/
A7yj3jNqTl8ZNnS3TgnRybFjenplcWkH44byMWOVdcN0l1F1iLqu8ZJp3KaAu9RgOTlcbwXRdp5q
0hdbJeV8NqXKkJskh1f6U6kInpCcBmdla7r68tLwtWWSdeJyWZxVHQx7NlGsoenkcUNqcvvEab88
FFCGG0aWRnhJm0aTQE7C4kiZMexV2MOcKaWeeHdFIpCxM46FS6wr3rkJGOEM5pxhNWSFPoxH3T06
FWfKvfLNptvDqneBoCG7jW9ANhPr2oAuWjXI45+Cs48bLZlJuRVDOZR7uTBqBNBnsNfDsI9TAngY
QHusMFDEMv2bxWiOTHhZZ6CMGEHzVsxTb9V5fn5INL79Ujf68ZE0Mp3JxJaeDXPgVjd34MHlz7J0
OaE8pBscvqYBn8kiz+05nXimd1Vtu0BqDjgG96mrA3UyrLa50ZReYHzHrEeyxgUc4VNH/Ol5KbOq
IRRnOWPie2bnm56EDI0r42RdSmMYPyizNF4FeJOlJ+e2G54iVljQEn7aVg8qMY2G0PvkkHcnSlF+
Rn1b3k22G34hBRCO8LrpU6qhx3Ks840NIgrRWliTPWyHiFn7Q6KhGYGfafyIKonSH+6hRXk9kmHD
0NGr+av7KLWMVVvIEGY+OVpM+eYsUOfQKSk9y73K3Oed1eXrGW3TLWgNnh7SzmYSDT6/Ra7FKxOv
Gt+W7tZ0iqhf+k2QnQd8QWwvERdsI2aSPJG1XZhkCLZjUE5LPcBhyun6IppcnKRP8EGzQe/CIoZQ
Y7HxMJ1pqkPnpqAgusBVQE+H/BwRSnkEbhyd2jIAXjSB4njrUEEo6OYGhd1cDRXhIvhcx0jTfBRY
j9kDEIKK/qksKhQd7RQYf9MpGRgXfTYGH1xxZxwCHeQFfqN4YnJTA+/Ykrm2YDrl4ziSJndowUNW
EvcN2hUCvEi9+Bi6Vpys3K6LAnawskguRDnkUeWxKvfpVNl7VZm2Ogub1lfLcXkKCF4cy1EkO0X0
KlgATAPlTigfeGHcoi93LXkVqb/X7XRv9zgxwCiG3VUfMrtgztxoOiWkcuYqFD2VeuaUue+QIHWx
yqrBfWa23wVL20Xl2GXt1MfrrnYZ/DXwdmjXI6ew1EcFqIGeskcHi9G1DaI2W5X92F5dSw+ONc8w
dhrTvjea2n4m85Jjfy/sQ+MQFnJSOccaxvMUCBtqlsv023cyatang9nywC4aKnk+c1Ey1MQKOo4z
ZcN1bpI4b6hs5q0kRlHnEqiBBIy4tYVtfefgNHabSvPz8c5iGPPoxFY/f3fdP2YGjrFtYpXWYzqk
rHfI7211qMuglWuSIe1F8zqqU7TeDJ4rEaCLAKqCSm/rtbVzNNohlriHqMxwY85rHMtlRukzGBIy
GXA/8ksz9IT//b4Rr3WY6ReZcrlfED8kYyr7seAMEcCw1D3RvdbcnC+dycCqZLxlLSNccdcGWso7
SigxTKdrvGTdRRELjc7gdRnTXFwvTW45F/7VdEXHms6YrtLVwNSxa74aGuItMqMKkG84d9fsynFG
LMrO8rAKMV1olrEes2C7mFuoj25zdfYwSBB4LFoX8cExqk8c15Rde3PvdRPXFMTbqv6Gi1Hsqpp+
7A6ABKThH7XZrTlXaLMzTVjAaoq1GaRHr87ctu3oaf8Mxo4CVXIt6bk3ykdfQbVaiCaJjDUXKueY
zw3e6Y8yb3qyPklgh2xloXyZ5s5v+aP+u+9oAqe7LUi4JuUM7LGksabMpeHCxdywKbKuvk1/1IqT
R6NiXPyoG09rmsdpBaOEHBMNcyCgTOpljHMEh4zZT7TWfDs6arYfPXaDG38RkbV4pHslynXZlTR4
Jj8K0Ie5C51cGW05ND1TkV43UFs9w3IxMM8d6j28/qd+7lWHqyq3EtrMoppb1wGHTOuJInYOpLuM
Pkpi2GlabEhfUSyuz9Xt2UCYyJr73BX0MYIZHktgkmcN1RugPzEiD0v2fdYT2CPmIZo74ttIUOfZ
R+qhDn21hFGfryzDHl6JMguxbKRef0Qyhwc9xbH1bci59Yezo6ucXmNK6nt4+7iuaHtrQrMnCje6
E7Pvudk+6EpK7sNwLrzPknjajmNsjmutlfqLYbMbPcd1qeWEiC3nFp+TPzvwoddaUoh6Rw6A4KgK
OnC9XVBkH1XkDOStWCBAtZQENl0cUTi2sIXu6FXDI8YesB8SUd1TZKSeQuI3C0fB7Ng2hJI6EBLH
HjGIlj8w/+NOa3KfJnBEFtRLM1APWAgL8gXA6reM4fIPovjyxUwyIPV4BLUvaWs5p066r2YtXN6x
AukoWboFqSnLyuZWr1SAUkgkeVZpgluSovKqG/AatyHAjmoxw5Hf3AR2w6KpUtxQHNAIWPpD9Q0a
CE+H15JePfLgcTCkzqZ8D9yueXAAgZ462zJv88FouHP7WbW2qg54uIX+yz4L/B8cuxZsbdhoOz49
CsBtrHefNma4ZDfjIY6uBbOUpdarZg6r8okfjwx1VmkD4xofR7wTIrfB/jZe9GJi4VhSd0j2h8w+
b2AL8asF76kZ74HfdAcDGe2sTHpfF8waOIL1bcR5IJ/QeYRuhdaCMyHG3mBsTmMIupNg6lhpyHEh
Vsa4sPMvFon0PVXKOwtMeqRhh7pY85qBr0RCAm/UGnG2ghUVkgsKyyf0IeS/Dtpfkiht2VeWcTCs
ZFj44E/w2XVqzapKW4inmQZI6iAEaIfTMl5GCDuPgHaCzyioJt702M0+YHqkJ1k5kB+9xMe+2TfS
+LC6hL4APY6WiZaZm2rk3ogYX61LczhKmp8WNf0cM7JTwIybilvsp6m5RNCAgtQwHVlUZbpXkrCT
wyIJlFIn1e8juSdZPH0wzsFIXZHCPo9BkX5UJvUm9HpE1y43sheTTPeViA33PyTy+qbHN6u2plE0
Lbqx2WZLHizdxLtI1q5NpDyC/HLWQ66AHjP0o5VtBPR2HcnOzfPaCVMFTnMi6BXhxs4LvCNiEtRl
4LziqYmpeh8mDhcr6YopXsqiiT9dCxgQXU4+bgIv386RQ7wceREfozbobl0jjPeCN+AhICt/Zb3A
6Wjxz+BkRD1EP3tLW8WGO05j/2Aq7QBjjxuVIV69lNV2COzoShXO40/jj38Q8vpzQ5eLN94KHOxD
M9/CnccaP0dPfIsX1qraCXO1kd5VampvbJAzq4ly30MyMQs0iiFe/esfOqdMfjLLMzxBFyML5c/d
mKbx5wYyE3TiFHrZsGUyK06cMtrbKFTlytLRJKoJxzRXMnffEBD/+tc/+Y/5F3R+fjJjEwNSlu0F
gf2nEFjlOArlFMsAFUvgNXAG9AiCrnaUCGATIcCw+K8R7uvfMcL9CHAQm/rp/fkLEGb1/inf//Ze
fP7t5j16l3/bvVOUkfzsjvv7d/l1QOdZv5Ch5jZnMEZyySTx0frVIecR6DDQhj2iIdRCmj6zs98H
dDrmOeZzzIJm59xcUvi7QU7/RcdHwsQPxZFAlPWfQWL+9LF25rY7niRSSwa/iP6nD1eatujEgCHW
quLCnUJetuON0ZirbLC3P71O/+CxNf7y3KL2cGDi+eGQQ0Xyn35WlOP/qpwmXHOx3sBluwcJvmsy
D33E2UxB/Zqj07YKmxzgo+kS5ahTsfUisKDSjnUcBO52bKD/x2/FK/nHB3v+rSzT5mzMf+A8/ONq
ElLMFrh5Ha6reFxTQbMX4LqXirS7Ecn1xInL0+AUgPmdvTVB1K/osqHKNqq2Trvk8nf3r38h88dr
/oelRsdaQdkmY0DeE4eYzx/WNyZilRboUbhupi7emik3ZHqD7pnXhhfMO8h7jiYuleg7eiTc6QAy
KseN5BA7ob4PPlvxpsEBuMMmK45W54dH28aI7RVkeTuJuqPevOGbIJDTI4W5ZXFGnkoy+gO4/Y9g
R80OZLOrra1GX6IXLBqOhHOjGaWVWAacs16jVFXpprKLVSrsc5Dh24gTOBT3yizvoZUAkrNXds3o
yOcUqHcr1dEJqHMQdcNtV5enxjV3VKmj17+MKGygxZdT/6EVR5ebFI4F61CRWzDtXRY89V3/3HcZ
/NoRRl81eHu7fQJlQlsKBJ6eIxwFXnmDLNFGDCeIVaY3VCmA9ZmWvjOiXoQHIsqrzA5pKRSUAKsr
9S4HVvvNAB2JMRm7ZN7O9Q/jRlNA9E1vhWt1ORurOlue+9jdNNb3wVMr+KBLQSsBgLcNtYzoos+Y
WQ8pqXivIE0tmJhSX28kPZhgsURv3knKzMAd8PLwYwL61mp1X0rnjvcT06W161qXk7GaOacDdYOS
cruP2LuY1AIDzl8kwOCUBqpfD7Ck8GT2/hrtaqkl10yVO03ejBVYjCB+p55lbdsf9VC+NTCMYOiC
BF5kUXBpaDoIxttEFjvf4OLuA0eDuRwxr77RA6e6Ji1NX16unUfc9gwv6CqrUqzn01C2YGkZubdh
cIuiXH6LrBp2KEOifJn3BHUXOJ++aLaJ78ixc4xF3cVb5cwPDSMhuozjvafsq2d05iPIhp49Mupe
8faV3M6DaMupEE6DK/ToCXYkdN/RCpkkFaQ6zMxgXBw6XX7lxtZtDLfxVi1seAsT4jwXrip3eHck
5sIC5yjmvrqPznFfJSersy6ObNw7OfXefWvm9ebHc/pfver/0KvY3vj422xV/1yyWr3n78WPTXKV
dH/aG3/74t/2xnkH5GhjkJFzdeeHRPXb3qj/Qtrup20TWevveyN/4lGaRXzSMP2A3+Xvm6OF7hqw
ajquAS3Z/k/Eq2A2h/+8ElM7axHxN/ifTaT3LwlJqdVcCAx7DQP0O7r5jSedbeUGD2nIwZlGyDXU
cHgNJMOSyLyrJhe7K1D04C1WLGNQvo9EYp6yzt1WibMxNG2dnqZUHloFRMMThET6c6z0p9q0tiD8
NjA4tukkd3q1LGMeZoEsK6FA+RtX8bU4BOl82dm12GeudedK58Zxra2q7Ts7NG4YOZlu9DFE8Was
grUv6quvVddpCNeMCZd2DEgr1xei/ZjEdZxlhHzaOvMclgGhV/n7DjOKUdk3hT08VZZNSV5xCxZg
XY3jVuQAGVloRzN8AGcCNiy0Hxo32kmVXvKQ0aAXBwAkHbmbcO4yExd3beTtUI1T5Oj+rZXBg+7L
l9TmJYt0e0tP7R42BHa+9psGhpYWgZOdivVPn7x/dOzg0/DXN5HUPwcvPme0ef9xOx1zaTJ61Oy1
qOtVRKt67uWnSNUXZxwvnsTSHsdz04a31kA/9rwz//oXsP987pnPWIQddNdxPTzlznzA/1kBrQO/
DExoJLSiTBVrk9/JzYC1dNGPDpXXsXmxw8yl6mm6TevpqYfhe+JUqO1z18KOvfgarVZuJs4gS1JB
jB+NMF+H5XQaBFom9bVL8JfYVBA38ok9G/hevtqCxApgsBO59ZVYKwtY+iAg8peUI4SBdawHiWnH
C2EfNOa3UYUj9I4JhH+ynZqEijfTeLZq80gI9uyn3bGo6ZctYf0c//OF9N+LkP/TvzUv2t9KiJhJ
FLfN//7Pb4v4fHj/w/9Z/7gF3HVfcrz/ahjM/Z6fnv/mv/uHv/Eh/61l0uKz8M+XyfN7MYfI/7pA
zl/26wIZ2L+Qj5y7123nj/GagKWT+D8FQo4NYNKf0+W/L5DOL9yNSbCzav3I3rCu/b5AWr/MWrzD
d+SDGFjQJ39/DX57lnj5eDWjr/IfPFtk2P/wcJFQD1gaXVZIbqf4q/4MZ3DoAYNjlQW7UmDdhNRt
0cMQHOyW0XYFrpiEQjQ8ZH7KmJ3SejIa0/CIGU67wmB8jnhillUS+J+uDoLItHL7tentO4MymQXE
6wv1B9RD5GG6M4dSZzRBSgwYd/hkm35OC462n5q62iC3wsvJmnutyDhUlXyPtYOITvJO3KY+iXXa
flD+F407toTHC+CGobvSPBhhq4rU+EMwwowdQszvkxqrs0xtJgi9QZx80kMyn1Xm7aBd2c4uAEV1
FV0ev1C3+JVN4C7hnlg11R1J+paY6QddodMazt05se2btAAviOP0nWBnvlGsdSsgOnSV2ON3YDmC
iwSbBI0ocEg6FDjUYfItYX7P+omcmjm7kVY0prwGSKPEGZaThGJuu9JYhnaCYbtlZLwAuOKRx6Vw
zecsj7RJUxi57VXqBQhLOnD+2KYLxnaYIy9Um1f33O/kHk0iXFrxKHAb9vmryk2gRvpbDlWZ1yos
+u1ozj058xwHcnbCUdwTd70AoCsUTQwrLNI6FQmeX2HbVJACmMHQP5ABN5gWiFeE7fFNzCl4AiKo
DAXOOmq+KeHRCG2KGkqGrGndksqdeZEVG9i8C8Zud5LMNUkzORug7oozoDrN6ZWjoxdHM83iI/l+
NACTU2xmwj0HJwmXrQjcRd9Z91NutIu0dpuTW4R4g2sTe3bfOkuj5DXLh3BrFYV5sDqv/TL8sniE
g1iuGcMLfZ01KCzbJjMADqd9CW/anQDxN5QNI7TpKcDkgNt8ubQrI82uCSBgdcR9lS9FqhyGk4O5
HgJX0qih5asgiIqnuA6mW07DlC7q+U1SypTZnGHfAg9kROljan8dDRuptSb34pSMlbxykgD66Ta7
9PgjP6PW6dZJkd5JMTPQ9KRA/clT4wx4JruhPs/D3Q7YBKx7m0/JKWd2fYyxxF0KP9e2HgHzb37Y
a1tDg+gZanNvAJ7bbzC9wHUOSd29jUwbmcbSCceBm4QQyblVaRgftgiNnT5A/2xgMkY8jpim+Tgt
EsfkVAAt1AAbqiv4od5MEvUjmKLuIOu1ihmNMktIZu5o3Y4nCFovTCoHPG2gSWdGqT3TSsso4Jbo
xz3yrPFANodzSjfs5A/KKbhTYgSfEc77jQsItYbUQMoDOGoVtwfo8qvYoJDENI5U2T9jqqebO96X
vfogegognmhTjzcF5pazGabuM48xMWS19UVmPjhnHbRWw4Pb6s8E1xKUq+M3zYEes56UQhZ/wudT
BxSL5i4vTZpwZx5sOpNh85kRCxPxG0sx92Lwsb1N3SfCgbuEO+Cv8pkyC+31FUBTtEUaMW4Y+Z9x
P5BemOm0Bd2ZKzKQ5caa2bV1xyy4dzBHuDPZtugFnSnmIZuZty3wW567TVk17XnCPULumUOZN7Ny
AS9cKTMdzthqkr2Zm8UJbLWLCj5Tdqn3uMtm8i7K+JpuggS0OwHySEGwoG8AVi/xTMq3TE3YX00o
YPl2RvU96xEDs8wtN5hYS67XKHBWbvKnMxcc+1+6rRVg9qXozPF1wBbUEOkfzWdv7MA64YrXXxIn
aZ/q1sbcVCRp+h29U982Fh3ELDp9/KgM6QDKcwRTzYxATipcLps2NLbetyj8xRSyqGtZQ3dEORbC
cxbQTkNYxadgRo3WJCf2Ru7f9yp4qYus2VVAjbUkDk9FV3xEU3CtNEYmyt2ZwbYy+2gpR9IRy0a3
27suD/f1EH1nnV2VPqOdXr81W/JkxeDf6TrbSkmmiJmUviFtNKyUXn1Y0x2sT7wGfI1hVC851ty7
htbmymVxUBIgA19RPlayx71Zh9VHUGnhwtWaW98dmYr4/b6n6G8nHArjacB9oOcKNrvGw55l3tyn
BvmtploIBzQPZjBq6YJeLirNJ2CgsdQQ0WpvOxRlTHIet3zuRYexc+1tXVIdY6NeLtPAKlehUZQc
26rgJekNisedacVEvd/C+iiuPfaSDEP1CogUajz52HPb9s6tmJx7b1TxwTTTYWGF/4+9M1mOG0mz
9au03T3SMA+LexeBmCM4z9zASFF0zDPcATz9/SCpqiRVZ1bXss3KrBaVmaIYZCDc/+Gc7/gEeBJV
xT7qcqz4NTveXdfMQ9hpKt1rLmOivnA2eEaA2WMM2HeNtR5ZWfsg1wge0T9yT+AYzYw7x7RfLSQJ
oUQ9srU7/16DBvNV9d4zd4p/N8zi898vK++rgv99Kwf/Xh5+K2/+8U9/WlP+XFL+v/9FRPMf/TnD
1T8vPNdf8/j3mfXSl/NFP/pyj/FzsEyeUZX+8G7/6Mtd5KFQg9glIdj+dWbt/+HTs6NXM6g89V+G
1j5SVJOvgjkEDwkZwr9Tdi728F9aOrSRVLc2vC/LdhZt628dVemQMhyY6KXaRSPfqKa/H1hsP8ey
l1fWqO4HrdVuS8RROHbzuEY+EoBaqQ2RrR2V5i9F1sq3tqmSQ5QFwwbVEfPCOWBwZ/f9NiHW62Z0
wYTx18erDlTjtYDE/DV13Xc1dO5azYG2afDV4TGAyVgT/HiPe4IAssbonixcuW+Vj9UO66ykksqy
a7BGtxm6wVMOa4izjdUyEZg6ozx4dyIOhnWQ9dVdVQXPo8bi01CCYzNrsG5pmtrpJXhI8EuEEXU1
/OapuSNtFTxQN1YrtmHBbQ0OcD0MfXNnF4TnElRXbIRCd+Av0q6EbJ8dHBT1ZE6js+/MKP8Moro8
E+IQv/tMwNnnd/37gCUXdZVZ7NIoopa0XVwXtrQ8vDzFiEqicSPjNWOrHro2NYmO0+usyIOcQnNm
TR1C1xxfLUwwNasphzKhQX/6UhlEqOoRuj4IugY82FY6F04vybyZ8BuTXJh3p7gxgHBa/lxLtskV
2tv/HAn/k72WBxXQNf/yRNhVbz+3oX//ih/HAVCGhf9oGHy46Tn/EXTAcstFEm16hrl8wO1lufWj
CzWc5aRgtcTQhRUXY7m/d6GGzUkBkYUu1OaNd+Gf/dZ1/lUX+k8LUl4Ypw3wQ9pFw/p9Smd6zJKp
IdQGDme1GlU8byP2WiGIlwX9ko7fsXh/2vX+fvosvwgdqoUPUgLY3+/751xgnGJcrTazDURytsWn
nNmeTUobvz+wf/qdTGs5yX6eQPK9HJ/ZFaedhWL/913Q4DLjJHsZDLahZ4SaOASgw6Y2Dvgx64ss
EvJimMlzyM0erlLTBh9uXsnrrhyzAyJipDNM2KjOJ4UgIwO+kuGxF+2TjXhQQYtAFue6wjgOutkB
9Z+dKOwMj7l9CnoHUfucj95KWdVXDcE7MpyM+pzzhN2HlzTGqbdb/TrJzQ4AdEIabQ/24WvvxtWm
8xWOZL/Lh0+60fgrElssUiX0yyrK52vSgbADghQSu4ZqhHq/lzepO2unRg90STrMwLYtiwNeCkk4
0ZOP7gmnFBG0MJIEdQW7jclD4C00b1fPFkcKgkitYcOixLjqbESvK8uT7WeRau3R69yDJ3geDJTc
G80rz+Xk3gPLzup1llrRcRbafIIHV17TlJ/HGHw7va0MUa0/a0WMT1U3b0DDoQB3vPPEIm2VBGa8
avAZh1agteeJiybEy0QCLnR1nMlBHq81l8oyge6wMYiaPOLre06CAWnpCDtsapJq5XoQ8EbpXfbk
6W7zDlZGnBGWi7F542jBBpHztMuYLhvUiJ2p3U6NXDsGwkvXQF/NXMhe50VwMDGuhRnajzBqGewh
TfosU6JikBLzf1BqeDrboi7HXi1zr1xVcaevXZtvbroFYCRfv1EDw8IBi2FolOJNmNlFUXJhLjNl
Bex8ZXSUjHap7QCm3lRZu/aX32hGkOQaK/UdLHIR6qP54QxYODLv0FSERuZkfuqwvVdoXerQ7Kwb
KAqIzQvjI3WLrZXpDZrMfoeQ4lM33WyToeNDBfhJHvWlZaWfuPTPRS+OAoIGnLiICLq4uROIfRER
cmnJUxxlu97SznHeJpsaeDQyQ5+M2ibC3nFOLVvpJIdE3VXTowLVqudSpqjrLZsaV+UnPRi/ukOd
svNmy5sVvHntiF4sEAH9GAKXzWAh45r9ErlmgM1qsP1Lc4rFpRWN73HUPY3IrlEnqwXyBEPFjbT7
yBLnKfX0EEsavbYGPcL0qvWUAVseXYHzNquIOTafMwSvBOai6Yn4drlK3iPACmnJxi9HxxUiHye1
kjipQudbu8rUDl1FD9LiyAx5Y2/iYgrCqFIA3PK8A3PFBxUn53zfax2zoM67Vzo/acnUW9LarGz6
GNIWqu9z9v/sw/7FoJdzipyevyi2r4eP4Uv8tW2nn2/YH1/2/X71Te5XKlk0HQ5ywW+36I9y2/nD
Yf6LV+v7Ouvn+9VlNLzU1CZleuCbC+v3x5TXYHmGmgRjmUVZ75Ae++/cr4ue6pc7iMfMp1tDx8j6
Ar33r9W2wydKH+qhYUTjvEQj7Z+PrlSIwQvzBdECIodM3MA749788tNv6vr7N/kvcpOvq6Tsu//7
f/7pav/tW/+2uzFTg1BYvSOohjgfquSlnE9xXWbRu2oYKv31dzOXn+TnnxSGFQXEIpPWCW4iYPDX
nzSNZOr2djltJQkoR9FEfRjgKFpzmmRb8oOfdVJMdrzTzSbPB38TeJJ0v1p31tIdnmWFhNKexSOj
5mtylC6cdAQehyKg16OnpolMflU9c7MqPRlW2X3/AP5pscBo/59ePsUWhRXbWQcQsb28kT8tmswW
tokrG2bfdBJ7j8OTzEacX+gx7UWMSyCqQuW4njFVXXMLJXc2YAETCt9agqxgTtw8ZzPziNTXXzS7
PMeWvcM78i48yWCzSA49eloqLP6sWVDKl/48r4Tyd24VE57qT81BNKZ+r5U6GTMR26mKmKBJCmbB
N1Olhym4HenEt7aT7sWk3rsM4oKKoesV6zHCdSyS7MaLs9s6n+7s5mMiUmhFWfU6khyx84htXyO2
9i4q8DXcRzUgD39YTK0uE9uOgaXj88OMpfVoQ8vZmbkp7t1Mvym1HNtZwHe2GpmfTTFOb2nRe7sq
QPM0xj3qyhQBid2UaDjpb9s1YFzSKAFmrOxcNXvdy5BGemj4HcixRxvU/xmQyAwsMO2ulYzsPcbl
8th3lf8KQ8QLRZlUV77DTG8IFtMi5qxXfC3BxlGx+V47s/xaDz2hpcZJmbG6VPpM6IjO9HHLeK3a
ogqbjyUpICvdnUNblsaWXUP9Qf7yRyIq96Bwb5CS2ShGLcaNtrSF1RQfI7y7iR8fGzt4ENJF8spb
42CU3xsdX1CnEc4PVipUDV1zgWof1FR178G7+Re0dZMD6JePExtzvDf06DyS+I4WEdvPzyOXjEFg
5ETmWJ6XgmilmXjFuulZt5Y++qkFbn2fJOZ4nuNBe40xemML9BturQSNELOGh9GUCIPwealh8L+O
BHzeUTHku87Bm+9CTLuNYRc8dc0w4EiI9P8Mkf6nSkgujiWa7s+HSIv+MUcI+fOt9n34tHzdj/Wl
84dp0jMyWvIAxPDI/k37GCx0QNO1GSIhMEJbyx36t/WlC+d6GesE2B6XppJT/2/rS+cPRP/cdjAF
XR4q0/t3Ljbb+LW9WtaXQLgtj7+PToeR1m9XW5ZRXVndLA6+EPllbbeVPBAt0l1iRSwB1uqElBgK
gbNJmjXoH1hI0seINmpiA4jrwZWdts0tyFDSS0nQ7jsD0phIdGKKAkwzdiJe+mgAYpdUwrl2Sz09
9ayA6LCI+F22QrVrwP2K/PxiEksQaoPzKGKk09Lt7rEFYRMxOg7fyblvW6JRBlxxV0xe/XRN5FV0
Xysqwl3gkHxNoM/coIkv+YuxncYwb11iJHflHEdc2kkkx50OUiOlp7CrF82I8bwimMI9OhvlA14f
/6UzxZEeYd5qpn87eAv+pS/DyXLXdYnxoOm9cp3oubtDvHfWyMjdT8uqbRgs5k/9Oa7bu6j1yI6p
9H4lR4dsaOT9M/jiTUae0oqQ0Tn0VDqFRlyccC3JU9RWZy+p+RUlE9u+TmwV9t8wHWB6YBEix25Z
DsbSUcdSKnuriYXOR747BKAUjX5AlKqb6MFL1MoGDOKyZRz9arpMkra4jO0pOif54KzHJZ1dL85V
nblrJyOPotHH/G20He8iZVeyGjt/lzouosQZS3NhBmGmEZpiF8E6bwNEKwN2jnCCSKIyW97I1iGp
3rTaNZSI/M5vCEBorOxpyOIj4ApUhHhR9qZFTpljF++9jG4GrjK3LKxN2kefhTWyLK+K4FpIbCVp
7FUvXmKAr8oCVm0mFN85HS9g2iW44l2JtsafwcwGuXHF/plG2pQsPCImD8WYbNTcbpWW7QmLW646
RfQw/tKoPMAnqkIMEHx91l+nZRRmifOu1AOQaLnT4iidV2rGQ51mps74UtxHs5ivqqSotpVlis1M
Ut+qk/21H5tMKfvaOqcTKPHEyi7tEnIK5/ZakwKdUNno4ZhinarNab5kTc9W7yJuhiNJMzb5yqrQ
8YmVnz1mMOi76dbA+kmMz6qc0nvi2MRxGAIavLpesdgUa21mzzANN5rpyI3AM/owJLNzMKW3rbD2
ARejl8aoDGCnEvFdWbTcB5IOiu2y6Ox8O47s9cE95xcB++TIkK/fNi8TJteQSLZ05/d2BLDX5y+F
CXYPw+TWysitWhmAABh5xhMQOFa/q67r612vpeJqdC8iNT02vtbu5tQtr+HAaGEvST7C6Od3iENL
/yXTbFSf0yUpSVPYD8ipU9WeyQC7xRZ9r4RqT7xrqR5n2wrHS1be6Xi/OEcCLINenYcT/PhNDxI4
gf7C44/OU+rgXdBWzXK6qJrpMHb6wzRkPoRKELrg8m5Fmx4anUS7vNYfgOjhuJuo3UZUFB0x0NBc
CugEO0Aiq9Ix3mzi10963s1h7J0LAJBZfpzt+VDMpCSbAwda37gvstX580kFBI6UvLvALbeCDEeN
T6xLhztBvC9DPWrpmbs5cPiosx/otn6QsaQzHS9VWy8hgAiF1+guMY1WO+0LOy7kZemlUBKcxkHD
AMJsXpsBkJ69oYIoXRzfon5iuNjyYXIy4gmJ/s76fSVY15+JYGLQU3UJpebQ+5BkrLycFEdoQiOt
E/hpQzeJycAKsBuJTTE7Mw+LA7YgBNACXLguU3BwTW9dWZjkLnwxMvXXPGO7oFQ3aECM225uMTVa
3wIY0aLk+UZjma3gRFfBqspqMPwALpAFfwtwhIEYa5vhW7AjaOwBW7WU+vOc57i+0WUb3BPgDoNw
bNmZn1urN29hxPJ7KZsbL5rmcE5ThZtvqsPeLPcw+PRt6vUPvTy7s9WgF9QvsKjUFzbJoGgltCic
EthfECiiUPcY9xkRqq86EHgdK1A0lk0Bq8v0lXB4BWpRfTFKi0q9tVB1TOZ1pDfqsuo5b92ufU+8
97zRgiMaP6YY3mSiEMdkblUNXFeyMz0yNJGh36YVxPaRdE14atE+Ljzgq0WLkKyxvVMPcGafV1GB
d8s6RgR0VktSp5sY1lnjidzoc/0lX2I8eY/EKl2iPdtYXfOQPcxL4qdjq/jQDbNkG1rNpzTrkaYr
APqGr5PsaDTTZ1AZmLAGUQEJ677LHr5JIL7VM/8ZafyLkYaxyMn+qvS7ePuIp7f/um7fPr528S8F
4Pcv/ftYA/iLzVBeJ7hH9xZ/y4+xhr0kJ+uYWL7ZXpbO4B/FHwYRg+LPZrjOcoAX8rfiz/gDGaWJ
6s1ly7hkqvw7xR/Jyr+K1zy6Isb4QM9M9gb/nTATeu04Z3O3HfMhttdEMsU7o2vjK0JW9cfY6Y0n
n7y9PGxnLz8n1qSMo1/WkAhVkt6VtpmA4pUo0ho12R/Mkol1KPug3kUVA8FzVA5D/MhOAmWlplX+
o4xSrCy1aa5HDX1Dp8MQsa3xwXMqjC/xIK/qUn9EH7zIt0p1n7DmvBfA0j+AgliEcBTo4OzaP7rE
uh5aUQzXRTYy88NfNFYhdVvBdiDWZg6PiXvZmRCDln05n1DGKk69wcckOERyWqUJe4Kj2Ta3JUfy
fCuDrrIObjwXd7Xuz1hFk1beFQblCReCMpAi6LlNroptxvJgilw2K0tG9QeEg2FaTU0Z5ehDiPQ6
Q2gLAsh7pgcYWdlmezNNWf1hI+dJdiIYM/moGSL4qOZ5fJ8NVZGj3gZNQUyxxYojVZq7TYKgJQAQ
u0Bx5fheqY6z5shPAh776nKMi+Y1R6VyX7kmvtg28m9Me3J2QEMOgKYtjfyWuNZ3Ve6774hGbXmw
XNSjDIRbBEx57AKuiUeUP65sKyihJGWEkWFnS/Kgfm93VfIyQCP94I4jZVDvvMvCI06SpUbTb6JY
CTt0ilqd2Ir1uxIfIFIZp4V7wvDFCHuHoIq8ayREhqSe947MMIAQpXG2cq3IXmcejltc/wxmer3U
jwQ3EHum5SYmHoHWr47YObNEJ7i+HrAhk+QSrwcL5bJjZ+YCw1TeN4j02S6zLwNbWSwYKI7wf1dD
SMpYeud3UMc6yKdLcA3Xox+5xHrOBv5Ye8HrV2NE2M5gIX4p/Ccb03ceGoAMrde4xr2RYC4KvWF8
twwwzXietH06IvsJEG3uWFj38bpHc3Zy++K2tlJ8uWUbnx1ncm6w5wcvbZsnF0IRpIpAfo53tA3+
l7YwXRY9upY/y3YcmOuYzoj/KBGjCJl0Ag0eoBFlyOjykaIgpnI6kqyCes2fSRydctGdMaSziC7L
Wz8ltC2pDLvZ2Sz7VrUV3Oe2LV9a26MYqSXPe6B8Jw6RaGX+dnG5Wns9KuY3pyBE7GnQqxhOGumG
+aokqBW9kaEpddC9HiGaYquGl7ZAaHfAggDfqQ5k/NypBKd5YYh+qY09iNdssLRgHWeqUSGyBSve
2hmYxTDWlEGiXWJ40Bhb98WakZqj9ROeFu2Y0dtPtmU32iXJEHG7RSlFxsOIVQIoDqTQCQmlshzg
xuPE7mLkjca3XToZn3VTlOOljUZouIgkWzbgNKle3CUBf+o29lWGicuLDPUECxyIA8yIbNySf45i
MVEQ48JyChAf1TProD5O+nuSX50D61rR3GVdNfmbROuD9KvCxH2WedXxwXYgSuLyNfLHlhdqhijz
sq+56gMs/FHU1qs6a8CCCNhFHQ/SDJm3ozzOw5K4eblmjfjZBimLHtdSYhOlddYdeDJHGgVyZUmb
au2bViblZVk6zoerjfj8sCsGyXFAs/puBXmrgYrKmnWEvhK3Gv+JQ2I0H0rXNh4aG68gHC7D3uaZ
LfaOXjcijP3aC4loaQAaGGjc1kC5CSrFmw0ykgPS68IhxYwW8iOCRUnqiBUp46RilY8ZeAAs/epF
ytK/kAjoniovnWj4HDVdDsrMjrilA/zlNUE/nEOAAMYuUHvX6NWFJP4dkaWfU36ncbBNNXe8cUay
6O24NG8xn4HlUL3DvgyIe3WIGhNSfp2PcLSbKTn1PWgOB/z4vVGa1lOBfX5LKtS0mhG4HgY2aT1w
EIdJBBw1HcMHUkFLM8d0Sc5dAJ3+POx0hMNnSNZaWGqdxd4XiPAqxt+OGqwa3nSiil8TZdh4w43s
4A4y3eqtjG65LRN/17BhvK+MdHxnZG1/oDVX96ot1FY65V3AsTSuVEPFvolldQeNZ0QwPMdAURrm
4Tvf8MQeHhRUkU46O1myigQj1UsrdNKARG+f2MqWZFb3RWCba9ZIH7sTifb+Z4AOGrlgZdNRBEuY
Ul+8AtPUxLpydFPtdXOwNuC3/DUkq2pfFLLasPBUlw7qM4YFFWvI7WTwAwNjNL7WVaKdaZJBA5il
MOrzVFhzve7auXpocpWTCzOSTbsqJaic2h7kicwWmqmKlQjaFDjcr46m2TdymBbYVRZclW22EKJd
/wtXcwt2RnQvqQR7tULPXR/rMROnwihSXsvEQeVYY3tboAuvVnS9wRWvpX8tVKA/ZkYHO2VQ1Xxr
emhWE2eqeyD23hb81le8T/kDAKB0o6Ii6S9598oXHU/jenR6bYcVx9lVpp2uk6r+kN48X8fB7F9S
uSAqJ/rneTJyUlgD5JCHsqKhLY2hpTOrJJ83b7TWhp64N3oNgm4FE2e6MQZtru+gWGpH067aV1AE
PGAC+ScWvKopfPSNyGpXvotMyGWl8AqyX96MeeBaBycus+dKCSGuJrsnbl1P7fK9Ul3/hRAHlkTI
lFrt2HXRxLyCNDHSH4T07uD/MiC3nNw71n4P+z+C2gTLOHY0YFZCcJjpmuex7mSDFDpmw3/Mot65
sVOzgvkCE2aBURqPo9YR2wX7b65CvrpY1xRmTJOdMdlNs+o/nSqoMENK/hnmxvDpqF4eULHXZ+WS
oeZoSX2TVRXE6o5Yznjt5DJ9yMum3MWg+0+ISvWdjob7GLQefxHb+PwpNXJ2/oHbcdlM/HJIasgk
r1DG/McANk4AMrvocMpCaXhroEDYm2a0prdk0qIvfTeSoNZ1EmGu8O2GHn2c4uza0Jz2xBvPutfk
y8uwKehUUXp25VWT+fMthWkMLENApLETBulr4E0zD6sWiZ0ZpNUrhtyCzxtO3+2ozYkBwEnWq95p
6pey6lnwJFNbvmW4j042FoA3axg6hoItogbf1qKTqBpi0mvDyQ4eL2kjODOnZStUPfXIu7/A/4Uf
a1XeAlVypPaN/3Ibg2k7t11d3iOa57W1bcWMzic6nLVT0sFZm4W1MW2BXi4xp3XbekS0U+xUTHv0
SDxEDL84d5CS2Z0ZwHspFvdCS6gVWokqxeUMDLB5ZSDCVeMTxH0FOAP5Qz2Mw1vfV87Gi9MObDCW
qCsLqClU82/GiXiydR3YF06mvjUGmw2mPj+IuQ/ug6bOSIbjL7skfFDfl0te53r0RvuZubWM77Jx
CK4ZCFn5hgPG/+ipLfvVOOrEI3XczNclRJZjTMPLiKTo/T2YKA2aIvQZAr/4ne31JJA7kjnsbuUY
rUf2Rgqq1i+Veedy66xrVwyP8dwnkGFN/1pNYskZwVpzg6rHkVs9mB02+QRWMyAgQIRUcSmgo7tB
cpXK2aXIwx175VhN9oUAPOsWTUrBTWQxElslmoM0QTraBydeuuV+drfm5KdfvQmgFKWQ8xCMtNNb
wmfcW31Q7msF/DsJg9hiBtCYLYk2E8ERsVt5L5kn5+tCb7V3sIvpnT7FQMnNri9OJaE0nyg1k/o8
i67CRwMr/QOJRf84q5Hgkhnpo0cKRLImPw2fgu5h0GFM3k7TOik5hfYwudw9RgrtwRUTOvS8q7ud
3jv9qYhbQgGmRNfDxiGWy5iGFjK/SeKpnhUqBg4NKXH2o34DZ5F5mzd5uF/YWI5bEuVrUG2ZhxhT
JO1GlQIOsOh0lOPD86j3i5e/StZ4PAZeiNm8RhUUE66m+jjGln9I2npJ0BH2TaLIIXQmUwjomqCX
dA4vJtrxIz5ldBWtiQO9J4zc7ILPyrP3nWu1h1FEYtP4fb61tXjckfIFKCmZoq+RVndXQHw4/6YA
mXc70h1qvb2rih5uIiWCvTZHiYQ/qKrrsXTiQ5PW3daYtJJVnspOjfCGLyrr6xvyVSIfBhWlEYKt
6t7m7tu6vur2Kg8Ea0cGf1UQ3ybEfkHl5IVOswefHEjhypNVdKodmezqAHbPKIbuPJjQwxwyHtYq
URhH3P5gkIeer7iJsw2p8f1HxqoUyZ3K/QNYdv81bUwGtmXj9kfFAxKSLdqe2gawqF1l5Nl3mXyb
/eZjrjVqq9yOluuUbqwmZvPgTm17nDRz3tECCViFMV1tAsf9gjCAchOzKAybUpOrVkhzyyzRvekL
ndFuM47tyW2y/gykuz5MWt2ka99p9StndjAnaKnL+Cq657G/ccF2yXF4tGZlX9uoTsHG5XNIWEe9
wsMTgLLqZBgQEkLjNqcMrjVY9mE6DfljZY3AzgVMALpPd+CCbR5cvR/fcIaN16QwLZEmbp9eTLPr
7V1T2Qd8loG1wzhjc7yl4/yCRPMqq7v2KitsZgRdvx8Mq6UCHIhD03NreKXqBOKZOc5zN1XyvZ67
iyLOm1OHe23dGAs/Dz63eDeDSH8XlBukJxBvyAAWymyPgA27UneZQoa4I0mGe84nC0/QKm+bHJsD
j6jmMNstzMvKJQmi96jNJ7YC0LlzrQc95zvH3sDkURYDWamT1b2DYhXMQ73x5ASRuouEk9Pn9PpW
sVzbt65rby3NcJ98rC3ZqqwFgAzZSswKVCPXOU9js4EXDhGrGoxi05DOJxmcDmXP6hrzgaOMJg5d
uja6Yc2qX/uC4mkda4P89PKo9+49gRgrNMyypDPpzZhxfp18tKamgLzmxbhP56R8HQUzXRwVJhw+
T0trcV2ktf4YJbKi/M5QoKSW+WrGmnvFpt/46FKNlQcmCJxuNe/DYaC72bpeTiPhzWPyiPIaN5fm
12ZyR9xPyVIJY9OmFm5PAknezM8yrp2DxwToMOKgpV8YrfLayHITuwkDkjfhaMZGYiyGbi4XW4Rl
9wupo8T9aJAmAjtJ2iH3S30HqLR/M/OEA6Azir3pJK9tWmFyY+tQbvIBFR5ZB2j4uCKNtRtVzn3j
Tf2+K2fLvBDjBKfTIn+i3ZidOXsIvQtL21oIyXvcv0XpP6ZNYuq7mlvTQo+eLyUjAFlVbxPVpvwi
4D3NiMX0uVulMtA/a5KTLv3Zjp70sQCsH0NlGPhjXvqclEl7ZIIDxcVPGxzKZj3mR81LreKecJ75
ruwN6Z4LZBXdqSKna1zP8VRsAEmpcGIqgVjPewmKpgg2De3bDm605XEiJTphi4YzX9B0tmRgcGNt
lUqQiAgQGrRm2n3tR/6Z1DMghEFK4uZAfBkfuaS95Mh37VNDvOKVEVn2lzwd/CcmMzoS0a6ikq6d
XQmZ7dIJ6uYLQSxQPpNAWOexGYytEcT5R6ph1tk3PrJJxg+ECqyM2UIxlxFb5FDxMTBAam+2ALpq
xc6LiGh1kWbEc9IWDuy/kpyw3hWMt56YyK5EwA4mA0O51VWefsrjga1gYo983DsUmUQOASYkBJFO
LN0W3uSz+/OkvoYO2Xuh3dbDsxU1S6ncVS13Tpfn9xnjQBIQmVhelbQv/NsClBfxJjyYK+7pzD02
TmG/Ca0jaHGIIbVlRCRR4XBFTZ6j4dSMi/Gogtp9Zz9TP7mF4T/PbkkMp2hj7bryWWiHnW37HRrJ
biJoq6eEZYfaHqjE8y1q5wyi8DTASS7Y+JEnjAvVJ+vGF692M9W70h3cyzwi2o2mq/C1Lcxpb+0k
vvMFuWtErqWZZyfXztH4JtQ8z2mnQcg33IEFbuNa14WjW/u8WKI7SUjJb9HvNOBKF5dtTFyWDE0W
XgAWWrc8E/IDIQjTJh+SAjxcvZFF1Ta7iBgNlEcKbFl9SIM2GtjMGEQySw85JMyj8UW6NFj8JH73
OEwe3G93GFnbKw+wYWgCL62JYZ0YoMmMKnnIY+Pe9/Apsvv3XeqETFgnt0O8BAFTpm/AhGfmFgk2
iS3+TtL8Cmn37TEAk/uUEl1hrXk8XX8Nl3nBBtv6KJ6TpO92RWm6RDZPXkLygVXumNbmH2VTmBcw
zAOIldlgDUt0VeteJYPoH5vASZ8apZOGN8Dc48ecwRqzsPYAT5OSSkAmagXkSFMESbNvF1ENDpng
vkhauvnR5PiZXCN9jybVMwdBRmSeOScAr+K0BBuIMqswDv4IYJDwwkBaIGXlMK8TQqi+tM7QPuSu
iR4hS9jRrzKTkR4R0t6Ew9tl9kgvANkhG1pkWlVlWOKNwCHvNJrQCPnYpf5lOiYEvnmcnxzYkL4x
znH+z2jEycJZO2U/Iy8sDQY2bjwsCrVE1pcp4QOKIW02vrhRGq0hRA8vfJJa89zq+rATteiGc62b
7DyVhqBxrVmd+IiMJI23o7nks0SLAxn4RsO5MpZjXjyklrSP+E1mOODYZ9yQfa6Dspzci53twl/U
zM6pWErr0xkqIltRukhNhHW7rBXnvMrTjRkn840Ju7Xe+VRGLS1T0K0bnc/8RiZ2dKFwnKuw7dN5
0+iprlaKyEkOVD3o7RWnqiWBnI9brVL6cJ6Ug2ZLa7hlwOEQ8BUmrc4wCXkf58AcB/5lN5Pvtsq5
2WjBXFhO2KGxAwLHQxhd+cS3rHQlGBZNFS+YdLguuuiG0om2eWF8wrj0b1ufVWcCT95d2VpFYLIe
Y2jiY5zXOVpikpo3HcemWLl9o92QaTT7j2YyTxvhyoQGJu3xDClDalvaejv5tFFOvuYUZMShJ2Zy
yxQXKgiFa7OOlZfcZrk/7T2fBcI2zkbvsU6G+gQ5cBFMxlTSpV+n13mTP9eaFW2qxPMIS+MSgbVv
9ivRoKBYD2NUvrHQ0T6qpJ7uCb0cyMEmnZLSlGN3IqKMDQ4kK9Jn6CFHf9+oZZadyeALxVz7rqd+
8TDrI5tx9qPdhmYtPmrwypAJVMtPhFzHImrQNTlUccQaGvo6phbWdmSgcGKkY4ep5QzXnT6hhtCK
yjJYXat5b/Hg3vaNqm+jeeQTkCJ4WZMqgzkXSgILntnvISGYxojRaai3aG58sZ0V3uyw0DomUUZN
/sg2spGbkwbMhcrHSFrMLZNYER5mEIGynWdDzueaiGAXeRDS3yPTTB8xUWYah36K7+IGyiyTxOlN
R3Tz/9k7s93IsXNLv4qv+o7G5rRJou8iGPOgWSnphpCUEueZm9PTn49ZdWyXYbvbQDdwDnBuCjaq
UilFKDb/vf61vgVvv/QrkVCkWM/ZAObDqrkJ1MYLM9lo82xLIvmQcjWBP5AS46fINHxsDN19ZBYN
F0w2jM21YBWlMbbV9Q82/uU3/i1mUbNBB8DwIPIvvC5uunbNpXhLjoj9MNJBegGXW1k5Bz0TZSPz
3f/sZ/9v8lw60u6/tObt35vpvfhDouv3P/N7nsv5M243IVjGkND629Jex6JNBECI0PkrfqU4/7KZ
NcWfXdp6YeTB+cCj7rC0/c/NrPNnaYIQ/MVy8pZ/82/EuWzn7w3nOrtaE0Wev0W4RMcWX+nf+JhT
3YgMVNgC/ILm3oD2GZwtRYT5tsAe8cIArl5tt8oOhczoziFmTc/eaJkbkdb9vgHCfUiqpkNb5Gv4
GPO851K55osxFM6VGLX1FOMehWgrzANqcPKBRGxeVROOh4J/7mWOX5G8j0ePV6131s90nA0WGrXq
ruS+jEfLSSjXgeVffE9TZVwaV2aPRqYvNhBhHJfGwFu0ItKYNLP6XSRzGg1cztEqSJ5zLMHHRnMp
Ea+i5MIeEHIonV1M5v0a7gltPD10AciMxHMcMlg2Z8baROM8sM+Ecx0i42EmLsOrFzMqxG1c+taY
Zr5Zq3RjgreF5tY4uO+S7qp01/O9AFpTZFerKZbibFlWdSFTph3HTFhbJKD+ahm9te3x2j/0nei4
S7JESBxZXGvDag/A6wBvs9C8zwoqo/CECEzRgqeXsq+BarKrrMd+V6OUveqNhdVFK3qqwAyLR2ed
3mSZ2eztpWysaxasn+rmdy+32CvFCSn7rFS+gQ6E3w0kFoUmVKLiC33iYfpdFB0w/aLD1LMe83R4
5c4dPndL1nciefPoYa780rEsOSvLXXKjpNJQTCcM2PFBCpW3W/wx4jX/FUW1fsVS3dkZ35IJtNc2
5bl1W7g9FkGevicPhWbTVKB1qXub3Rhh1fP8qckmQMSaiSStWRnQv0rNxRnHUf6tL2HaoNdxzolS
pzqqLYszGBuN0hq7fsgm3herzgX2S+d7GpPijuO6PGqjNC9pFoZ+rhXdjzGRIctlT/1AFIufackL
/bbW7lmYVqekH4xvbWRcyUWCcsPKSpXgtabxjpj+zwjtxcaYfqkaNir96AQnIzNtXw3F0niZgPCg
MN2kYsvhCnTpSduh1LpQk+d2Oo7k6W7yytuVWvo04lCKVoMT9uceYsp7wzy7n2gP2IcYys/NhN/e
BtCFfT7A2d8SqTZnU95hRC9vhm6YtpOU45F8ov0amY10N+ncay8O283nsMrSQ5EOw1vuSfHOHneE
u7W4GFvXPQ1m3fqxN/iptO/iUa/vge/na09xjU7Mun62RzPaNaUyX6u+Cg+z6tmGcSV19FWJzehi
5ZQ9+/yn1TVsMSRTCYraY/L8XLN4rW5YA9Bb6FbVj4AUKcivXKg9M6+GEAl1cJuwAgp6MVEIk2P7
CjV2vFTI5OaNYdp0ZY3MGAtHnjh1b+jDs8xj50gF5+Q7s1Ze8CXQG90lxk08u+2lYu256UgVHNve
aSClU66JmFpV8sJyKYapntE7GADn+nIhEn0R86wvBlsZvKR5DUHeBlyEzFZUtV+0LV3GgxTDE2n3
ouaW5AoWq7ZKHZxtuufjE6RMMzAT+1SbHqsLVRCuNgp6fsrMFFsV1JyDpQNJGmBP4bpLbKzacAnv
4+1M/PBKY1I901rjmK8s4pd9z7iMlIunYeZeHmq0L7EqoWgvpu7p2MxDdO4AGr2YwDpyuvVChXGu
L362NLyOFPaFxpvV2KONINRGr2MJZm/xxqKIO0XicGlBk3JemaWwdkWaSQOQoIUwrfXhpRYG9xZ2
u6ZkhC+nA+0mdrHrctfUCXfG2kdYjmQ7O7tyXhSbHmI4mdvcCjA5F7OclkMblhkHI1zKeI2EN26V
0U9q5xpixPZoeNqrjEag2Wk5spJnYByx2UonF3vCCFWzNoVWX4csqaPNOHYmnVKGjvS+UC+a3UR9
L5K4YZcPsewpYRtYOWkrOt3aD9HMXNaUkjI6xb1tdA8V5LmT08z5VuUVbREON3LcN3WOrTRMKaez
jJS6gSaEP5BT/wEBRA0WDsp2igjFaqD+BVmHlPuqnlD4bKKecXfWj0A35EHXO+5QLWD070aTxQ+u
Wy3Dfztla8Oi1ZKagDq7j1Mn+KEGr71knvVdT1rzbsfePWUngFlQSS3KBbNSbpXA7KNsNb5Nbs/t
mmWofLOUaNnEUcN7EDJEM44d3N+hDlQzYBfl3oZpANdusnKd7ZrTDFsv8fgBGifqdmm23G4wEsqB
/pg8eaIIfTwxTYfPwopJS+GyaXHYi+U+JJvhC4efWpneMCKx4HDckHy2L1ratw7L02Ww73JlHzQt
43Pf8EF4qSiSfZw6mXI9dQw8AjrjJ+xECywRDdT9LtBD/UlR9XVJcxuBOtVEEm8KWSQvMGv4np2M
Xh5ptbBs5znGO93i3D+W9BL8oOw6tw7gZLFjBk6+CDmeicGhEa15TumPeNXMDPs+dRp8g3YfZj9r
rcf8M9bJfEWu5hPTodhx98/UiTNUfxd6N/0YhItoDgGMWnX2fJy9BbDFgS9NqrkcFYUMyXzX9jQo
riJ8mzvigdprjdZ5YnUjnvKi46GHu55FQuE9A1TSnkTlZXeYycLWH0a79yNyUhcMsVQ2lAGvLIdu
d5MEFkWPtJZ2z31vTR1LD7N809KyOpAypC6F2g7zAS+KS5dWlWofRd1NMxtf0WCP8QoszUbgMip4
qoNoFlVztdP6Htkx6Sbk3wS0Vb0DyiVeurxRD2Uhii8nslxKjoaA5pNmGpz7hJ6NcMuaj1dyccmu
urRMb71Ix2XdBcvFywrt4RR0ucklk4TrgE2FVhd3CPxmiH09mbMP3isKEufRrZ5ZMvMU6EnWQQyZ
71NErIogbol1Kqy5U9GvRqmy5qS0m7JAFs8Vmh1GKWU55z6age+OgYNfAci+p84OzWITyoXEBIDZ
pLsRdcrfPjhGG6MJRcFLIMeMcD2VLZR28qriYq2eFQVAdx3lG34G6hP4GKrcrU5JwmUel+S6cK32
Xuk0VgxuAGekE7D9obi5fOJBixziaJLnBJBDTdSr4owI8LDvtWTRJktdEQjvU+zis+iYaHWEF+oz
khtCo4FOEr4w3mfdKZ+12sO+ostWXGUz8op4WVqfhRh5hSqrivf6GLrvaZyZn6jvfFuhl3TPnj6S
cWmjKfJB0IefFEpme5kp7zkWcbmLZnr7Wq0zrimogUs2EVDxNS6AONoTe8+TtkqpmdQxcOWJmAjV
Ja13Drh8n0aro/qIXvYOn0IctW9DRoPRKiugKWeVl38FKjGPdqCFHzOeRdQjDORnbo3XCALUYZqR
In8Lef6Pqff/ZOpFRP+XCBB42++f0Xv2p39k6/3tD/9+e/T+LARgerAehuX+1iv517Qy7DtyVr+D
PbjZ/e7rNaHg2zaeX0ci8ZAF4wL7++2Ri6XpOFCy4Z0vmS7+1b9xfSQI9nexQ6JmAIiEbS2EIrgk
uI7/9vposMNhhO/cHW0ipJVQROtV69EcVWkTyn9nclyJyHseapvk6sL7zq2g80klBQeDjfdPHuPF
noeOQcSmu1G5l++svEvesgZYfTnLikZ2SPGfdScqurZrwH0s7a9a0I73rhdp21IViHM617CfXhFM
BExb556S8njYYMCzPoOszC0YdjLa9lq+nTx1iRMrOy2OaAZ3tq1YJQ6U+VlMJ4XYxpV3IxBU9hj7
1YsMa+9nCn6L/Uc0BbsGNsfWLHQMi4t18meI3vim7EAd5zYxfFuO3W5uy2hP5m6C6CjIyrL08PGP
XLwpdm/MjOq1CYfSvowIDdXwxFgNW4xDqp1vByh4Gw8hjpZFU067ICtIDJEyqp76uSy/8NfJSyc0
81i76hH+rPfDmFv31nQww64I7sCkkyVgUDcuW6BAHb4PTLTsgQguJf2OHpMR7c1IX1qa2ik1Grtj
kRqfTZD3lyCN4zMCJ9c4x20fsqqKDubUOmuN8lobtJgTw0oftR9GENI6H7fWOXTb4KMaOURJdNna
dz/J7pIz0ryUPJkuvOH8nKCHVkFdgDYX1hWUZVv4jmtjHeLBvwmE+w2fo/CZ4xBPs77Pj9jacLRw
btKWTrfOnLk0fpj0TvELb/FCaQXYJQOAx0ztceQq8YJcyANVsrjAR4IIp1J9uXYDqTPi2h9A8e3c
EPMjVdJw7Xobh044mMmJfPGzy4jNvkTPHy2REaTDCcHtODJfR+5ge2Xg5ewtJ7+JMzgu68aNhpWk
lWfVGEPuO0G7GVLH8A1mKiJ00Rfh7oDJrajsq673yUHV7oo3XQBkJBCHAc37aVdW+DT2OkHlwcyf
p9HIji6tT49DwYoHv4tXc+PVFFYeYdyhbghIe56GhbrEPsxmWVU/W6u98dgxr3UVVluIGsZ1Nqd8
mwxyvDJxs1OWuPdWhPWypwzoDWQ/uWQNc14zL9GFT2+BepvtqDxprlvdMzM7p5lu5O2Ep2BljsnP
GheNZBLcVZPjPFM4B4AkZyhuYG3bzUQq0k6j3chg9KS7k3eFOTezZcbKsBHBwPW2jpLw2pUivDVn
3UKdga/DpwwbH0z5ZuETErCyAzGt1ZToaye3i093TuGyeLZW7/FmWVsM+u5mbNJbiFefrT4e3TRI
1poYfEN02rYph0vem9XerWkVJM/6GNGYEOLlPGDkkimlClLz/yaA8Q9ICUte9g9ha049g7g1QVpb
pyXG/bvwf0Db41C2HAdcJuDS9HbJJruqiiLi17GoYEWXxhrC68Zsi5dszGCHlXXTXK1Zp3I6JKxw
6uZ++A5wR/skxbITSx8ud7GhpecyNIuXsqYDvHWG2KT7OrIw7HdkdrAJzOm99+vznP76bJsRhNsD
CU1LHnAVmcfBxqGwHnrTKjbK0tK3f/2jO0sg+A8/u24u+AxvQSQtoQ7xdyf+hGsGC1QodrodPnhZ
vsKlYj5o7vgmLAEnAL/B2nbC+uw0yqHnkfd46/ZjxW8D5h6HDbHd6KRgKVfkuhvAfTXswW8wUnwx
KYaPUT5OB6ce9haTH52VlKUaqnnDZb8tIyZe8JpHWAPuOk3jz5r+BRJjen47Krc56MKr/WzK1NHT
W8iKdZ7jP0v7erNQcQ9F35hyLVLRbXgdjXVA8Sw0Cdw4tjfmt8oZvDecN8Ub4b9+O8is+DDoBbza
4VRfMxa222iAsFN2g/NSUoV6kLkZ3E553N/zf51tM6v4JdHN6Dj2A5lLr3MJdErCEqqadyUu87Ph
DtMhjLBfrgarC+itMMKHCesMnjO8XGu+bfbyMHdhRnr6rhlsKDk8ZCn6BNvEM0hx3WuD5rkzWIqH
plc9M+J7fs0V55tCHIIJXZqe1JC0q7GyE8xGRBrWeCbsZ8CUxg1OEe3BbAdjHwYea/kZo+FXnZTj
s9RK+Ww7ZXEbBXVz66Z2fxTAfff01kXnoBbNHuXykDeu3/WRCzaX5XzttuQKHKUjkA3DcDcOeXrt
h0KBjs4IMESwFHhH1OgjAjYPWBVZ9xszg26pGx9WZQaPJQFpoDrZU9Ql2EwgZwwz4e45f8sFO39M
F915brBp0d88norQxe7gpuaWwTk+O+RumlUDSGVLQdUE3S93IUM1fXV2KhqL0RGqO/w3Tk3BfTjt
7XwBV1hmgY95UBuvn9NbhU3sIse58ymI5jIWmrjRILPdRcspktUB44pz0CTZpLK4mYzogU3Yil1X
vtPC6TK2IJoT1xnW0PYRaDiq2uXMCjHabIPlHDNDPbrLZ037dpcTrl/OOlLO63JojJXVx90KJ7C9
m38djOrXIclJYflqOTmb5Qx1m4hzBs/KzEEQCfw8y3k7LSfvuJzBjWGNx4J4T7SqjHp6KUgrbI1h
4kTXy/q+d+ryNAtdvdmIW36ZOQ6X88bACLE8GJLlGeEsTwscLx175uUZUodprO0dBKJ43f16BAmv
QiL3tKlDO9Rr53ESpX3TVvjL/HF5rqGZmXhgSj21d3RuN0etr6ptuzwnVZPM9NcsT1B8S+4HFUg0
+pAMxw8ljbg6UQ3dc4Z2eb0vg3TYBRHWkKU/jUf6LFre2ElrIx+KWL/F7I6DaW55i5xfU8O0DBAa
k8S8jBRQWxguCHUkRCIc24+WuUMwPgYe1Tcyj7oCicd1N4GmxlOOL8PPPG08BHaRr3AN5buK0QdK
V54cErXsQ5VLZE3vPWtdjKWCVpWl6cVmD3cwu7K7JGFu/IhKaV0pqHbvi4nOgFXTRu0Wqd37qufK
uB3R9D77TPW3cTvFT5pKuocAMan1Q6GcAwtmzdcCYit+jlzDZZNADZnfyLxKzVR72jHSCzPdFHNu
GBL8M4vZ25ze7WMVVPm1U/3SkUdJ+8fY9C8C/dP3XG0Rtkxhb/PA1Xcut2gcXvzgCbeGQ6Phl2F1
KvvHkO7BaVW1Np3X7CdvgYeYB0eO1gPWenk7Up21Jo/P70cel49VqcJ4RfNtdjC1OCEMHUfYbKIe
TgKuf7XOvDFpL7LCay3BBe8ZLAlOeLP6NMui4jWeU6zkEx80LEezLVZg8Zx6Feq8jNgy7F2Knyhi
sSrjoyMr9KbG1Y5e3Q97CIPjMXEQ4LBjN55f1TK8i0NNvOqjezuH3fjIVj5fj2S8dlQcxsdoRnPk
RXPlXTQZ6VtiSrwMQthsnpu8+8BNEr4Bh1mq3NmdemUKsFwGHyJugg3fkb3p8kJSCOjxy685Xcaj
XMR3i2FgVZi4p1YlG4EW4660bmN+jICuxbVN/MotKyogkvlLGBraZ1dCoONMNLVlSYyfK+7qjU3r
2EvZQkDqp1ZdbBP5I9RRk4cYu2iZOPPBMdjgr4aC1muXgX3DekYCHcAcL6xvwg0f01iacLspPaZy
qSywydEBP4uBobxI6vAe5X/acfIwWNN3+4wZxJcEVJ51qzJerFpX+15l1Y/BxuaCK635IiZt+thk
233fzW8F8QlTZnJpjrXlwbbKiyGHmwQFm6EfRJUaR7lJcXlj+MiitqTee/RM9ONSilODFHJwZcdz
N0jtI5qeuZ+7KtnojT29xhq/p4Ja59M4aMoHRh98Gk1s7UJJ6GyN+Z+xfi4wbwwjMIsxsn6S8wx2
nlVrW6lPxjlu8vhU4ROeTqrQynup9cZjxP1lXMfl2H315MZBYKeteyZfwGnThyZ50mpgMTEP5K0A
SOVbJ8El2pSscryE8BmfRII5vuM1kq/ax+9Z3Fvoh1VzNOIi5/PT8rP3WXAYlJucCn3o1i4/KHag
RMs2FteRm1S20b4gpb4ZvKzdVRgVuDiZ5gpIJDQBYCm72Obvx07hvORMgvEmmCfvknswsTBeAyrX
lfMGN0TfGX2c0BaspfiSsolPbTMJyTU0wnJYle0hydpXtnOX2RHfy9J70+uB/t71IOnZ2PJ4rB7b
1KGE1MAmeG+EzZTvhjiefybslGj2dp9ziIhrTfFsnw0KVIe+GXauqFvSISYkE4q5/ZgV5jNtpDVe
uomjuG76hiOp7/zQMqq7yglySCJ08ml+VmC/QJ6YH6GrQ39IhavWumOfRRqxN1wsJLdZURqXhCv7
iiiFvLBCMu7UEHfSx8blFjsSadoDVFDz1tSL4dtKPwKQBcUA1mBlhHMkbzQ5WfsmThmLtOKSo+5Z
opZ+02aBsyqyZCdjVXOKGNwxxlbzc/vnJAFXbpe0yLDSpgzjFqAa4ivBuRuQkRkIT53RX22hXtwU
c/495EHkfRS9ujCS78QOr2maF1u3qcSdYwf1K79fPLxYLN0MsxPiOywgl/U9+wAac2mP13jO7she
q1eCBcMTMQvzNRCp/UOySFp3orUOlHwnR54E0VlmgbZ2IzyiKsjyDVkyhookPHRNgryIqWtF+iK6
Y5Mr7ycRTG82sjC+2TA/NNhHIRpIa6lGs7O96zbA86vOGV+Q/eQaWVY316Wgjza07JyqUcBqFvIu
C2RKNgwV0LGnlbQJZ461xdee7K3S5iIbMclOWTBhrdLHPTOkwGILbxmB2RTBrZ0V1cH6RaXLlLXB
GRM9kcSMdz15ijUib713rcbbh6R3aGyNJ30VB0Jt+R4Mv6Z3cNNXXfJCi+2yQR3DcF3E+X1YcIiu
4BbM23554LoyYhmnp0+ZNlVQ+lu1SwO4HQ1hma1yqI7w8V48egjBm1lV5THhzAAGPWXVxo5Lh7hv
pg1ynRO7hdhYCA5syj2IvSg+WXwr5brzcv5E3+XU8QZAzaYibllB06ZdhYW5jzA77gIzb/22kxMf
lTjfFwYqd1dgsdfdNKFgruQ0GwbSqSGd48BCWA/rQXAp2FsUXvRhI8wkqTiEJX8iCk5NzrLJSEdz
o8oIFR8LZ+QQtQWbMh1R+OALNd4993IsmNTgEdAeYdVTWHKJUrz++dA7PjrBvIlHO+KaFDvczUkO
nCLXdngJAv1AjEz/yQaX6IHRFt9RMEDFGdz44JqTBgs/0CvY82zJSQ2mPwn5pa8FkI9sVadGcG9p
vXcpGLRvuat0Jyu21UFMEmWJva75nGgU9HVQW1/JmuZro8rKU6LBb4WpkuwrVi97YcbZzuqb+lxA
4du38bCuRjLDY0IU2LC8maVoou/4hJlPHde1W6gvxOfY5G7iHO0jwv6gixB8bZKeSsM+ju2e7mA4
b4X3iktkzeLQvTeK3kMgd5JnSXL+UKdZBuaodYm8YsIPhuQ2NOWgflO3/ykE0PhHV2Ebby7bYuEZ
AkbCH8TPISmMIAAwudOmqd3YViI/yUxIMNx24Xorwmvh2szG8DHE8ZuuGtZLpR9FlXaHl2b6wA9b
NZvMsqPNFCczu4VFr0TToXlWeULpcJtmC/7SL4VTSIUx0h0RCKdSusfYpn141XJD1Na/7vj/r1X7
/06cfrx54Mb+OV/t+J7n6k//6z2v/vefTu8tYaXmD6SN3/7875I8LFAXzZ35RrcsG9X7L6QNOGse
WrjrUEJmWwtq+y+SPDC1BfLv0j/LncpbQNb/KckDJAW1oSPlQx8lxPFvAUQtuZD+/grWpIPbQphZ
fi3/+NtY0CSqky2cd3nABlHDAqvjorCgL6i4h7dGv8jGCyihWZG9j+aVAlC9Yften6axDw5lGNbb
ifTPVS6NzmIaHR9H7bjP2O4BtAzQpyotpEBF2XrvMyiymQ/MdkkBT4ccwh0chmj6MS7TDrl+QYSP
oBmbwfpGV0b6I2wClgFOGe3yZV6itC89gf31DsU8MIQscxVt2M0ROcVasXWI391l/nIIrcc4bpex
DG6G7bvLrJYuU1s/UTaDs5RRblimuvLXgAcaxT3PKsRugpGk+wp/DYOoksZjt0yI3VTH06mu+/g0
Na5xroxR2wYwC3YT46WVzHTCuJKRE7cQIzgBZBBERkVWbJlOMzvtWV4zsdZJD62UVMgrS/Nkg35g
7vVlxiWOOD2qFFPgqQ3bwFwDp16mYgURjX1hbl+KBbUZGXSXlrAtTzbc0w8L/w6yR6VBetb0NfZY
ZvBlGieMmf5A56h+0Pal9mKZ2sF2js5akAQ+xst0P6NIdOuKreon5vWAsiVQLDvG4BSkRNTah0Hr
MSAYSaw9UmtCNnO2YCDtwCZ53wiy8z7Dd7fMLBoRLxFW71oFSZsTuqeZNe+6TSwy4QdzwleJSX+F
a2U23Qa7jLZfcjEbdru0gmdAQ6PlvzSlMaXUkynjHhk6/64H3gXfaMzqOSWVQXCDMGj4hDjoQlvu
DSwxS68WuojI2SVbqRve5KBpDkRXolubop21XjVBxNtdDgYvW1PiPVHRdBvQxsMxiFXK4ksatw3f
4rtKRlxBtoavr5hqm+uy1o3MU0O5DTC+GStu+c0hsrRpm0d68D1Vku+pxbmGFUiPPGR1flWiTTDU
xr0j2+Cd85gQG9tT/gE7Al0PN7cfkRhgEK/14hyQLfC7OGgemxjxilKFSo+3Clr92sDmcx9bWfiN
nTCi+qysWAHFOB3sUufmnDVNx6NqmLlVeG6m1D5xNfET7Wh6n7m/Ppn8tbZfYp3+plWCuq8otEv4
VnPeDivHdIXG56etglXVZ12PHk6wwYfOQFDEzYyy9MfetliN5H2wNTTS9rdY6CvSoX0TFnTKjDS/
1ZGKog3uHvvBjJ0UnFWl5dzVgaoaG0BQLs/rUYmvYapLao1inUxVPocNQ1wB4lwTgX3Up6WDRs88
D0P6+GkI9MJJL+1PureyvWC9cj+GpMDHJWQ16zXRwCxEVdHdanwmQBW+8zSND7ls0kM1BR26liLr
n8nOu3FSz2An1eb8rHNkmMv4w/s0Yu86McbyZLXBz8DjkJ6qNgNa7J71IBK1UWF57CvvC0q9nvpj
p7GFd+Log2zw8BEGSb+VdTBdZ+SQ27hoNYIcdn6beDbWgrAhJbCy9Mmi53kyucU7JlXKIDDKc8ab
hIesDN/4Ivk+iYS4bRMdd4nlES8kzMBsLM9zzz2DGkobs6mbnUn62W+uFeI4LxYdxWmpGl3jhAen
DllgjdMj7QlK6pireobAA2as8ojlrsp8l4kh9jvHCM5J4oz7CXoERUXopJuRtNbZbsldrxsNuh1q
u9NWi/lNvLNv8p6kqXJoZ613X87ZHbQEplQYCqvecostBICJ+ICtqkdp994ph48BvsaKP0sjsjAq
kUQQvRI7QsbZoU/MeGO3sYv0XqZ7g9yzn9kUJ9g1eDY+6s2mXM70YsI2V3eWdpThaL3ClMm4IUdW
s7NZyWH5y+Krxrl3yYXUb7xWa9DqiEmKsmnvbc752zokh1A0JaFEWqnrnRwi61YqK33UW4oOdIex
Gqdt2m+Ua3inOR+TvfBEvCd9MewICYAn8iJ8E4NRlFwF2cX61ZAnl9DOB3oCzGH+gCnT7pM0j+9z
ZtcDfqg7b4b86HNa4pvFYmW88tz2TmWTcl+37UnezYIlIfjMoYb6IPKj21HKTLNoNyKvlNF3kqTh
Pfeu4NGAUUHCQ6DTUBDDHbttrCshquZ9yHP5g+tH42Nacdc4oPO9RZmjQ+BV17YFHC3uSv3g3OWj
6ZyzZpZ+Rp723DeahQs4chCPEz04hiG8i1mEA8aiON5S+2geOuJY2Jl1CnYcLcnubYdOuTgOWCzP
VdR8IX/F0dUgYv6uYfZj44llmExOCh0rISN3jmKAKeEEpmXCTnOe3bx/pXoCbokl8PPwFNv1Xl4u
Z7wbEWUIAnJvulWwvDWr6wx3rOIIrI0vE1Q3DhOOX3x2CP0Qr2gLUG77GRCjIvVXGNt+qLXjDEjl
iwDbtC31tn9oQh5DK7qM052JaAkhPEzfjZidJ3cpI7yBkyBQ26kh2NY2kWVKCgiWKou8WVs56uQM
un7qc/aEnkZaqQKdtJuskpNO488cYuqJzmUdjHRWRpIoNHfwVro1r2ZXPwVD0YA2qAzI0lOwT8ey
vR9oi9viJXce28Trb6N+QMnKJ57XSC4nV5NXFvrFoe2pvx3nlmW2k0jn7PFc/fj/MqD/07qt5Sbw
WQLh+q9T4crvsknjBNcoU/I/KFr5l1C88/vP9/QPMLx/+AV+G9hdPC+GS9JCl6wtTXaXfxnYjT8z
vzNzQ8BbBvm/ovFMB/4dLoTfvTWu89cAhmlAU+YZCRWMWwUK1L/FRXbtZS7/R/M614i/tc5YGaAE
Pe2ifTY4WFb55mmCqQaqNd0qJ0JoesDkHK1wd4xa7RE4g3MsDTdSqx7383WoZmorgHTDX3HGrHnG
y6CuredOeO6oo0FHYRW9bZiUM/pA6kVISNo7J6WgYu0kOWFd05lLwhXkyLVmXaEZbloknRK7W83v
LPWUWnXoy9K6sD00j+Schvcet+9HFaU2zE4rqeAnFDgSZjyuAAD6Voo9Orh8a6aUeiCz9EZMMKID
CAI/oq9p0yCRuq4ZtBNfUUxZHxNXxndj5QAQoIy7frQBaz4o1xnRqBWIV5rn5SuzJBteclY873uD
xyPbpKUHD3aMXJk2mYM6mag9RXska0a3l3M/FqTRVzZZv8/E1sajh730iFcivLc1KAe1GxsPhp2o
H7BUWaRoUX7PIpuek87y9nSBz7tejAUrIukE596WJlQUu96YoRwpaRk0d9urBshTaKjoczHRRntq
tSJvQyS9R6ZNh/lUadL8Xtz34GbD+SvmxMcJE1b162yk1o23mB42UZsEnDVWEj6xf8Cpr1Te3UaV
J67gS5cE5khT+UqFU4/HF4AbJpZ+eHJ0qZFMjaMMPccRT67S6Z3xZD2lMMUyQQdiZHwk+lDvGlAQ
a+h5KSYdEba3rDMwaJVVkTubvAq8Ewj87kzTZwNd0WyKvUOAvT1Y5GOaVaoXIJQsVEzWpqr9CvNg
fMRjs5gYEYXw23dENZwAQ3hZNbJdh2WRZX7nWcYurTEn3tgkC+pNNyHJrW2vh440aVkZX9BLR1yM
jJPWJukLzdzmqG1fBU9Ny4fEQD1SlRTVvMEmlukYYBbMU2c31dtsZdGLMCoKfaCOFDe5jQt3xaeG
YKNkLTvsbQz5EGz/g7zzWJIcSZP0q+wDLEZADOzqBE6C84i8QCIjM8CJmYE//Xzwbtntzu6Zktnr
Xkokpaoywh2AwUx/1U9jxXgiE2zVN/3Q83s6/KAJOP6cProguRXfvpe8V9qJvxFV/fmsSjv+XcDg
OBK3760v4Hwc2shBW8PBqeKFWwokVBP5irzD/UAV6nUfQtVg8gGcIx1H/dVjeN8binrMnZlV/Fnb
2ri2jKyB5tHTVy+gMeb3kO9gW4gpdk/5OFcvskvEr9ldso8Jm3dAQoB5ww4xdKUFNm6Um2CdtwIt
/NSmPsZOJnc+GBwDRWFn17IE49cUnbUd8K1hczPndgNJKPgdDsqzd5hqwBv7pZuTW+n8B7OP9Qnv
A7CbsuqnJ6MM9c9QufoNF7B5K6aFdtxed9SRppMXbFoVDg/AufTbqFx3o9yRiTJb+IiCI9PbT9Rf
wjIc4mFf2SFmWE5PYm+3dcl3wRY52ywcl99mBFjGJQWSF/o3xx1c0s2pZqpgQ9N1lo3LXTluKPyC
5J2C0tkMRKP2nm6GL0B68ACtvPfDLT6Y7qYsyvnRC5c0WKnObYxuOk8HmRjuwWpL8+S3Bd0pNpfx
Q4XF8ouOnsTb250538ACMG56El83oWZ+vrEb4T+OVZs9DfiuOHEMnnUyR285CswWj1kwDncalCQs
u7HGXtT0WHSa1N8PxDOIrMbxM9hpJuVOlSxRXoxsdGEfZOgmJrzmRQT5jzobm7u85BygZRJu8nCa
Tn2sll/QzpoAkBaWiENRgDrEXzZz7fuiTYl0UuX00QJS//DZNo5M0CwHGtfEBJw1vHvh6kCiMcnA
3znVqCmc6uR8NtxpRBVhTkXcKMjpKM0MwMCY6Ufm4GXe/Cxdx3vuRM9NKM0+tDHEyfyHhaj47soR
QgttsFh07F50biSgrqRb2DJABDoiFtnBbs32ldNOXjzikEM051zDopOYQu4cOknsqzSf2XwNfP3L
3s86JqBeO1PybZcjliVlztq5a2WrbpJLFGAkfV/scISHt0r65c8pTdLvlHP+rtVm9syOmc13SLoN
x1FJG3Au45wZcdJgcJwthkwcQ7OjqCng3hmNnM5ikKC4nTkuz/04UOvhDrRwbMsGrCnhrkHvrEQn
jPnZA44tTqOdMRvFYahScEWcx/B+E5kgCWe5UyQpeLl2FLiwrd0g9JgtGalhulP9tKwJfA1XS2nS
wnPetrAPqtrdmNg6i630qvynL4t6D3bmapwydOi8pIN10/AbPrSNr9+cMhjPncGOgy1352I4L+BI
b8inZ/Sd+xz/QAQ0bwRDmIeKTh9x+B46XS5gKKzyg0N7CAq6Yv9QyFBs0josz6kzWgmPi5LFLtMx
U3aWHQgOhmsclPXIJPnBtgBrB+aw/Cp5G/Cizrrnsi6Dq2RpJpjoYI5ErbvHOgYQI3j5HJykc85O
6H0SPvF2C23pRw56ydHutH5xiEgfsQ35PLplWW5IOonfAMLjYUsXZ3jfW5YTFeXYU1JAi/nZInWw
9+asP8ahtcC4zTJFKCvL6ShxZHcNrdGkSTwubkqXhRz+UU0aE1c90o8ILANjv4fgtk0HwzrofGU3
LJksTkumm0cbjy+hSyxXQdDlV0uYias+7QOypG2v30Pus51Gpv/y5tiuaQoQ8k5UJe6NyvSPkBBr
mt9bnJyog/avkBsGydOqH2RO9kKWSyb2VZGIo+l27Qtk2QyTF5efuHf6DjzTB1NigzveZF7CBAPD
4G1dhN4XPmXX3CsGAXB4Ogg8KqQMtaNTVdpaf034J+4Zlk9IhDnIJQxqya12KZx3Gh9QlWtmesUF
YLNZaLf6US0O9Q4g6aYXTzC32bgYZn/HqUzvqtigO6BvsSRhrZFM0NvO4gXa9P0HeRR/7w8yeDKE
g+1GQoT78BnOYsLIhumH4aXGj6IXtODlXT69tmHuHVIQn3cYLJ1zOI3FN7+vukfumX9i7MDZsLSz
ZnuWQcOnkZr5bziTr9vkekQng68b2BvPneeHIFFB5M/u+Eo7sRf5sq4+iUKz1Wh1wdi00/HYbUim
cgKzpZMcuFTjtcWxjNUBee0hw8Qn2b54GCQ6cvb0byDzlvu2TxV+kdzom0OPOTI+EUw2E3LCk1dG
pZVat7ptxZtNhyWTcPTrOcqGaqCMQgVMmGDYBVdZ4i/VthGTJvsxhirdBou5YGawJTwqAB7qY0Rl
zXewWSGXZUsZ32QUqKA+UcV44g4Jl21jZ91nglXa3oxuYD1CQeH7ZxwlMHdUOWFIzBqvQqTysZUl
FBvFeegxn0W4GyyKsw3b9K8yrER31qq4ZRfxjbsAIY73LiYlvFr0eBerVofZMUv34PR46kY8RzVY
0lUksi4yX3CR/MZV/UP1RAgsLqIgkEgEwuYiFtoX4ZCrwOgVOJ1/8KwueCxLmzzkchEb0ULENwjl
kHBwaFgveHOhKq4KZXARK5uLcFlcREycPwiaspdTi0E+RwLTHV0Uq/ZpQ357BPOSb+eLNMoeE5lU
BNl+wUr40Ae13ilfsUTVOvAibJXcOGLVWsM0QMi8CLDeRYtdVVnzItCy60UEVBfhdrqIuHFSGt90
dizs0aDohBe5dxlkExlxjXvGd3hMxKoMc2cjEgP0bT6JciId56TK9vHgTRv+NN03Zgnerr4IzuZF
fOauwjW6KtIx6urJWVXq4iJYMxRdxeuLkK0uorZ/EbiRkBCWrVX3xpyFBC5DyoAbnHyPyiGxzFaH
hpQyJiJgAI3eAYLmIq+qOtGJbu/FDlJ7bLID3MyJAsVYo8X3i8m9eBHo3VWrT1fVfg3Os8FftXyj
s1D1LwI/PEfEfmvV/YfLCCBYpwGMRBgM2JchAXHl+EwrgfqaL0OEhS4QzAWre8hBbrkKVksR3vWi
xZiO0cg0dL8dpA/fcHUjJcqWe+g0WJRImy4nkac5chcOprCBIdevriZ+aXEWq9OJfQD9ckVYgwpc
jVBuVzYbf4ypZQ6BZGxzP8l2U170j43oDU0IYjVYxRev1eq68s2l3FtIemhbQehemas/ix1cvLex
bLFPDQ8mz+S+Wf1cIgTHR1Fb93O+2L2MzIp3yeoBA1LlPyQXYxing/w8rm6xBbmbnhIcZNOEqzft
rA8ocOmDu/rMBntC5I49F//56kMTbZlceas3rVhdakFahgj7q3etKUz7TUKxZ43KGm/doVdOhDaM
5Q239Wp/A+/yFa6eOHd1x2VsS2HFrpa5kewiN5HD4VgNyMz2xV6XOEt5ai6mO3P134GaDCK2cN49
CXDxJP5m1tPQpFYD3+jhEgSGia1PXhx+rLz2yVttf/5qAGQqEX+k9J2xtMV9y/KYACLS/eofLGv6
kurVVOjEqXc/XJyGMghmWFyeieVxtSKmqykRJyqwrpga1TtVymTeuWYFHGa1MsZVMusdYbPuaQaz
9tKvpscQ2/cXz651b10skas5UoU5PkkGRamxMUZhvdmrmbK0ivzkSi+/AarRTRtztV3C+nR22d+9
mNgyy7pfo9dYNeNAgkRa7Zt267W7uBTTlbGaOwufv2RDXlayZU0awJxQ/94UrzoUwFGWEdZ2/k6z
K59iuwye6QQwis3ctzZ06HT0IniN7TZ17OmmYfJCHSo7F3cLULN+tmBbRZ4Y8vtG2N8+h0HeyrLQ
ejf1Rnc9C4g76+sTIl0R1MxCBCl2XspYpRbZBFE/NEAdxTRv/zeH87LFb1IendllR1OqCTiQlwNm
pg7dvVt4pfT4U3NT/38/5kfhs9Dp/usx/9tv3f2vzW8Kdct/HO///f/7m1oYmv9hemvUDv3PIl+3
toD+LXEXULINLIXUfYhYyT/REf+euLP9/7Dxs5mh6buh7fMO+T/jfduiVdSEW++bPs5jX9j/k8Td
n3k76ticdTfkuJhOfITLfxYNfWFA76Jh7aDSvoigW4UYGrEqUogRYEWaT//w9dz/ayeotZay/V9x
EiNBiNBJrg8t1KQFTaylbv+Ah4GBEa8wGv9gFTo5UFOc/15Z+g+DVTNzmodxhyiiCZfzX2Gpmgd8
L3nq9q+LiktiKLbzQlFTMOz+4vf6M4Gz/l52wOSBElcbes0f4mmoqSICER8cRrv80dFVtrPQ5KBJ
upxFxDlkgkMlhaOiOCunXTrfuKo3/6KbnGv6L98NCSCb9LBHKsb943coAunFE07lQ5tNIPAKHZ8D
i/X5v/+o/+aKCz4qzRsOlkfOVv98BWBCD3m65MHBaVzALuNbIDjnjrgLiSDo8S++2H/zmVxa3R2u
uEvg9M/7S9nKwpvFazQkUxQBA8Ugy5L4Fz/lny0ql7sKfBGFgCThuYftP+4qOyY+QBDQP7iwFLGa
0STFm+9xqLKv//GXB1jJs/yQzxN43h8/yDUWvtH19o0zNOjKyL/HbJF44ut7Qja3/w8/jMoTULPC
NV3zjx829aLhMC/IZDvC3JacfvHE24ASF6IjYGeO//2PuzTk/vFsQgoIHKxItsc69cdakOEoWrCY
+QfJEBVOdRNej35sPnLU8U4Nh1BKt6QXpR1hH3jUlK+YVfzTK50aN/kkH3MOEAenroadU3gouVSD
0WLoBARkXBD3nd1WbA8QE+Spzy/aVhWAJWmXFAvv6nJsu4UILVA79Kfce1B4Kh7++89o/ZvnPHRD
j/SzyVr8L/fj2k44unPmH5I6tU8o+cGJjjWTri/3xZjriIZVfapV8u07YFYAfNjUvYngL77qf3e/
hqzcRK58JqN/Wqs4igtofmV4oIlYnCaR3dYMhDeAtL2/vZT/S0/hv/6kcEWFMa9yAoYKf17TtE31
yMQ5OPhxRoqh5+CjmuqHTk17/xdfLQOwf1nAQGRxdlhrPx3/b//+HxZ3WVmOgS3UP4hwsPfFYGQg
9Dn42KY3YaTnRrARJpJiwvHed6hzHZbwbezhnl95LuMxJPxzIBtKHEr3rveE0cz9dNEVjqOXd/Rk
yH5+CnUnrrtuaK4KfHcH2muo9mgtLDpRyR4eF48lAQP5WEvDOTi2qfAijLzzwZBa7pSSxChdFVr8
hyYdd26CLfkwdvS+JJUV3/Rp7t7Rrwehgk2lt0+GiSo1P8juIL7mnyhm1QkXE01vJQT8mcMr/Arp
n6iH9t8zZxF3I9vs46IFdt8YtqGL6+wcmHbMsWneMUyiAoOIzSnlILDV1DThX+/bZ8qW2ne7r9tP
RM+Avmwc4pt0lkClG1iHPpD2qA7r8sgWM38yaEm5C8wK/WkimLYr1ARBahod+U58Or5RQxq/piHC
6lBJRKmRDgeQtQ7VhvlbXYJg3RRG413lnbpzQuXc+hUOfIwOjjAwIg+Wg/44JPajZQWcmJzUC65M
4ei7ZZjNDSNt76ClKg58nHYbDEhlcUkjqV7Qjs5DkwHrYZWar0MgXD2Aw77qd70dUzveGzI7lHIc
frNl4jsZHbqqcblvmrK3bmUXQ3MixdKfmOPoN4sE3SsOyVxit281G3Blhq9s2+Zu49Zh9wIsUjCm
N4ftKEFdKJyM13LwqjVVgyk7S4I23kpSieASCQRhqi4FzLJiCDJIz6GC2cr1tpFaAXAZ2v2MvWKE
ux3injMHi9rE1oWI1drzFT5M8eGk0mQ2hLZ1RyqDGHsAX1Zvggtqh8WD07kSzBg3sO3D11FzIn11
YLlsBtPMv6Sb8xn82OWOD4ecULxgI8RIZGxxvKkYYVZtSxyZ39QtzPkGcADly2bnxLRd2i3Zfc6y
87VdVPK8oOs1uwx8AY8QomAK+Olgk6ynNdqxq58evKEQJg3I3lAoeVJh5W+cpCCeE5vTjbeA1N/k
IkHQxxevyLFWFd6D+LboJ2p4nAZGylTTc7JJR0U7C54LL6NalXZc3KDZcm2PipOHJc9pSOlFQtLt
idYK6hOyOWICmz5jcZ4wibQdE43JO0KESqJQUqzBnLzi+k7VjvEn90e5FPyqadmj3zWJ9To4gX9F
M+9vsGxyn/UqY38q5Y8wDj1rTdzIk2EphXc9t7fwa/FGWMQ8DwYxAqKrBd8+meKbAFP3NqUE45TW
CiyfIBLgaFAapkpgchKzOQY0kP0qnIVkQpGTNx1yk/Qel/gp9h0abBh97sd5SA8GWgVFiqn6Gtyq
e6DzZz6Go1EdAK0Fe+bbVoTJF4iRHUIbZYM4kbi8iu0RJ6cPTFr1udgM7TmBpHxFz7jEb7+MHBR0
Avw/j1+Yx4LAVlZyR57HvkL9ChHFPOfFXtxuD27OYUpGzQe7chUfbdNtjmnVZfvJJe/pBkZyzgp8
tF7L5hgVI71K2uGd1IY+Bw1jA95682bs8QIqqMI3HbWp/bYVhDEaDPqbxMPxiKuxhGrVM96ZKjbe
jrvcageSFkOz5cmWvr5pidr9nLAWUe1i51te89mB2qDpXjPCPeW2Eb+3GG02VJ9jEZNiIWqPpaWe
/eUmCfP3HlfCodHVtCWpw3DXQ/mqHk2zgMoDnJ/8E+U/JN442A7DoewDgByON/6ux5qisKItgJoF
vWG9wzSAHFeicYCj2EGfRW0cCf7bYrauy474z8ZDRYlUSXmEWzZj1Ihw7QroOFBYHmYipYbHmMaT
LFLC17AtYAjntfE9Yf+tRt99ZpO0HHqJiE3/zOtIeP1gWZ67H8nF3lCe+9Bm6trJa8BoltEylLPV
AWrJp9U0oK755A79GxkdghspEB60r3fYJDHz2ARFnH50buXYx4+ER6q9HxM4ywNxIxoCziQtKXNw
vCkax55SCyCQWx/j49abl3t4cwFYhpr+IW8avffaZz5slcmM9h0XdIOaCQ2gAnMq26q5bl/YlzGb
qTOo3J4DciQbGQGz2NxmGP02ljTCJxi/LkNNYlo7SgkV3wbTn4nlXOYT/su+8XdEfmNzjycSc5zX
8I3AZVn8+9KF5MnbalFvQ6r0T9uwY5o+/FD1pySfpyCiNBk/ol6+sajWzAPoPBn9/pNesebEX0c2
O5h0lNMxuLVc8vZ6plqxodKRxeeWh1BS1Kvjre2ExQfYT3m2aeXYWD22L2se5Q4UYxplWTHjhQ54
jCnnVXAA7vxSvA52hsYZGi9OOYJh4iV/j1chiPQS5wVUeguAQOyN3LlY8ZgiCfmEqeiJrAex4Zau
6hAj17HTlGBMsxbHSvY9Q9Y8ZZXv4fl5LjfFICn2SxrQaiwpwCOVNhmO2OX13FX2fd+W2a420/qj
ASO1l8LFBDIT8lOsFtSONd+8kKBD1SOzL88cXhIL29eWCM74W1ENJEjG1tUuVxpL8xKa7BndOaK6
sTkGoGhOY6a/G9tuztMYW0+gWWXELPQ+U0NxnhfXhRjsYD63LGN4RT7CM7wU+BS4NncymJlquzKO
jDpUjwvR/khX8S8aHftbDMuUR1DHeyY6mVFBlvfFccLEQlUjAzPAhDQcV+aDZBi91U5qRwtYhmiJ
XQGaSiT1OYfEsQ0m24wsB9bAZOdL1ExZcSXmjKpEcHCkdyYaYrcAb5ovG2zJVVzbRRfVZFv3VEyX
h7gOrZNIGwwDqXdViP59VlNzMzXTLVAM/cut2v5atk5LUhiLKWfD295pNMEErT8dDSuhMil5qNz5
UDTGK0AfAICYqKl1qeP6TNNtvk/bKdklvVe94OfsbkNYHAeTl+BxapNzPVfqRbRpQNFgQMIM98Mv
WY8Lb242BRubZmXmZcm4a23W5qLxklufoPKDBQFyq01MDEEFhWPjmCVZHRfpckrVWzsDH2yM/joF
Frmt5pHuG9btpVtNvsANVDMFGVRnXENhN2xLIod6af0bGzQFPzPLHtjYY0NP4KgDvViTuQ4DsWqq
maEbWdT6NVqh+VV7WFdHqzuVPSR8P9U2FUd+sg8In/PumwTgNHc5lFAA+5DuMqLHcEBn9Nm2NYJz
2FD8bGPfPjrl8zAZFJlAwtlxhKIsJmkPbOWLfZCE5LLTPD6kaL4Hh5+/UZX71eG4efcrPA6tydOM
j2u/5Muxa+XL3Olgo4eZGXX/GjA7x/0I32JQH2FHrbCTGl8Ah15tp7ipM+8pgcJOV4J1RyPJ76T4
rTD5H2SW9RtE8OfOg02Dt/Lcuv515lo3VNGgevu9xuNqXCvuoGvgTMUhHp3gq5mYNCR2teUttYVa
PhDOltXb4vxCiiujwJbEpMacIacEGtS7s8EF1Nlz3xDf63T9gsD66kmSYVJ+kgX+MTXudcrQXNiU
HelKqG1fqjyqq/QltUMAERRrBPkH5URMPUS5Zex26+BF25g2hjKvHcZ9P8zMKVcEvE2Ofydc9ItU
2ic81TICG/KY81StTT0/kR1O3jjvDMphNkR3Np0chp3M0/jo0f1yV4eJeze3vv7dlWWIaOaeQDxW
Z5p4vGiIR8I8Y/yzcHwO5hz3nzuJfWo95PPIUjb1RTigjSpN+3lcuQjqZnmGgmtCDhzTdSvlkfF0
Zh+6etDv9FTT12MxaQ3r+sYWoE51PbFXwQOGcWUU4Cw4ItC7CU3ZNdjD8IFzOy9YCvqYtrIV29hw
vTm3Nivy/ynwkjvhjOBWbfVjYOSmO/b5NW1YGODsnrgEa36bsKF3wkdsyTdOHr91c31beTFMronr
nhitSd91SRojXQAUi/rF7HAoqsFh9J638FQIdzJAx2Pc/PQN8QYWutsuinf23GoumipeW9vp76mx
ql4nxNDN7BKAVWNiHcViN/s2xhnXSp1/ZkNPVS+dHCwpTX72a0BHsw8vSAKa2iW++kFx33BgLs0n
NfMRxt5w51r0r5Ghb/aLU/bfPonoO6Ll7O48p4wYLTFZDKduNxfmTc2ZJco5/5xHmpbG3sOpY6t7
1XHAcNtAvqcEEg91GvcHJJYnSat2FLcSawqMD7aHd5CI+/3E2sH0KvZumtAu2PRPnJszS8nbBaAY
YNipiEyPw3FQqzenoOagh+AX2RQX0FreUd81etOzbdBi69cte0k1mhFGmeZr4kOdfeWXOwJOeBuA
HR5t+n8OvG/N21ZifUmaoj5D4ahn6hC9NaRtzrLc0/WQ3xROIF611XivweT+jpnN7myyl4cU9O0b
PZHdkRIJ46ltB/UTP09yT5Lbu5kzp8VUTrlsi+ntMFFWs6UqS9/iL6v2ZHDggaWEg00JTokecsln
1Jb2X/CzEbTFchKZlEqQz0Hj25aOrsxNn7b9SVc0bJEl/5glW8UExesrTpiAw6We6S5hK9RxRD6E
OWOxacZoX+SQiD1Zu9Taet4Zf8D80S9ElkZFey6Pb2Rqqz/FImeOlq9YIjre7jPThX4pivbs++kA
JBiSBELUdqi44kT2wyMVGFZEmz1dlfnYUxWpsxsxKXXKTWj8uEMjRpEuZ6lKXTU5TGIan9lXumBD
w7Fng1tTbegWQM2HJU5P7TKoA4Ng71CVnYuJvZj3fQbmBc/HAE1jDKh6D2kV7gkBORm7eQ5gT6O2
HWInsGWA0P2CwDC+W0Xyo/aX8gYnVPxWEvjnOK4eQ8Zf6RptwRxp9LScFWq4Aqz6AlPkjR+r6VsN
Tyk5i71O2Q5r6KlbFSO52ZPGgGJKRXbANNCGaqWdfdWbaEGVATW9yqinp5+Kbr+mjYCLxUnEoU+8
9Ymy4CI37duQ85qOiwZSTE3iWqYNZyuwyuC6h7l+aY0xJDeetp9QkJxHAO3mvS2lsweZOc0bb8nU
fWGHP0G0kjLiCLptDeww1Hw1WwbJOUFuIjqbtvevC01naN3IYu9RhX0aphpJVMbeXhoN7B4jrbet
DqjE9K3sPKd4CjeuamjbsBpy9/XyY9SA+ZIlmd/TRk0bDA0KhcP76U8N2S83xIfkWNDEK6e9K524
2RbDnF17AyctCIz5idvvIRReC0C3TiSlVk56nQx1voflR5ffMDB5NQoU1aty6imloI1ieJhzU/wa
cjwOZ2Mp5gMJEGiDjrf471Y9mcVejP7k7ukbyr4bbjJ/67S4zq5pUp2flyr06XIxoVPtA2OiG0kU
qnwfPbffG4DdoOl1y7NpJ+JAVoy341wIsNruU+71rJmhotYQhHWUB9a0C6Yp2Zs1pt5Cty6M+Pqq
6IbboLLUGUqASziSdwfParngV6JhKofDxKfwST9gQqNks/PL5pUfpF4qeA/vxbp20nN+C4ABDnjd
+tduGlqYc0bqnvKgq1eno3PuSOTvF+GD/BZkNI4WqaCXUc7LUxEP8jkrHIGFMzT3oyGAwdewrmfa
50qaBNvyiD9ggl7sZ/1OLjEeuW62WBMrk/evAdd/zeZVwzbxR2OfgRgRG5ESFi27Po6oekZLn2UR
Y5XhZbDx+x7CrSd1iX9kbD89YmhEX0a/ePZZf277Kuh/q9o11rabuD70fNXBNe/vtIhwFD3Grmb1
Kh6xJlQHaq3xQK9YBezdyc1ItYlIqKFGyRm2GufJBob7LYK7T6Bm3OohZuFljhAZ7gjlqmjlwR+S
XYtXeduDeggNQ++MqaBugBpk5vNJDhha6lcad3JYdAXFZLpqvU+Po9QxHCg3wBfV7cewI1qzdP0j
R8qY57/KDxV1bftJtvxWXfo+zrz9bLfHvWsV5gHp49eibUhzE6WthLte+zml7qUbDyi1FqnF2LzX
NvQFyl3gfjNK35aZL451V5dYWwsJazJ79LoaTvownGNhTsaWu4WCNVThPapOf0MSzv45NZi8dlVe
VRZ78Jl6NWViA47NFv4Ajp6D74OpYPEyg19eTuy/n+32DfmjfagDvIoJNNL3IAzyO755zsVId5E1
KP+OvdxIx2YSUG+BEcoc7N9dmijoUtZEgWGCBQUMVoybLWOHj17eXtXYHWMs2jozCXvR1BH1RU3V
0phIXExFE3bddyFMa9qbFojMnTdOjB1BfOHO1k4bvvAu7d0NdaaoWXD5OAYXAKKXUxfOmNfJ7TFS
DaB/L41f3XRukb8U3gB1KA3kNV7lcQcdk4kL3t0fMw7XqcTqVaYNf3s/kpAbCSVXrWXeIYv4/NU6
RL7QKHqu70+I6OxlQ1obsc/ftQXLdGqbGyY907ZW9Y5Q4HCHa33XaVhxwDBXBj6We9V+94t6qbsp
fKmnEW6BTubc3yS1JmhiLe9VPb0tOksxohZ2lNIRb2gs1EHbJVuQ8Nk5adCEGOjQZZEZr3o0sl2Y
rcSoQRbEG5cMZBWYqyoVUddw6pKJmx8D2HWRHgQ2YZ0q58QOliZj6D609Jgdb8UN5QWE7txmDOst
/kKMsHrsk01gpLTpMVUxbhvtzE1kGhU6DopG+uT4jgscvm9Odk76vcvS9glvdYXnCOsoPo+Ker4t
godHhyqgr3tNsRBdYT7WaIxV8qiKhEOk4rTS7IglqLOBi6nbzKTjoyKAPCcTZE1z9L13PtcSdRjc
10GF27w6y9A564mlvI/NBHswFlfn10zSud/SfQe6ipifvUVZbF8IX7JYFsMqIRdO7HwLbwVoj0EA
WY4ZAq839JI3dyr8d3qH/GsmUs0N4QP/kcGnf/LwD76YbkI9seeuAI7EENi/u1KHH8McNGxkjKoG
3bF0Jvc2xbGo/Yh2dOTxbEFPqeXOsIT1W9TCeel5hF9jM2+/C5/c7qYLdXUHmNRmxIBbjvQebS/Q
113zFE/zdDSZjDxllRtDfE8NzXun8X7M0K3v3DYvf5b+EqOY0lZNf6Z47w1n4HTcJ9Vn7obLua0E
f65HQPZUbHFgwnGtqAZtG/cpbOie2cLvtT51m9jHUXVDhZESb1JB49K4DaRO7o1FoO2CArbTOHs1
ddh9N7XdvDJEit+qpGo+aBIZ94bmm8/5OilgZyd5BPCyvMUz5BUqFHg05yzuPmzY/p+owOJHqWfM
9O2ChcDBuiU0W/jFGfx9zS1ybg0Baadq8j1dgtO3vQTj1kC32dZwQzdaBwIvmQQjY7gVFN2JzIHC
VP+RWzYufF/TGDYH2dlDZvaYY3Rt1DYq/lwQWXgAmlJ+kCqMz9D7iKJwEdShYAOIObbSaZQM7jMv
r/r3UPfNvVdDUmXYYDhkU1WyZ5uXkx82fmTIPQQssVGg3ZjUSlgJpYdJkd/i44CBx7JPoKlpq3vG
ZZSRTQl6l5uVbEpqu2qfZj2qcENKN+DLcREhBcS7G7sby5MY5+A0xWl3zkTT/srZpFF1ZXUQ1XML
XOXGpt3uWYejic2yqJobFoyg3Qnowvc2wcTmwDF5sgk4S07RTeXm0I6ysmCf7fn2F6718QHBeryn
q1o+uYPf/HZlX97AuC/OSx973wT6gpu4a9vrRPiGsbWtwfl2+675vQIbaJSDG/RRYz15z5XS/qZ0
fOXtgkwSx5hHIeLNXDvekVsVhDAD0mftSlofgoYEzkZAt3g0VCdeE7+qftWJerVCVNFasyMZ5nYB
p1Mm1oTiLlcw7Th/VjpMiV6jnfbsp2iE85Hel6PukPVIPekqWkNiaFntwAbD8NrFPOepFNSvdpbJ
vAGM7u08dS5OYqaurBFJHUROknYEKXh/7Qr0imhcJLdOVQ+kgmy6MA62LhhEt5hxbwZJ2+WGW8K+
xYaHYOd33QyIzk8+e9XGxS5R+p0ke5vvKl+mp6FSzWPKhQoi6ifFi2ZASMobtuIvtkaC7oKsmr/y
pB4RV8rWh+jjV8S2mRjPc8TdnGsaH3hnUnkIkH/rh7X3o29CErYtW/6rJHbgXXXrmy30xkOyGKj2
Rm2FtBXNP5Uqlg2TY3hEHK15Ttgj8QkYJli2t20kr1x07Ik5jv+RUGj9SyVjjGQJVCr1ZqwilnXt
dkiYvAuE8g4O/CeQ+ijY9iYDTlxB90MwsbqBNF47k5vatwnpnE0Pu7/bizRDOtNW/hVrUZ580EY2
YZIOJDe2w2z/n+yd2W7kSJZtf6VR70xwNCOBW/3gpA+Sa3DNwwuhjAhxnkfj1/eiqm5fhbI6Ag30
SwMXSFRmIVPhFJ00s3PO3msXSHK/tUrCaJhtUAcjoxt1zDKNRN6pF89Lw9SBIQbFWwE8Ozu0eWZ9
T3HbAxWxSwrcRRl7hYhzb2UjIXGENuxEzhCIR7I8m6KBQZlkmHYSHu1MZpADu0kXdt+WtCY6oza1
9imVcQGKjdNEFdfv1mh4AKtt7zxFbXWaFksj1cmmWlNt114qNUCQbBJqfJXtbAETglxfY09tU8UY
x7v6vXFH+MteniYnCFHXOXPfvYmvGuYufAEfmxoBv4VBZiBz+3hXdvabU+nqVhOp/Q3aWr8BkH6h
sI18HxwrfbBknOsYQCqP5q/dPMNVKy+0qDKu8rrSbiPN/J0QY5W0/Cx5AWqICoqNm1AV217lE58U
C3GmS9CcjbvW9AxPqZhPUlTxdd7XCfs2R9Xr0dDSBwhsbKW/FkzY/0ougQSFKagJXdNwv+h7FlMT
Llk57l6RV3Htibo9jG3HFIHMib01zbofUpMxGNfT8fu0sKW0eDl39ZitPLfuG3nUju+6Bc3OWk8I
3GTAVM4CCCbHeObNpkG+/WTRllnJJzRQneXQCrs6n4DSXPZdQsoiZg04jSBHUGrl/kDuKOsKJ2D2
+lyjsZ2ZeyBhGuRQwyW7mLVsaAebE4pzPw8UB86kjBMAyW9pWdm+Jsf+0Ggs+GlVSryN8SqVml3r
N7fO/KuMEEy2vrqvLZPuoPwiYit4lLh9Nqd1NJTUDfoJn76q/CFVZ6WBZGlSaDMsj7k7efMK88Og
dh40zpqHqUHAhH8t8qRPflrpboZCbFPPGs/0qsOVNmvHGTsjQdEZB2ArTQ+wzORvhDmrkPTrowe/
CdGny/+iz1mVc58evYS9pB69FoF5W6eUOKCDc8whc3zEh31rzKMIRjZnHxRYfA43e/jBxGvA57aq
9Wi4OQb55mY3kT6HW+g3AqW/yvY8xJnC5bmUwFi/igSBkGu43wtvn5HPxk5uRd6FHpbtbz7GWMHm
X94/vkgUj7wCLO3Gl++xZmCMIZIIM8afBB2PptQO09QOwTzn4k+TAp41Mqv90iANAteYuE04hM5g
Gxsorr3pXefKzZDN8LLU4HavcR/oapOFi7a1E/2+7rPu8devrfH13rBe64aDk5816F8kHK7BrjQk
ePYImWBRgG/p+JKQeLyneBro+9uPXnZdkb7yki90z5j/6HjK8vhc2UqgxE/Udwe35sXHdf1PU9b+
S4jDZ4bDv/9vYrEJVNUmi8GnrzF469/+7cdHHOfVW/Hj7387j99AN76V3z/LtI3/95P/BDvIPzzH
tQ10sZQkPP5sFygw+r//zYXEZnHS/sA9WCu84f8KtZ0/UGK7/ACCSVsKhye4ww0S//1vCLU93h9e
JNrIuoNt+r8j1MZv/5d3xXJZJ1zmUK6Nlu/Lu6KTIBgxOWaEY6DT9PNBr1jdkJbHW8RyAyQUJxRP
FNd6HlBcQG3FAMd5JlJtZAQd3RYMJ3Uz3k36RJC8dPDhQrEsLt156Hd0zPrbaoLaU350K51i4RwI
UedATnt55IKKoLCr6TB5g5guleNO84UA2nyscegn184wYEL2CBdIghXLHR9bKTtIT3D5bxFLOGoD
3IS+ryNXvNdMUx7hkWSIA5WY8DSABA4yHjKjXIg7pTMS4hKmtyPnmgOxZ4g4jLl8dspq9pg9G8N3
fjk8FIRjACyIrIHumXAmHwFKHm4mhHz7yeGM6UPpnBgulXhmWPDGaNdajax2yTIRrtuth+Tk47yM
V5Gzc8QpWz83s3BVoXycr4nGDfFvShT8TH8wozHftxPpcwQlrAxQtfZaDaHnIV+jVYtvPH1rGGxf
dAhQdbSWtJ9IzsZnFLi56ku/+Kgbso8aolrLiWiisMg/agyxlhvmolnv8UcNQhlXX7DnIiaagAMB
KyCwBs4eseZMf+bsYKwljbZo401qtcU3i54bfaQ0xnammkl77hob8U3I2bLa200nTprphHVg2hEb
44LmDS8Yrr37yspHtdF7vW99m4ycisana7yLmtM4tT/TzUWiQduh3fPona25Z3hrE8uPa/p/jNtW
1twQat7RSCC0k0E+BmbbNadaaTWz3bY9ADZvbuPU1a8a4jC1TbqkxQTlycFZwxD/Te/6+QqTMuFe
qlH0MWqZnVMymVvBpMQHWgEpNXEJWlkUWs7exoBXOYbaxQyhn6QKMeFHpXfAvNU9znWVPNleSn/H
Witp1H8uTOR+uTOqeeZUxGEbSc7oZ2DRr1Noq9s8I+XRrml6DvDGdgN/1l4CeApCYyJzp+vdYMAM
HkQdlzQtrblVaOAuGSdxmg5R7pHnVx3MIvZ21IHl3tHj4rEFiU1HxnoQlo1iSpjU4kyWmvHITseT
7xWJ2lD5ZLfe6FhnScxvOg26GyRu0h0bhitBSJ3wADGWge0wzOdWX5IcJJfRb5jYMb5QcP8NQBfj
BsBqdDIcY7mxzNENVJnO1zzr1r42U9z/ceWU7+5k9zegec0ghbp4t0TT8kh7SxxySQDAbkobkK/W
XJePeVyaT3aVwter+uEdL2z6KA2H6bM7HOyMPzv96Jh0WS9Oyiyal8Ysupty7a1MXggxv+FocWcm
g+6XcU4bJiX+D+owawoHipT+4GSphcgJYb5NC+UMVR5Vo2k2zIDHPCMubiz+nKNUXrutJV7TtRUU
f3SFRtGNt5wKw4PimH6WFFX+XXahpzbVR1ep1xx1nX70mjBa1+9k9hj0z9zp3mLrfo/lNCFEn/T8
YWl0eaOK+STJER43BJYXrU/w8sTvqTVjQC6I8WJRNWv7gWoYnHeeh1eUE8O5Yo24Deck+sGcEHGt
GGf1hBOR5lrH0nxgxk/LDfiI9Z61FRV+5yGlw4lvivvho1U3DAm05NyJbhkLlm+itXn7RxTAm2rt
8ukJgx+frh6desOdLxwzgsYB3GBBXdl7ga2jpLKTcN7SkSG+QPAMtK1qduCz6Snaa3sRNWhTBy25
8kbA9AEso3IpFEsVDyfXYEjLyIWXpEY1m/hub3a3kZk3e8bRFIkjEVJ3KeyWrRAoLvEGiSPg9vA2
ym37JWxpnZT6Er5qU3en18V8QfkKpa3WVXqD5jkrDtXEtHnsFpNhhhUNZ9ncmsi0NGUSf6msC5G5
GPSajGGNIbz4OnNm74p5iI4Sb9GGVRNsLzfwOKMJKlxPwoFOGygeI+fVTLVpO46RPBpurN9YJYPo
xPbEBVqZAinkUOB7Zqq7zbLZuy5KpQ4jQ/bzLG2BE+Gtx/YMFiTRtj0AZg16fpM4RLV6zSWvgvkg
QGzekAIVHc1+FOfKC4u3uWu8Nw3b3x5IG9c8WVb7HSSa3M1VYt6jFiafxS7l1gUifEEnt/6GVG16
8xDuAjaznJ6UGS1rsOKNU3sAVYDCjAMt1k6jfA87gHA0uqR7wPRn7cbG0lRgOvhr+3CuLtKJkBKG
j9xRZdEul5NT7fpFKZQOY0ZGoq0JnzFGUe8Y6LPfurXXXHkwZOheGw7zj3gapzdiLwFcxgU45rhX
A20ApxiujWxA04ZCLSM4ppDlZYgfalcOicKGoXCFefQEbkrmCp7fVR5QxiKVNnM8trpyHJh5iVFk
V103kw4ZF9V5DIueGFIrNb9LNCd0asxhoqK1rOToIXDxdibF54OQefLInp0lfotQmCaTV42vjL+c
IwCceu8Jx3vw4laAe0dxRwYCDSQkv4N2zBNmJGfJ2JX3Vtms4FgmD0fyDnX7GJfKeqpqfAfB7LRn
SYe1doPypjofu6k59hC8b2fdNc9tj7ka3TkAnW60Dk6W6bSUHTfEY9HdkM/QPyFKrN6RZy1POnP9
PTwUqGzYLIN0cctbL2xssoksZvVKdOKpN7HSbXooFh7eAtsJz9K2FpdJHCdXNIGyp4oy6JIDW2Pv
STEj2KbpvPzCU4P7wqxo3syJeNYhRtEWyGBDaTaPc2Qjj2pr+54Q1oxJepETGmLVHaIXibAhFf1A
PypHfhU7Wf5SRvr0aLJ01uht2vpIPqe3jZEyMq9ZTJApM9WISKrhTCmSZcxVzh+G2i4ZkLdvtDRF
05ZM46uCiJWi3rdpOFkye3FVi24tHiwXFbHuXllqiNHEGfr4g+mYtx0wTbQcjLZ6vYZ7WN1bSQAY
FR2P/9BnzhEUwL1N3O5+8sY7Q471U2vTix7tlgA0ObqsWCl2nP2sdWsfN4/yu4TH5KmZ9ZkR5rgc
EsizBaBFI7k1F2+czwfN8VI6FYyLtiVdnmf8IerPWromwh1WdUJ+c49VPS3CbsCWgXrHpwuK3j3K
ZcdcgNCiORwcsniRar4kDb1FRvHMEJTJ9rkPU9PwF9yRp1SVvKlepcKgUpp2ElVyn+uRPK2hffeJ
ToyIX9F7PBvsaSDptJqZy+qV9qN2Cv2+z1LrkOaKrbeK2l2kxzYjzdG6n+yzkFu+A7i/DpCcS/Qo
+gWgQXs7FS25EAAh0d3ExVlhENzGeCA6dW5fB5To2DYS40pwVIbPqU83YVMlF9mSG7tMS7TY7w32
WLDKZkyNCkgzGMPK3JGKmF4Z89xeRAiVMiYZsVMcwI/0l+1HI7KlnHl0Rgew7dJXsRWYqtTEseGA
+IjwQrgB0sHosWGtYwdTzm0tJxMqx8ApcWc0ZQ6WTHM9beOYHk9nu3hXk1LxKZK9hnCJWp/cDDUv
5247Ns8drQZ8HEKRVyDDemOXo3js0BjfsNhheivgPr/wAus7S5Fo5xcaegzemfJOLnN0WWcOykuu
0wy8pXbPTX7xd0/QYUWHQw5MkHHePKPrzMgwX0qPiFrZd/qhLnpzZ3VWFx8KCCglq6YytGAgshmH
S45GxF90qnmI9JGFKr6TyZYJM31dshG0t5VddVdGITCPnjN7UBe0H4BDDC+VFKoOGsQnl4Dn/IYe
YO93qcYRR9mjfu12In/pspkKDW5dWlx3Zaxbm6FpcidwYpusXU8LGWkaI5peXy/jzkKLaticNHmU
iaw3vacQmFC4GWXoYVeXPKp+MdDLP9dyQtow6imk3WIxnrpOs6N9L3T3CEBlmv3UjJKHSnMLdVNU
rSI5Ia3sdyiiUbWvERSpXaj3Mtro0iVFN494OOiqrHnHeV4RM+yS9cuml3vM8111yzsz4dcpyEfp
EdxB3IiLI7KsQzsU5ZHWn/3EsuTcCpKUSDOBDoeRqb+bVdZlnKaWJ2LKJDrrmMAKlt+091uAz4jC
G4HS4v+3SD6aHL+Lj5Xearz9r33sF29ZF799n378qH9qkPzj5/6Jqbf/MPCkCw9jHybRn6mXdMR0
odPKxE2ObvM/2yOG8YfUHXy5lqQ/sjbM/rM94v6By9nA/45tSprMD7z/TnvkS4QiBnaPZBUpdUMI
jruGt3aMP7VTGeOHjPlLMi0n5K5Ftwc1k19ERftKoxvistSDTNBmSJF8hG60Zgrqj2Rk6hdVNz5b
U/oy1C3By8ua+DoOBxBKJ44aRGUIIwmqAdFBw37rt07+3Lugw1AUP3MCQ7WsVoIVCPBBUL3VjA6n
9PrTt3H6R0P038qhOFVJ2Xd//9vPrZ+PXw5brkHPEb0TutwvvxyqPzZvhSdiLtLAcIZdFr6XbX3S
xe/a0l8/yV57mwLRrsFftu1BTf18GwF3siuTchigykT8USJb0/AxoJito+DXv5T1l+avvSKHmaPh
RONv5pfhC7DpqdAm1LKlGL/JsJEMwMtVzkvBg+o/HCsYoGLMAr2BxCHHofMhLYwbwiBjJoVTf1iG
ek8z5oX/6r4si0vNMRfMxu1zpE3HSsg3M0ZNXYvAEdWf7VwoH8wa233ZwNSIAP+S6ss4XgeHPXRn
7ARIvMds3qJomII4VG9iXF6aJnnlIEC5kOnO76YA6zf3UwOcLqPn6I4paB06hvkl/TIEbsZpHvVG
5br7mIwao5gbv4575vfEUlXPdSEgKo/EjhLttEbc22PxPYdV/esv4+ODfr4QaRiWadHdhg7gfhin
P70/aCHnqIjgKCJboxprGmjhmnx2ow6etJF/ywd8Gym47Tw/tsNyXznqhgad3Fs1Y8PCM2+sob1b
s8Bmp9nbkXxb0ui1UMaOCvf2Nxe7TsY+X+wKqmARsvHiIM9iCfn5KS1ThCxZP8dbXUeb4BA3I/Xp
nr31rtHEZd0n90hZz6hXDwueyKTRH7UYCd9g0zshi6JdiOk0GBdzPKIAhyclxP1Ut/ZvxlR/oV1w
nTSUYQXTOfYcVrqfr9OJGimSRGoBwsy7GhPrbirAUTbTfD05w5HxLLnMKSMcW/T2JmuX17FZ7nCc
bAfafb++aes9+XLPPl/L12mjjmo0z2UeBmGJrxORfOYZG50EIbrr9Ld+93Efa9LXzxM6TxOSVeZI
+pcnW1ph5i4EBQdWD5aLUGHCZvo2GIqJp8K+Qzti7lykU8FYcVBtCpmcRKzObD1+lcqC5ImZdhtN
BeIRr3zmgO5Hnbcr0u4eQV12JIaXeSVB9URiJjdeoQ/wtzCmWsuF2+PUStGlbWqjbFD+mxzlKwOZ
3XCEIUFPuHTQidvNRd7gcQphfqOf7LoDdnS1hcoLNhQlzsZsI2vbW8vp11/Ez0ssMiUeCoa+wCMY
QMiPwcXnJRasZd5VPV/EghdwsaNdWl+ByEC0efnrDzL/+pqASrXYFJlpsP86X7YNZxGNWYa801YK
/23MfmBrp2WE7M2HYzEQBxI/QQS+sxskhIO6tZT5EuJ2oWUTvrZ4DkunQ7uxbEp9FSSQd9K3WK/y
/a+v0/7ro/nzda4Tt09rjx56MjJpvRJYJy6UMe0Il0t9PS2eQzbojdTxuMT1mJDLFiPBnMvLdoak
5tbNc7QgowEYp10Ju9O289xYB8js4yXtCkxz5pTB7nXDfdQIG8c03o6Bxr9fN/0VhtVxY9cD7a8e
TLJm1lTTHh+MCQ8J/6JyQGG2CdwJoQJCCCzlZj8QAlA9zX36Fq72r7me1CucpUcEW/ArOTm8F8iT
SZGgxAuHJjqWolp2WZw//vqe/fUh4rTj2Jx62KYJAlq/+k+3LOs9jhtW6QWRE14B/mYRHP3Eolyt
zd2vP+ovgycpPs4cktLGsmkgf9mn51Rvhs6qVmjZYp0Pw/JErLd1rFsVPRJgbG/ypgF4qS676D2S
qOgqxCEbEAPtZuqrNkC5IvhSnPZkeOo3F7d+9s+rjASQ8kF+wfqNkuPn+5Cno1E4jGiCtMCqRO/J
0WgBPfzmDnw9qXAH0IuyiEk+wzDX+d/nu92aWTSMIo/ILUGYOsv5oAAkBaHT75ckrgKgdLdgdes3
KNMP6aRuHFwMcACR9NkolJtlpdK0SbmV3XyCshhf5BrarTakhfbrS/1XVyoYRIKUAoBHmPjPV9rT
b85xhIeBKypWlYRQo7RAh0FcdkReykbEElBZeHRJof31J3OS//mbkC6nGJg40mFXdr4uNqTb9ksF
bSAgX+4xnCRLDBhyD51rad6OCmsI9M5ff6Txrz4TX5spbI8dFnb+z7+tVyjUPZlDAH0T7rFZGngj
6/m8RnAb4Py9qIrhW5yND01sv6WJeDNX6nCo/dm3SeTHWlVduXP5nhILZFTST9L7X1+f/ZcF2DU5
TOPIYBFGTPFx/Z/e0llrDBISey2A1RkkKfZwJ9yFKa8LmGeBAH/Jmaz2+2k2yYKMz4dFvNIFnne9
CF/aZqF9J+xbcxrf0zjeFTOuq7GiQZclp0lke7BybFXVOlSpvgn2260cot1IAMlZxb9eans6TzOr
wRfaBWoemh2c/R+KZtSg7BcDWDEpI7uxRd4VhXTTV7/6r++A/Mrboc0mKFskh1zeHfBCP39DZUIA
p2vEMuhGeW8Wzg0ZHQdYJhoG0zkn2bdvt50TX6JZw5SOeDpnTLVpVd5t+6i77dvp1m5TNgO0Xz6N
SH82WzZ4ieqlAP9IWm9QeIQWGRbNrK7vN55i8W4m5rwTqAgQ/Bc4MKaAPJE3YpwB80bu3Wh5L4aZ
XBqRhXuc5OKU3YDuXjDpJCEvw/IdiSS8bLO5aockGLlQUEfXeT5fzGl6kTEr3MyN8zb2faAxHcJv
Ne37HnsdvOeGGmQ7e5mkp4/W3KYnCQmg2VaabqCbgqHcF3OgjGzexSBirFkgrNONc9Opv01tdF3l
z3Lxtkn/4zdfxdf3E/EAdCxdUtrpFqzKn7+JQeB3lvgmA8uEh3JwJPOQQ0OXtvrn0e9/Wonyv0pj
gvT90+3+i77k+NaWaE6yt5/aJ+Ljp/7ZPnH/cNb1USeqz8SL7fIm/ENbIu0/ULJRA1qouBzEVp/a
J+4ftmPgNeAMTnPjMwaQzooj1wWef2PzDzR4/v3//ISF6r78/88Nhq/bBh4izuirqIThA6ioLw+H
6Bytlr3Xk8K0CtnVNavJu0GQ0wglWQv7m7GC0Gz37W/WB1euZ7vPGziVHFUvQYa6YNZvruGHn7fW
KHYsJpf5AJrWa3+E9Gko02yQupODvvzM1Bd6jjh/BIqVRFtu54514ywf4+UqMdCg2o6nZqKfhlls
yowxf+UqUkNN2wS7kahV0xExINjonXJPdt7QZRz0Md5ZTmj6dIyq/SJGea5FvdhRYBB/S0BPvSEV
GSuoaK+nKBeBsKxvKfICEPqgNyDm+70GtAzW9K0q1lCzSN8KzdRpfM4Uc3Ob3lqzIRgoz6N1ZYD7
PCHvzq4kkVRr5m46XVluusak83mhmrv9bIniRjnVNqvTC4bj3WVWcysIOTcWP0SCy/gjS/jhiXQq
v6ia8ZslNPuh50TR+d0ANiaBuXGBBs7xifpC9ElaMbZFE7e22ZPSYOVp9JhMhndLItfMUTuGmZBX
e2MyhxtVNXYQVhi1IFxbkZ+1trZTS0YygDVq7vWkdf17OJseVN7Ka0lySnvve1/jEd2qiRUswiv+
QO5Uxz+aPGNBSKfltsNsR/1mq6yEYRClRAzA5tsjx4iP9Bqn4+Ro5YXJCMi3sJ9fzUlhXwPcxZZk
Zso5EW0tfQ72+kXS4YUY6rk8zRF1nL8wwkHC0sj+XNA1QqoE9HQP5He+GPH97WLgzH7apt4uTfrl
iM2sfmhKVw4+XTwtCjjswhdgzBSwPbvahoC6mhm/O3rVKQK/nW5iGzsDz8HQ43Qom8K3u9rrYTIM
9oG6N0HYEevLY5GbetaiiYn63jeVAeilzl11zX83NRtzKo0fjiZhtHOChMng9N4pFhOmHn0EYesP
LcHujqH1Z0M32sAiyiod9xHhivikAK3t7VjOdVBFtfPoqJH07yVVBM6Lcc0ImXvX3Yi2S2H7y1qB
ygUyA/LJqS+HIe5fQYjxIGWN/hzpVfwj7GX9jTuT3HZZ6ZGA5+DGalSusDjbQ/xslwVz5WRIop2Z
luCOKGHHE3mLfAonJ+NATe/hrcWr+YpXrDsXBETPfohcg2BnsJIEDFuG2prJbO5SwtnuzGqxbkv0
NU0wkRizcExvmGatg7tvlPyCrTOaahpJhvfauVX8xBA4d7e221aXSC1gTYATFo9jbwDZGQaccYOV
zG9F1XcPJBsxnzLLVrzhToTKW0smH4bRCscXedpCoTEa44fWJcZd3NfF4+ik4Y0g++y5HFaiBj46
2FjmZOn3BO6BobIN0re3RL0Vd5VoMCsrpG4bBO1AlsNUAOrqCL2zdgkorJT7nmvYDWdi0yIaSMs2
1k13j9p9gP4DDHoz0k84AD4CZBRncXuLoKVhbBvp+XFBlWBA5wlZRTJZkMBe5JMGuUF1BV4bN3tM
lQZAGRhAqmMow2qv6y3yI8Go5cCMG9EGunSpWAlNeTaANRw3Yigq3vjUTU9akccns5fOgPXZkZm/
ALu6SZAiPfKVYrSt4ftshFuLbWiL9i5i8BvYnBe3juUUNzn2+O1SMzVHGjI3z9RzRHfMLEMvE7rJ
VxZzvlG3LjUELdJAAGu78Nz9Zoyw1UfIU2pSxIt5wXI54VrrZ65Uq/vzIRIoDLnCNRFzLFkWxhCt
UJBpy3g19WJ6zPV2zRC3c0yE4eiZ9UEH5vhCGOZIB2hwnBpzpEaff1J6St67OZw0TF1Y3manWD2v
0iVls7Sfp2KpvxOT1Obg1ZA8bRLd00hIp6uz+HUek4EUuZSwZ0aomRJkmpVdMcLTYzjt0RRvQdla
59Uoonjf5VbvnSus7RiXBoO3C4ZiQrB8k2pvE6FAIZxvsD/bknbLriu7Gm1IR+y5bTVpHpCshUgs
tErNRmOTtgA7qgyPhl1pRUbzQveCJqyUg5jLYcLgGg6JHXPrDhdtVxf8iLsQNzXWfm264SVPUvsq
iai4xOktH4e0Lc5JHciOZKmyEOsMFw800thBs3JQT4VrsOhFbjJd2T3waFImWKmXMuOkqxA9NniO
bPm9gl9wN2cmNgF0RYRN1CugXQ6yfVfDGN+0wiJpNCnTfjsSGYpnezIwdNSArKKqeCoZaZ9HmQsM
J5VsOxHFMtHiBI4VZqnjCxi6I+4Ua2tx5bjS0qthisMN6v1VF2oIk9xMJ7+yw6EDhzKFVQxTNZF4
SGrmNAfU4ViassEN3/QIwMZmEH2mLiqhADi6YoyfdCxxfNFunmCVn+eVbUYPm8F+rJ6tBfsly299
Qn4k9pE+q5eK/flCmNGM7Ck38xdscmhijW6RgkJZIIwcU4loDaZ9A+lKkWboC01vX6fB6U+oM8er
cA7NE9Y75wdjaQ34ebI8OLxI3zyhhUyNdZGgC8r3pr0ms7pVT/O+zfv2+5KMEVGtTScd3/M0oHR8
aeZNYjfDXVXBixh0M8uhGI7yxSFE9X3JwiImvLuByGeQVcONA+FLmEY/z3iol5ngF7+KEJMSXCPe
2F2SG2Zv8cyyVRfYysyhXfKg6mtiCpCbZPJax6jY+Pa42PNZLkuAFJrVMvVpByeYrbzjJSBMYO40
5KymF15VY/WEwSsmPJPBdJzCIkuKDlMPB4Nm8Yce68eRGDZxJxYrnvxGObnwC8gXuzqetTpAo7cH
v6hobeMsTDeF6X5rzN46lqAlKaekEbWIUYnObDRNXAy28QIOuXkgzd7+081MkmGkzmO29YBhoJci
AhfHMIKDdxcKICKagQERmn/HvdUtEaFVHS1m1m4WhWDX8KrwdlrDaoKdrJaHZizIatBdmBDw5Gat
Og6jbT9NfcMTVRCiy0Eox3NJO9qg9al35cZF7UP0Qj8b720WAmcwII89J205LijN7PmaVn9nBroq
xm2cqAjRRoxs+ALcqTpHXaZB72kHFzeZveK0Wne1LGQ9s6URISexG9prpIlK+Fan0jdQnqwCnlmg
gzEWzbjD+Wvbh2isOZvYxjI9TNkEuEZpKBjOECNaSJCp4kP0v6mKLmkzW2Ra5AtofyTQzN6XvIFN
hFTqrBem/F6EZuvPdghZIsuDtqlh9vSG2Dkkqj3RkMBhri2c2AhJNoBZYhMcdUWECnYe3LQlZIxN
b2jflBHVL8zFUHiX/mRrKPe8BXxp7xY7OwGk0IVIgYal5sOw3F4PKe7PSDhxUKxJMSg1gzVz7RB5
zpxuFAi8m7TWNKQv2BXNrs230gttttyRDIXQIbJeDu6yc5E7e4tpPPEkkomXdOm2HROLN6yS3kkO
bXuRxvNE2miay9vFUAmB2T0Wbk0ZxSVSNO4fL8UjJH2Wq9yylnLvkvnzFOJdvO/aPtaDZHFmFQwi
6gxcRPXw7nEa/GZjGRIo5bqYXBcrBKNfUN28W243tv6ixfG9XRPth73ctC8nHOSbxPywUJs8hZsM
qXscGIOa3hONUMJ6aYq7aWFR2dRlSLKwViiZEIQQxRwq+342D0ytZuS82azObR5EDr3k71AHsNNC
IUWn6djKitnGyGy7KjjNF0GGiko/c9B9biNDJHd11mi3lVoiolFoVyyFJCAW6orcTiby6MpLYdE5
zTDpRDYI7TzLQ5LQZ5UwrJKx8O4rpFdkqoeKkyAbZd5g/hxzO6iMBmROtJDvs0no4EOPsBW3VtrV
g9EXmNUS8ki2JI/px3ltj6O2XBU4EerAJxRvXndeoNL8kcmoJTJaggDalFrBEdEgNZy45AnftT5A
H5s6AA1mEVUHlERzfQYYtXwuqYxhN1ht+pbaVaTvKGOd60llICQIDcuJ8ol0g1T4keOhRyAYg57S
JfphnEKbxcE2UGRD2W5uWndKR78veAzhIS0csAeNMqezW2gxEv3wkVCsftxhxtTvJey+zaTlPzBS
z4ASZjfGm2fIEOs1THDgqSIyzkU7OVcV4lFgXv3kuSSru/o5slkeuJA3/6xfW+KdFdXMZDKifByb
vLnNONeo6zG8nE1u5NS+VqXfhSS4HaxMYhypkp0bkZbIXhe8e2RnF8SBX81x9hCToktQoiG2lUVY
MT5UhLxaH5jkvJEeJa47XoDrRAvdrRJgewEk6tQNHD/aauyIUZR9th3AyW3wHMCjIWhjM4+gnjIL
AGtJKPkN8vHiVOC3DnqDUyM6LAWXf0+dnV9UJbRcyIZ4mRXDVjWnArQwuJKyyg8DG5ufcr6MCGU6
laLVH6EammixkBUHRds9leE4+H1iitsRYw5OvVTtnBKMY6zNEzLYQRyIUfLOQhkilJtqMxpZoTwS
vcImORpGhl6wTdxlq7f5GhBceedgjybbr8Bn+guL9w8XNHXj6t17DUHkFI1jv+nH0nuptNE9l7i2
n00ait9dNlBfcoOGlnC3TW8POqGmZB07W/7ETDsta7/Xn6165sQbd/V90fb6wWxCt95MnjLuVyPG
MQ9LolU9rSZdLR4fajLbXsNBXzCp6Ep7HwdZdq9WRhnEASAZzd1/sHceO5Ir2Zb9lf4BJkiaGcXU
tQ4tJ0SopJZG/fW9POuiuuoC/RoFvEk3GriDHNzIiPRwpx3bZ++1i8Az521D2x9FXdIeaX+XIQ5X
LFbfhtU2rMYiJss+8jnAktEymQaqKR02tHxCAoGyf8dWwEs2lld3m04NeBgjiuUIzMRWGXDNZFJY
pdczs/KqWNHI7vGg8gYx0J4uCP4CLuSx0/KjvbXAT3vqR+LAJIxn8KYgUEobggKMJDdlImjftEst
02XldqJbiMJy3lt3sH4qFdvBStp+Oq087fl7v/dHH3TmoMOlwMzGGSwy54eOrAx8cR8d9aAHyknH
2V2aINBZ1FuJ89Xksi0XMqzjO2SBctd2QtzL1sT+GXomj8TAg2iCAS/E1lHpEtgz7ARFMiXgcp5k
BXtfp7fNU9dU1S5re6an1oswuJWAjL6ofPTaf2wy/7uVz//nMnjSQub/r/TR8wcBvA+NrfbfFNK/
vu6v9J35y+cuZ2IxIy+HvfB/KaT2L7wxqKOW8hAouYD802Bm279MnoU8EfCu+MiAfNFf+TtL/XK4
KtEJIdgQXe0i/4lCauHJ+btUSWOAZGITwkP4YI//71Kl3U3e2NrGuJ7aCm6aEyvMLr126M6L5O+Q
nSwPsJwd5WokzNssvD/HjvXnBDJcI6YuNYFCXmhVvmKB8P1Lz5MFy0+h7S9RO9Z15BB7d5Scf82f
szD7cy5iD86qO9XE8YshVRw+mJMcyjuW+5lmrRS33CJlwTa7KZzAXgEnofcwiSrfo9DOAXjqsNBn
S5TbnOf/GCknpBx3ya4lvKUt1fqNW5nW3NGxucSnnb+vrxODDX4FnirhrnxlRQNOqgXdcenN0FTD
yfwzhqjrRGIVzXBoW8TtVaMItV2CP0NM4XH43zO7vyb9lV4wGCYTUO3a3NGGwJnwM0Ux+5aR5ueT
7GmNB29zHatsbscNdXJaJsB8EiYqz8idTfNnKpvsBtPx0CdxckO9NMIaatMTQC1xMkzBCnjWXp/t
DC8c0gM+AeCgTHAANDCj4YmdMA5r8kfMmXZrpTw6TNkxhjKQttfRlJ4yG3SwLk9W40V343W81cy5
qmmvGZ4xvcLj/VyBgBs0DNfO8Ra+zOIX/jYU5D5sbgNgfqCNs4qpe/4zgTPLyPt04lp5xjHMjO7Q
++AvkB+Z3QEjGoCeS4fBHruDms+SSlQDqgWXOegQmI13DRL2S+PNwAA7+Jf9GdFh8pfqz43DG2x1
W4zUaS9jL9DFiRpX5MPez5BIy76ydqiO3GU00rG/N2UaVbSMQQDi6iy6fq2AaxMJ8NhmUQUL4DKc
bf7c/rlAQfaNgw3U3D6D90MVGBks1nzryK0cm6dzNT7qKDKyXXK9qFXXK1selVyWw6b5LinoGg+8
69Dw6Qrh8tc3zLRk18FHR40JIpo+v3BxTVRjyMfnlqMbBc4hSUzxWflWN+4iq/PydTSGGt0EfOW0
JM9aHsTQVj0zZ5Oe2OYiUMTurYuq8aQ1xbnLNqiNfdhZ0cEbBoR0beXViwfM8J5xU7/P/uQQQ0nZ
gRF+WKR8a/shaHquXHTptfZj3IQoAZaZckvuzGp6iAsxf4Mon8+9MpuB+G0ZWTdNh8F8MZapPazt
Yq763WyGQBgTv2l3oyxRyYA35G+tMdc3fuKaFFCQgKNXDPtouTToBnmkvRzniQmkoQY+5YmWyFKh
TrItIrWqQspKFoiBoXXsBM8E6Fm5PDf0XSCBRSUmFZHk8Xvrl/a4didwro4VGvOSycD2VmXNYE45
VfBs0Cy5nd2e5cFYFt9ZZYDdb6J4EwZyfAEkly8hmnoUM9VN/jZlIZ8bTFHtDWoyoVCZl8fCzPpH
MGJJhCxOXVCc+SOZKylu0RiZ+CSIwh1VZFf0jpXliwQmWr6rqa19svJUH/U0hO8qtSk1n1sMUHdY
4F0uGIK73dYnsLrhfh59jpUBIDWBttwvZpOKdepR68fYMcWeCQGqkwT9ZyxQ0fGuBa6TfVcqag6C
lIFgVeLNz2xDiq+6L3ufNmkxhtuIEwcJglsGQ+/Qr2UfDpeoLg3QnDZiRA+9e3ioBupAlxFD+LUv
vOg12mleM8jbQXXonSrrtuMkLBsUswn0Bmigg7Aa8F5dKrPWgCgn94apo1z6rKrerTBwiycv0Ya5
GkY+KAuKCgl0GqVSK2yYjveVGwQh4CuJrWooYioinDWG+dl2Gd3aNjAolIJm43dRvYrosMQmD1iF
S1fMt5RhXO/YjSCgkSz0eeyT3zjU0+QXjxSKCGjqkrLzXtbBfT4ZaNwTTQkLxx7cfo0RLB7WGemD
a3G3K9mJ2YxHHpYj4yhnO8H5SjJ4F8a0ZJ6lCOalF/LIgcYk8nWFtwJ4Vdd0t0Gcho9cRYps1Yej
RfZRxHg+qG3gneirwkgW6PTDkz/NyEQqpiwQHhspFeRl6dzRwG3AyZmKvF7GJB/hjU3XOc3GsXIf
1zZxZp4NqIEMvk6NZYMJYk8BoaS6GQV2DR0rJf/qxiMkyRi2ZiBnAzmczSHlklW87JkP9I5ClibY
AKT2dwW0mm84OfVL0TXlndG3cc4yP56/UmlgBCzpsUKOSjoPa3cO8mrZd8m8twqZpoSLqbSEhUJC
eQlIzpYLChZ4EQrYxOYA9fBWp/PEgNAI8eHV3KKWXlFUjxNywbk0qwF7Oshswscp2pTf4aYnwhHm
l5EsEYnWqH8eJi4u6RT6QGoN9p1JbnrsIDzWQ+fUn6fHfjY9Wo0T7viLMEW32Y1O5/1AWJp2uQit
C6hmVJLSGJDsyzllC1UMFDCvPKTxhRVDbr2RDNvTjqKHyr+d0E97TG5udEYC9N8cNak7uBzHGh/d
iEc2vycvxA0rmdsI8yiFD4KH3CoIe2OXxFz/0c8+kyrDf1bxzLRNnYp31aDFLkNscS8tqbLfKMUB
K7Wx/EDqt4Cs1H26N+n9XfCMud5/wuRhkgkom6FLwtXU5MmyH+343qgL92DVrmlve4HwkocO9CHW
O5g7wzBe1sEUIS+xC1rIOrJJOSl0SzeYDwawTlh6ITdKCeYgfY+sNgSmmoJtLKN5N+IZZW/ooyNG
1cBOl1bofJuE5eBBbLXbLTjH4WiQIZL4zod2TR84Ncd0n7qXvjYoAslk+C0HJ3qL9PRoWBysCzsJ
SdK6fQNiYKwkqwcHwJ3juiDaG55F3IvFbPd7iAjOZ21EFZ0S1PEYhz5J9pbk+mJjvLyT9oxri/TT
I5UN1buySKNeRFL3v7EZFQOzQWrnN04bsd2IksFAtrNncDCTV+XsRyio4LKcjp8hFTffgyzi/rlk
KxJvnRLYUk1lW3NHKsx11zZ8Nf8gQUe2p9i3eBnD0O8mbOZB9S3CrCfxJu2o31NlxH7SYJxDrIS5
6h+KQvQPtelxT4xTAxnL14TfytHJ53vR1Pe9rtLyoBqSUAsBVehucgXLADFHZ1TUeBerSUNGGZuW
dheOrDZrc1QJGY0lTc303y0YxNvbeG6ife6F3qEALU+39yBucB1H7MzaAQjjyGY4KCvgPmYWcpYz
g3w3aGZPimaMdecC+6FUxiaRVnrPhkEFAOIZHMy9V2RO8QGJ37+mCFL/kTyu/O76mu6jUDbFTefr
+rmDRANtehqsg4BdB9ihdLEp1SH9oqa0nh1mtYtuFcXSWR8iiRGnz7cqd2S2Nu2R/B6ozXop0kp+
cUBmK44sDw61Z4iXNtAfdlOTSBz7jNATHL3qN2Jd/WLFqjIWFgw4Y6mCjoHDiKfiuQ678HEoU4QG
us0ikAKmeoC+PCqPd3Jtv4K1qJd+TY31VytpfJUGmAsroCaGmfzDGmdnCYrrIUlta2+QBpDsEJTw
D/U1vbMzZ4vO8ZQdw7QBsNsll7jsBbk64Oy08EqWrzubteC84U+5yzPP7aMldRVeuIGEV200DqPx
2HGzftS1Zi8Y26H9AGubDI0tOcqjKa3um0mH97z3593co+FSPM0xvyrmrrsFfACGVovqiEtabGyD
qSDO5A8IdcSi6iq8RQ2NTXsgo1P0AkgzQo22CXUuclCjTAzCtM6VqLtbOYyoqQk1wwTt17UTjQcY
v+VamACIe91TSD7E9abTrFcA2ruwCUWkFHwKv70fjGDehrYdv1a8tpD4xyZdwnVIS/p1fcPBrS3j
eG06kUhZoxjGW9QiGR4So8KM0IncfRpE75irIpGEDCBQssHNPHdcBBy0l1BeL2e0+6WwV31/fIin
Mcg2Zewn/ArV/EbAe3i3+SmcVTJEJhQhXm+Ah2R+t1I04zuNQ+xyYiuVN/Tnmo8MuDxhk7lnWO+a
6BCIcvwBvQwlbnKzfQNQNt7hbpBnLg1ecKiTyv5MykqsMlCEgA26CPklmn2213M6ju+jffXB2IWU
Nr/FAIJdjaxCLRZUazeFEr/mw2zVC7K9/ScfX+ekU7Bpi4hu6Zixowh3QRRl1aqnhWcwAVEs0O/z
G9tkGFoHgNStA4zDwNlwIzbFKoyNhFsV1xtnySV33gIFtd9VywG2hCx8Tb6EJq0+U5fBPQjw2E9P
DQEKST218JNNTIryu68bte+jznqjCsNbkWttdmnFY3620TAXCt1z26RtuSbHTJGi8kJs/jnq8BJ7
ZAIJEVj5uzTq4CZ0e7V1rCZ6RlTMPHqeq2tSPMmcu7lpS32oS4puVhqqPnppWDhr9t34jLohRAHt
bWB1SxWhX3qVR5Vz2Mb+d+yDVRc6fIp8v6HlLAG1WBbs7PNqdjfIu3A3Ka46TNoaEKeJmVdjXN26
fW2uqsZxmjVncwbbJe70fRMMiNxN506ruIj1V9JGTrvxbRyVOxdK8vXK3n5Tqdjf4Ecq2Wphb06x
i4Yhh/Q4mR+yHcxVxu/hN/LzfI+lqmWyj50TXhCHLUxI9DYKhnPZz8fQ9VlRwBvEd1/nwHmk86U7
Bp7UCYFL2wVenohbkl2bW51kTLy9I17mOfrm7cYCkvJ1lrbxd9bH+V4HIl9lscfrnTAh45S6yNyo
DrnS/EB9Wd16HMObuG3Cd2YK8Lo8/JwHmX6YtlKU0weKQb+gbXlSxZpcrNqnhVk9BFVrbhuPPQwP
zlUJvndrxYX73WHU2AVmQ8N6le7mwmMN6HTwaitIJ5uEkPVDA4/iyFbE/PTBLR7RDYc/lMuVDIBp
b/x2Msdddq13WfOQHL7mzqHUq6B3FM+B8g5tWjN01QBNs2UPOuRDpY43rUlgqNPUiWZXjsz0KcLx
lhb7YVexf+VtUqW3gyemC/wN1QDTozFvwDLmI8q288+U6BSALxPkUsnce5yATIFLhBXt6EJyJ84Q
iqvUXNlM8j+ZMTbbpq3/HCavtY8pjECt6s7a4SHaUgGdEH9TlB3mpR/usNRsqf5NtwWmNfyzFeJH
6lTtE+NujUAxaVCVf+4c7O1WNVyd356IfLZK5XzP9ml+o3PKuS9KrHcLM0o0wBc5abIinbWMFY9L
lJutKrP9YIcVlQ6Wc9OlEiYq+xJCkphxGXaMXG5EhzhNNFyd+oz7aeeCfhwa8+haEwtXU7nqPvMl
YMG8Ge8yk8XNCFwHlEaRvtY0RbxSzEhpW9c0F6Rsay2Lyd5UilVSRp9tBV53yUSjbqNaOWvlQpSu
AIzUwAt2YnTpyQiHpaxdeZyUbTFI+TPrBhy7Bb457sh9jA8jNNY9h/HG8SEt4lvKTzyoqA6aW++l
MGpk+bCp6yVm33jBvuURj5Tfb2OzHx8dh3qrgcgP7w+/Uzde6HqYDBJnOg8ZEBOeuIBrREH3RxtS
6zeHlX0craRq16hprHYj/WYknvmonLqlMqqe9dPc+0x7YSogIyTmFpszTPWSqqrK4fdPOUC7djWG
v0M9DowhQ0QThFKKOWdO3c+xyD4wM8TLsSTP4JDP+uknN9jyfCjva1rpGIcC45KJGitWMLy0CQdr
Z+UFhsGoKrdqVD0C+3gP28u9VCqALdJyHcB9DQrnSs5S8RFXXLF3zcb7MVtxa9AysdTsERjIgunW
gYS3HknELy2dGYurcJKwhN9GY9LunXFGm5rK2Xl2sIy/qdRYmhq7Yh928dGtW9AY3DfYNTHYYsNQ
0yeRMPGEp8r8PTSdwX3AV7cdFM3EUXN7qQy2JOeoJwTB30Xcf86+asKYem0IPe4YvSf4Hkl+m2pl
7/Bd1OvGzNvpzkzBtXdXj7zXWhB+QTEySc0qtBmHXdxEaQJIDAfJ0N2ZImfXqwqLQ+8fLtn/v1b4
P+TWbT5NBHr+97n1265IPj7/1XP915f85bl2fqF8SIFPEpex82dv8JfnWvzyPOZaj2gmSwP81//c
KAj7F7sGSMHkWSzl2GRK/loo2P4vJW3L5AsJM5Df+4+a1yEK/m2fQErGIVKFfU0q/vt7C3AYhqkT
Yxnbdl2vdw0IHnApDncPTwS3IjP0cajNaZUxwgNNYNpXeRHum9FLjr5ZWEvMcN6zV0zq228Ag9S4
kjZQNiWWxmQ8GmkRES+Et9HwzOeGB3Q8HOcPp5O3EPdWmGHAh4350QAZsWI/jQeuDDqi1zFcF2pI
+zl+tkv5HcgOE7DKD6mmL8LOM5KzwiS+UNOJskRljNcxfLynTMU0pgNzyg4CChJcjmm+KSw3/+rS
qyBMdOhziu1ox/cbbip/ArB+rZ9fVA4sEdvE39cYuNzkROai8YP0HTBRRhEk3zVA2YBzQUn5d28C
aoX+Fr7IXA97oyjFynVovqyLnEbGFIVhgiOeWBPdeI033nQG0eoyUlzFtC5xQ1E13N1G2TjujNQp
jmU4dNi4taI+rrARA9rEfsIlwhN9ZDBPRHjREet5m0D61sjdW0CK/VNL4cZPncXNa+wM8g5kC/tn
0/O5wdRiOTZltaYFIH4gfmXvfXt6ThjjbiHbWw/sfNWeM687tnkQn/rIK54HPN4cF2BARh3GeNbT
JedJ8jFwtFyiyOO2W8dk9inKdvsH0HY5NXM4eiUpTZ6WHRZwp351GI2WODCqL2cOfk/J5M0r1x9f
ImyUaaTI7tnpOq4s665n0FzH2J9uE3fwX6UzVic8LvIomIbo0wWQLVMTrj7sMmArSaQuUyHoEoGw
QmEPaeevCoTRlqmBeW6MYK5GLIFyUwaXIaOvB3NBDn7Gs5DODPtcT+5P0Bwt+5WedBOJwvcftAEn
KlNar2aiKQrtpKvWbHPDEMRLVcwLfgn5beiUKRSrGaKDMU9PNnCbG8rdm2UoS+7Jep4uGXSuVWj2
V5Y00DagNvjJ3X5YgfJjwYS90D/n2H3osC0rTb9AIFZdwfY/M5zf5EG9S8tSfF3btb9x2npcRojp
+xbP6wUcxhOKTk1vM7j0OHbpjpwa99FPjX5TZTkHaWSQftR4j5YK4x/lpaG1ThoIgzVsrs1cAJMf
pw6xf0L9d7rSXMuZ6roQFfGcO+WEcaBzt1lCJW4+IyAzxeUCCJzrzdU58AK5Uom3VC3lWxhftjO+
hwpnepPgOoUxsxzs8lNF09ZiC3UM1YgS0JnpXTXiPwSpB+lfs6jhorjhOgPkOogL4n+m95YCvOlx
Oxb9nRXXw71TVG/SyT8LfEJq1idduF8JZqfbmWjZrjIauWmw8PHwuf6NeeOJ5WCB8a+YB7W894gd
YGNu2lWNKPcQ+nG7wFkAdJTk3xJr/zee+wvmmnHttHaxtDoHU5JTdS9ROdgLSm0wP6SOeeNeKTA0
l1pHiKftgTFerru2cn9agp4bHHLi3HSCD5PpWuuA2MODILq5liM3VTn5tNBxgrPbJHjL+7ig7BBs
EFfjanwJ88DbCzcBc5BqveFGVB5GVrNLN+31ti+TaZ+WCjeFpbUD5Cuct0EXzLdeOKtN6AIZg2Pn
cpGdRhxQ/LanVNG0BVUIO3bUblOfajMjAH1dTZ3c2h2b7gXZlc+K5GjN/11OrKu4zudmixxBe8sL
ZKV5SbymOrX+0B/MeiwORTZ4tPv6xeegipabFQRhbHrmPR9yhpg4coNFNtTUMY/Y158gebn2smUn
s06LsQO+JCPvwsyKjyaKPbFJesp9R1qiv0c/fxJDXa+rKd4amYWWl+odDaTuigNDvfaFcYcH9zJx
AQ+CBG5xTDtKP2FSJeGcvDZhPiMFeMkymdp2U5YE14Mm81nYXK9moiGgrf2Oz387qSXW+3jbFsq8
1W62Ts0uW0ShT/4+6LEJuqcuwaCO9ZzAiZDHZMbDIX3voZj78ahKzm7mKdk+AKOOV3k3fKeeSHcD
DdGrgB1oVMRwT2l8ThMWqKD7m2WszWsJDD2HAsv3Viie4ArlmkA2A32Xz/2PH7Z3Ue/CTKta1Hf+
Aoyc1fRaJTw2FvQeJmrXUye41AC5lmbLHT8DWNaa1/5VbLPvrL3Uvelk/ZG/fZl5NKj14Vub8tTP
4kch3As2NeJ+eljmWZivdWuYC0XUAKlTR6fGMCmTLVO5dxNWGjT2yheV++JNi4ScYu3Bd1MxRUdB
9RBmRrOd6o77rtX3Q8h9vKhe2YKFx9qZ2hs3n6pjCaTuJ/clPfRqvB6DtHdmaV5stKKLwp21f68d
aPb5SMjK7F47G+9ykh+7IZkvVh6eywaIW8gnBRm1aHEI1HHJnirhoYrJCB29vjp29Emw/8lHdkh2
1ALHT8S2zJItN2f6QOoE0dRIcwIYc7tv8Blgwq6I9nCr5P/6sfTkK6qAU17FTNvNgwiH+lSxtxgF
Vkj4rehuqQeqTNlH1TZese2HuHW4xQ/tx8wx9JOw+ODGbma3Fhts8GwkEzje8BY84hVtH1PTF1Sd
T2luUwcY13dTb9KiWKnmbDC4rxRsT4VUMZnPPHoScD7BuNV1QVmRTSjJtAtrBdUPzuvQJEu8Vs6D
kUYj0vM051sn5CK2EpF+rFipQoL0bjxDddUi94xndrRkCkpGlNCsfrJqHB+rHJXY0K6z6WTG6S1E
7t95snwe3f62pHCD3pfo0sbNhu0NuH3RvWLxol0U/IIoUnEHOr7cgL6g63ee/HOBBTxew3Z2XxPM
k4uSsSJU6VcSya0oQ8B28bGlqHVoYc8NSP7hapaU1fDJYiEbog1meGTLBGakZVJurLpbloL3qRl9
caA9D03/rZXccl9UlyoMoYha0l86CaAQNc0W5y5TWBBhFnDcVeLM0xkaEjxHDStITLK+wJnYZHT2
RCw7KSLwI9ldEOygrFQ1SpWhk2qVEBV+5PHrnaYZciROM0OuGeGLvWUxdcroQu4pPhr4zldxP4gd
d13zjilueiiTjDBtP6hbi8I1lSffMmSAzUfZYd3GCF1n3dlJrgS0iO2wprJzobStV1cD3CGAHoq5
wRp3wujNZdkYH8Soqh1NlNlp8CaOaCjJ69YtqWDSUCPLOVInTaPyLeN3ffDc3t5V5cCFOkiOuTHW
b10yus8QcLyV3aPA0mtjsMtuW+++qb3qxg8sHC9J+eFlkEYV8Eb4I3nAasrZ05AwLXXdvtZO88Ge
Wq1iu5WLKadQGkzgISDh8qKwi74W+bVTjiX+UyGbVe5UISWoyH+Uy/XGz2jQHM5E6dzhiaX/PClM
xV6UynenTjMQVvWOqwXshaF1eFHz8BSE8Jhd79q/WWaQWYruBdZQfaKUvnkr49JapaqmEaFxaoMH
j4iAWaUUOgZ1w3snRief8mDJRtfYOC6b1xndalv1XfAEUra+Y9nmreqIjbNoKnFx4hCjrpUN96Wd
FS9N2JB3xgxytdtM92g/9KCAP/0ucwtjZuwUv31ifNuRbBlNTEzQALzlifwrpVGzUeQfsR1HJ9XP
iVpYg2cfCSnEDyHNz/HCcOr4WbOj4lELKtqmHO1iZaa5xaRqXix34nPdhwIAgtb7YM6tnekWtFlK
gloswuzVYAz5NxEM/2J4lXqeLAsdoR1IScGGemMTFN6npHkeSrzxB5q0rh4FK+556emXqbgJYLXG
r0TrDYdrEd3pRG7o36VkM9T6uYsChGo9DjSa9/h/hrq4SN3qY46+tZ6D4GcoBmydcxU5mwKU+KYa
AW6ns+O9WWMjjiEE8/thdvR6bK36GOrEYf50SOu2Sr1zZa3XM+7ln6rFAeZzAdxHFHXdOGEcX3or
incK6+6ylUV9KIVvcmpIfwMIy7OWdnybGkOx7kImcxpJrENsWLj5bSiR9tzckImyr2siuDBumx+8
mVU7wVJ/37rEG9TQpL/5h9brwK/cY+pGsllkbYlHN5t+09j71RL6XIAoDpcVluaV1aDM8V2uKKuQ
52dWBMcgCi+UkzM5Wv7ZxtS6IhRChWGq4hf2AtNqmLO30iNpwaLYPVcdARI1A6g1YXqVtGAcr5d8
/J3FTz1UW+Xl/rGkFQ9Ye0QzGhTT5yiyabRyMXStIj5z6MwY91DLCPV2jYX/DIhKTfvsU8gAH3CX
659DU7HxrM0HAhXBRgYbbwi2VlqnhyDv75LBWbnhwMNlYiQ3zQ0enekyBXO9aUN85WKCkS3157WY
/Fq5S+YJJX1F5b1e1W3tcud25LaZLVFgQLpqvII3ahYQJ26wTndZ9DZH5gUkfb3OTBtzYO3FAIAJ
R/SVYa+55wU7VKtslcq4ueuvPfNmpOtdr/15bVCBteOkSA5WXxWLus+9m26e5JaIEzqlCs+9K6jv
ZBoND/HYsXHIbB7tUZrY9gq7sKbCzrdfMJeTEvEQSDP06gwk67KsaGNk8N1F5YnE9QDcqR9OOY9C
HGXG2D9olRRv5Ev48IjICr6aoJiNRRC5I9i8CJYr4dfkLm8s436UKm/zfSN7lu6ELvBS8ou/lHla
XJI2sd45ARsEPJTuOWr4wZO0JowaW2O4tAz/tRNz8GxjhlrXPfeWRRtP3E+pFKQHpkmtLR0m7Zbl
u3PfFGN6mFjS7RXxDPLZUm673m6+HFLCBCujLn4rqWD8GvN8XuiKktW55+HJS+MfA0Ae+5Yfcufb
w7ToHXzPcalbkDiNfOUuPTz3XZw/tPUgL6lro2RaRcni32xuBL/TOzu3+WHYiz6H9vBTZYm95iYU
HyKzt24miz91I63Z9E/06Aaqzha6MKwbTltrTaEdcmgQYbafjJORmKSHsB5sXAaLhW/VBmROi9WT
jSGVMT3hY2tWvvsAvt5YY/pkd8yS6UyBxNpursGPUPHE6sMYAjVtYn4jmqXflo+jk37g7DzPUwyf
f4i/01Qme7duznnfiCUZ9LoCDv+iufywtMG4ZU3nzp/ey7owDhSERnd/xLz/bt3z/yKQhLDh/P1X
iubjRx5n/+Py8d39q6r515f90yctFNcIz8a1Bm1TQMX5S9V0fiFP2r7jCERKsHh8q796SizxS/om
5moTFqVrg+r5p6zp/UKItPkqzM0umiju6r+RI/4TkgT2ZhsckwDSjheLjql/N0k3GAk6Z2RVydl/
a/GcXKRG/Z5LoAINm2OwRwepx3nXXTs+/+WVuv0HNOJfIRbO3yCgLkZGCE0KPRVOpsW/6Aoa+zfe
jkUfuctqwMqMeRe0Dgz4NqJretTj4qrxLGY+ecAE+ggfrRmf2tIyv4rJJ1ZYjfTGRq0EJuPP83jp
FQ8SMkvqWDTziIgai0Pd+NcOUe2fRawZKJoJhkqArXdivYips6ncu943VXqucg9vElhBEV0r7jgP
LoT3S9orxsG6kSWjCckyfQ7jHKB7nCJ40D63ubp9KI3G+nBxcbI9MqqTDaxyMd8RVbZPtqeNR5fQ
JnJq6d8MAnj1FRty5ugutrFhTE9JTHKdJFW2sEhULKLM6bbcedTRT2m3vW5j9zOAjatGaRgsq8jX
pDvp1vbJVRSFrBoj7pBVWWcKGihYbW0lLL9tGBNHR/HA8lgyWbyjSyUCEHtl3wsfk/RS86TlADZ4
1Qi97aY+0acWjWQ3pHWU3yHg9vgRJvOtkFpjB4b8MC3NueBLeaYOr0MYQqA3vCF/KIR+6WpDrXvA
1RjW26NXyKPPHnQHQ0Lv+sZjtVMb705n+meT7KXD+m+E1tDpzl6kacKeyEnECCE0H8dLV3FR7Jo0
PfbemG+zCDiSjaGI+s7aK08F498ePTjfiT4aHkPoD1s/GMIVcc15o7VnrOeOX7emDu6DfBysj6LS
AS7PfNymBu0CeFdPfgo2IcWDchZQgEogYgULXYRR19DezoJNT3QVTNJqbDvrNMVDVJEczOl4TIaA
uk6D+03W5PSvdZXcsyMEtWHYOFjxgq3gu+sXQmXei5tSEl8lFe/pUB09C4KPvr7P25Ca4ZpFx1lM
jf/YYygE8t+1KzaPtCibEKBQGSpC7zXrXn6D+tFFS4VRz6r2Acynb7EiJIZRLicf5vMK57PVoZjH
w3vidcLaVA6qIS+xSblrqtnjryNrULCj5hmWgBhs2W/yOJ4vXuGKz0IGLUncAnedm7TZdiq4xFFG
5/7MIdd/d9D+U9tqG1Es6oz3JLbHE8AS+SiQAK3VWI61e/mf7J3JcuPImqVfpV8AaYADDge2nEmR
ouaQtIEpFArM8+AAnr4/RGZWZWZb3aoyK+tFW+9u3EgFJRF0/4dzvuNESO23wDugyBEXH+idZRg0
Sb4ECaURDYarMa1DruY01N+raWSuOlC/nJPGaqx3z2snNM9yWvtYNBGyzW7yvR2b7E7nCcVm2JMp
GgtJuHx9bItYHtjk/Zw7ArpZNWuEKbb9M4Ss8QM4dXKYQhlfcEdERxQgDDqCai74ddoDU2Ik9aaM
Kz7Uo9U9u1r4n0lgB0fyQOeNIcnSK1qt0YG0uTykZp3UG/A17WVGYbKd7KL5BriNOq/XFj3wLD+C
eSh2vS7jnwIr95buoHgo8KnRf/jWR47l8o48D1jGUcCvcPTa54CopX02AEvpQLm+RomsX/Bp2c/A
uZxj1OoFkjJBM5HpooHs+1Tvq7YlCSgtCLpZY5uyms8MLUd4E9lNSBmVZJ7zLOgL4ULwla/NHMDD
n6KfQWC76uBMZj9vLeSm8wGt0oyYLE4gaLolZM+Ibagv59wjaqah5AuxuoQrHLUuYnzDhypLyusH
T9o4rQps+hxIyo/NjRFzGiO2oV2ImI8mO1WRSrWxIW+wO66Vf+6qKT/N9mS1OwI+AWp5wMGOAa3M
uyQM4A5f73Ak2CX41tqoKTeJgSJjA6OLsA/mhnxsBkyQHxH0AIXH1tc3IXG0kBSKTh1xRUPPq5HX
3lu0e+3aQp6+DTCZfBTJWN12TDjFCfmBvx2M6Q3nfyE2E2nf+2LIjMeit6svxt8Dw+My2mpFoMvW
7Ht6aob1HQuAKS9eefiZsTONpIrFrerb+zTo0IP0sp4w6KOdYXbIorvFWF8DCnR0Zb2N1YBxtYtS
a5dHZgGdpa+7N6Ng9r5VqAu/4cwzX2uSsbH2zuIz7juxtp0ZOl5H6jDiyPaqR9f/0dpzecuc2U8Y
kHYmBiS2RfM6m4NyP4Ujezj+sxjafz2X67BS9hPjbjdaaYcP/ap0uvowJQ3fQJ7O6TKTnDXNnpUg
/iIMODdWoN0rNjm9w3kBRzPO9mWKzBKZlOxx97j2PO68X8Ad9h+escJ12W5AjpcvXD2kPuMhhVlR
LsyedKH3pFToO94ydh0JbB8nBcTG9I4LL8TUu0Jb1p1Q++PRzyLb6MAj5cVdTdwDshk+DrQrihkv
CpAWsXBESazsa0Jtf8vKhD0SPqoznlbNaTpHN7lfEwCR9iyO0GkkRI64DqpYf+EZGRbuWihxM5gj
ZlHm8kFnGDh3xEGFpu/9SGD3higsifUkWcdvfzYoTa/zL5ASE39j1/7CK/kLaYmy3tl4ZtndG2m5
tzt3vIsWPBOS7fDF6kA2lQu8iRAoDMNVJJAiLHCnaME8tVEYXVu1sJ/EgoHKFiDUsKChol+UKAEm
A1HPIj4m/Mo2Vzb6oos3R3Cviy2aFi7kvkZKaJYQqJSInoYFSjVg01fItOv0VvyCViGruHV+kaw0
W5KHEZMXGQadeQMcm3kD6KuBeLd+gWEZ5cwowXd38QLKooD9RBYpNxqGFnJ2c5UvckInqXg9vtDd
DUGuTozqAXClrljnVRXtnMrWLRlwhXeHt4WWxm3xG2zSXzQvVkXlDdJX75Vbjtay5KGiDqIQ+pkv
ODAES5DBvAUS5ooEXhgaVXxHmixpOGJRzlhCpDieyQJtvrA54/50vLj77H95QvNf/tBhsYoy6zOB
/C3+0RqgCF7SX77SbJDMin02YPq47OkXZ8NMtZbmffHoOFONwaUjEhxZeOtR8knuw6qP+28dc8hv
rPJBGYQeuu6lVHFXdKKSTDDPc+JtUpvu51yl6t5B1vdizQuApB7i9IQWoFoCJqi+tk1rls91SNTC
1iLMnhD3yffv6raab1OzIXGhUM5TYgQ+yByRXO3Q9V5HJuckoFt9BmTHY8tLxHpMomeKfYE3jwO8
Wi8cpXiFbr758lMmbDtEuTluf51Mj0gh8ERRsQtnXUyJKQ/mWDbn3vCjdjuFZXmOkrz6SWAELxMm
xJYu74vDudqiTV8jyuAQY5Qr23NT60xfCQhzs1UTGoT5wDEY5q0TGhN6Sxy9xSYJl0a2wizirpLU
j5ltUBDLnZwi8Tg0AbY47CrQ1pJBiOHku/Xg7fB+U3QQjXHqB5V5lD3mSAXsEuNhTU56qlhlEPRC
V/RUzVp8U5HpfuNDnQwny2G0RkLxeJ45dFKO9FQ9T1UwEF3hQsfBmKBryDMjdG/Cvv2GkhXR4A1+
F+PDAwo84ueZVQGjmDJqq0XRwqyhcxh2nemypOY98ZtTNAXBtywbkhfIlujJZsTC3lF2OjxmZdPv
mGwYX6aVBKc0sLAqmtwqx2nUHMWlFyWvtoZDQpdgdN94t6sL/A90hnNud0fwebQgbSZuQEnTx8ug
OwOvzthGB+xOWLPxPvFN9OvRdcbbilAXYq0jqChgmABcbZCNy6fOFDUOhX/dj1n/FLjQZfpArkEn
0amSJkA7+td2DFcMTqbY6baBZWbHsgu/F3HxWFvVq+3nj0IWXKyK+RxF5nvLHuf38cHfIId/7Qf/
iRZcXh4Sm4cYAdWLaS5//5duMA1akafaQEYXEJtozFVx5pef3fzrn/L/IOcvL+OLpeM0eR35z8iE
qZ0Ri85Ovx2AnjBkRhi4VoZteAcnYim5Tocqh1PmI08uuJ4E8hyssytryPSrNU7yOBlFf3arvHtI
WWZfll8Z0DtT3BqavaQQNAoxMtuCdONEdXfo18vgd4zy//Sk5f8547plQg9WSzLFfywyu3yF0Uf2
MX38dSLz71/4+1DGF78puejMpLWkpAAH+3Mo4/m/QexCLmYhofrjb/4Mj3V/M/l0wPCmkrAVbcu/
DWWExNfO8+QD5YTljBrtvzOUwbjBs/4XzKaHEcShgoI+6jn8Y//UmvVB1Hk0m+6hQd8cIjlJ3XHl
UYghj8EB9WNMs+xECcIFIW23f3SsyQu3LlXdvAv9wH6uCSo6YlpyCRcib2pc5bGBkVnqbqz3uRHZ
z36r7EugtXnNDUPynDK8tNdq9D3Ieo6TkM1ZluiNzcmrq7NplOMR2l2xljKMwq0XdOFTKxWH9mBk
He2JZTxhAK5vvF71r5XD7JjcB3/LUcKgvgDzBAFrMzAzn6ZywFtZYaWnL20+sYtWGstOi+yEHzY8
m0kLubHh1DxLcB0Q2ZwIcF2feehhs/yg+ia/1iIWB6TcCDvkbB+meMLr4tT+ujBI3GKVP7n3mmHO
E4MXb6/hjVwqL/PRQTDjsn3bRPwA5jsj25GwDnctaNyrl6H0UJcF5VgpFovlgwUPZBFtx9OCk/ds
8ywQ5IQn+rvhvh4IwVqHJKmH5zruEk1SzTAgCdMLTc0v6hFisxXAgwwNe+koEMoMLGonZkQZpBHr
fmZrPF2b0HOLezgKBuNgkxjRAwqJJjhGFRUudDG04Kdg0IAKyiSwhm3fI5PdMfzIXgdyr+S9B9BE
7KzZA/eTRYJht0A5hotrbod+FxC/uVedGf2gegwVpRtB4UXTWy906DR2oRmGEELanxhbbnoSXu4E
kvszYVOQbmzTOBggpF6V2zCHMIM7PWLrQ6KODbAbc0Zrjd4wUYkRJaXmzjU5K8ssSEYqFFPvW6do
f9j5oA4lWKV4HyNTtDZZibYK9br3JFUSQH1SsOEAS3XeY0bc5FkDZ1s7BM9u4rbLHoHH1ZveXsr6
soj2KSOfE+vAfGO0NJ9m7J0Y7flb9t7zU4CZeTfUpTy5jJRWUWLsYyLmr8v4KC3bdrEtxuvIctsr
C6BgB5YLHQD7fAejcgNErSwjla9qrqJwjyszO0sqkQ3/VrOZ8iynLkKcxbDOiZ94WnuWmrYF8FqU
k15Nfpwcp5BeiZDZHg2M5a4ylsBHNi7p1feCAeEJJR/MzwB8AmPGCYeMHqHQzobWm6aJilWeq5cx
jvP7eir3pU6yLfGVkEvpv39IgQK98VT1mPdhu1dRn/B7T6a9m4T1m/I758gotSdTZfoq+x4QJr7y
fOuNQXdIl9Q6t4G6+VoRs/yoS6jWYOpS9c6cwWq3Jia4o84GYzeOIwB0UdlbMLn9Vg4AauBP1fvZ
V5pRlszWuWWnuww1+9ppwuyQ+QZ2rc7lhMnHiysRrsDawvLdhtkd7tj61FZJccI8719Duw4+HD0E
3e80/f9/Lf4nwmvLJeELj8O/FF8/fWUfRfhR/P1e/Pev/GNbYf32C78CBJ9/T/Ds/nkxKvWbQEjt
sMfgNpW/lNZ/biv832ikCVVHPkAYkemBWvlDhA3VhXuMK9Ph8LFZwP73thXLFfvXi5HvStoIQD2F
nMWzoRL9vUiMU5KWEV6FdObdg4u595ADXYOmSMqWb+T6K/Eglhqu78OwYtnMDrPdDZFrH2ig7J1f
IrrYsg80E1yxWt63riZMHUHrsVuUs1GWjrcqCN2Lje/jSHNGZqsXyB+NCEqikcaE1Ct4qd9bQEvt
JcFRSmr4EgFKpRG9dFXRXuqyYf7Ziw7vfNOb3o0aZ+8Ya67eFUNgyIggCDC+hhq+X+8YcLEK/cmJ
11D5ezdMWoZXjBTDGveWQLsNEW6m9VPOoXHZKNdUxlAhGqc5MitOnotckVpd1C7hAiIb/Qbjp2cU
68IP82vK2rQE5EXE9wY3vrz0gRcX+5EV03PRmMObjx8Yg46Ku2PlJ8GT2cXc3DCSuT7i2o1up7Qh
kL03RuC/XWTH147G6KUhiivdpk0MJ46lwGrQ0601WcOBKan+LM08fye4ljK+zdr22qWjgc6InElg
xJZ8CUxtnzvbNp44fMxXoyxYLlFxDcepHjR44bDYNnYI2msimn4duuPyjWf2rkr53nvOSNSGeLR6
UZ5N+B/MrMes+I4ZEaNpZDI5YIgg+CY9H9OrzZw1NRPrKnKfmRTpixPs7IT4WM+wO9h2brwXjCUK
BMzN0YkCb0Pq7Am3JwvYHqYBWLvooR/ZsuokHKzF0sMEio19AARh1h9hVCcnPSl94YHqk2AFqNdg
lT042zBT7Ogbn1CClo7eRPfuz417UEYev1SYjAihMeoby2AsYxgqX+feWF+V73H35OXEOkzb1wgp
6RYNZ3hw+9y84R0NjsJo610+p+Z7Pc/zKSIR4g5TUnKZEh7UBtn59w5x6c60xxaNLDJ+RHdPda3X
XPnlOkj66A4DDnAzpE7PlU2LEvae8xHDOryJ8d6twfSVO5fm31ZN+800qzcUbaRBK2YGvE0vrT9g
EC76DmsbbsP4MR/1oRmTu0rgdUC97lZIcGe6ceSxq35EBobluCffp6sq7ktB5EKFeP6Jz4G64Id1
H/xUusXB7MbklMG9fm2V6T05XVKmm9K2bGjNOdDOFVKbPGSvtwCra8RxKc/ULfQFWNpMvECpe358
RKKJIzsvXeeFOtS5lblnH6ymZoZMihW6b6Xjn+aQVbsGdmXHTD5ov1O80JT3gA6BBlpMkoBU8PYj
C4DpIN3pLnJg1zBvQ0qSIPtaidkL76qxDhkqs9J5GD0PeKye2E2y2B3eqjipbuOYYI/JLOQtlQtz
SpzGM/8SVMZs6K0HX9Tq4M1kPSycweHJ8wEk9bnSB1eP03c/i/OnqRNlcxBu4nzn+Y5/Ru5A5haO
GNQV2OeiD7I4HBZKVGoIuCOlkLLUBfrDHDoGxBmbLJEyqfc6rIEMkcoe7as+La7IR+ynIRchoEMp
HuGG2ihea8E3maMkj2JsZBvh1rBXmy5EgWH24XXWCY6EJnT3qA66cxdV+WfCI8y7GtjihQVWd0am
bDNHmOuDZzOctlhN3BL5N+NYbcCHIEYIzBs3AHbE/Da8kdaQnC0vBSLgSYnMuTEs6wnGvG63IGOM
LZ9fdavSLr/3mtB8ALcnKpASrh2dGBIh+s9y04Y4PzWfmlToNeqJdq3gvtBTSPyRvXdKaty4TCvL
GuPbODRbCAPpHmZm3W7T2ItOJH1FB+0Xt2bS4NyzDElMrA3mNPI76zB6Vg7JsdNryQd325p5vMd2
RvienovHFvrSiuhKFhCxf4V2FV5gNnmfqe3HFx0G6c4Crs5GuhtuQjcXCK6l+T2d6/QyDFhZkiLo
9lEuFSlzE++hCN1z4Ncpi1IoG5xFxQ2Z6CijUYLqrcrz7zjxyi3VcnOwncL9ZkT1zvX6b4lLFDUf
fQijkDyjmkhFI0mHH04ZfyVtpbZua0z45y1gKyULZVyD6Mecei976RzBhVyJsFYbGbjGPeBudQBD
WhxDIziZYYO+qnRHc9tlxvQ6Vcu2MAAEfC8ClDC4YIxq2zhiw7jtCWjpuMsl874yql4zcxLHrOoA
sDfx92XDk52YEmMyr/w+3cDsYN3FdoooHfD0D9bgJJdxMCr2DlV32whxg/3rvR+rA0P1alUAAVgx
Te/X+TRaDBPF2XK6GYt+5C38jgZjI2hHEjhL1SdkF0ARRSM0T4C65QLAjEz+Z186+R5sygk+cJ+s
AwknZoOGC0uW5XVTvmKRVrG9zj7yKctPLqv5Nxu1or9m/xVfUNQP+yKyanON1aZ+qDuiseeaHFN6
V4KE1TD2N3kUpvlOsGbYtNNsr+besL9y3Jfxliteplun6iKKGSPEmKH7eFgbVcs9EIu2HMnBg05O
5GHifhYlKefK7fQ1TiMy0AqUz4q0i5WPWXad2eJCt37lx8JtH8opebJbE2dT4APdIKlHjy/IgX/4
PO5vsyQiQ3cXGXlEk7bYljgQ64fYZaxcdjK3fwkw+KHILsLSIe7pPOY3rF/A2xApnWiFfL0i9bcG
d4Yn1PYbfVFeKr+3Ig3eQ154FVrduPV8GwJMbqhdY1fNc6kGwMFuts1YhZzcJu/vqiQIX1KZV/sc
jsJP21TZqx6caifUzEJ+EePGhwxdwkEXPjy7gYU9hpkCFLF0nOKOO0Dv+ywdbj0Jdl1QkL3Es0pP
SJLHU41qYGPXtXmscknyRKXkmT1tKdakjXvHqOF3Jdm2fdJEmwfyk9uNLWeQ8Hk9EFRkyT0urP3c
pc9ku5NxDEBQSfgGFb2gaBcqFCMVIqnqnnijftvr5sumr6E64VFMR3crmP2tOIg3oE/yjeMaG1dM
94Zdg6ovtXPEyCAPcR6UH5LzDHwtJYVs8wb2YGHuqi4uuWGI/koaz7t3wUqfwwBzeI6c4VIw7Flh
IMM7nRWYbWFhoXkRt+HQ3wgx/bQs3K+s1wNzZK/mSmz1LVYmSYvLPGq49dPS2RWhrm860jn2xswc
m4bNXvmNNTx1QdM9T05PNl48DjttjbfmAhtVBC8iW0SPHwxjsWo1mYtpgGtxciqfmYQco7Vtj298
0XCGgTF/B4NHfEliJjsnCouzWeGC5veNiN5x+wIeaRWrHbAGZytDhg1F7EQnFSh1Xw3c5QG6nxsU
yulVSJUtcs3g3rQsj8D1IsWLZ6QCHFAq7/iEssRjK0XelG3m90Uo5NdsMgpyuqC42qOwbmUvXEYF
mfwCZOFf3B6oB8KO+NHGvHcjTRfbIMkU8Zth5d2FYzM71qz3Nm2tPsN+8EnCAggTOkl/2zmW9+Y4
HZihpCjYyXLRUxfZSXVBvopwvMFhdizzsG1XkawmTg9UuOE8Fjtghf3BbxCWG1JNDwDJ2nmTNv2p
jFWwKQy/ONljOr3g4SiuYx69lq4K7sygSt+06dUHW1UxfGl7DyIjZalDTKmKF90hEpPNFFmYtlTC
TVcF4baiboK6xeHc+26MCjeV30xaGX7NHjO0ngOP+rF8xZsj3/0iS0+w2HiAm9Y5exYmrtUcMkZY
tXEY3YcCXUTeu/1WVPP4SRBnunZj7r0AQsMGt/WwaxX3+KgwvJSqfna7IfzmGQFVZg5bpacgaprw
OIfpHvVRdbTw4yEWGe64URmB4HwoN6bs2wXwtzFNuHu0Wd3Kq/RnHOv+KfWr/JQ0i6KTffDRZrh7
UmOfbUULVWHM0+CgI2/tmxUHJALYo8p+6MH0f4ReZR8T4MAeJazJviZrPicjmm5QFSOccEgo3Qld
GhhXNZrqcrFyzJpfn6OdqyE9ZClR2tzpnjj7yC2r7yYPDKRNazgmAgtOLBKoGlZLOVH7xqFTU3fJ
fRO0A7bBxyCIW+qFJPtILX/mR0Hxlhdz9EkzJo6DbKwNQzAHAmRXPwMR0w/pMCsiCAvbeiNLxHiH
Utrv6tisDggy/BQ5dgb/fR5zmp7Os+4a0vzWwUDgiZeWINB8P9151cQ62gdUOdPJDfG6anm/pCIH
eypGzZOlXQZcBViMoEcEFa3dmiullGB4e7dcD7H306fgHzr/PBbkyIDrgHtUzBs/Zv+rtHkilMLc
5ipHxD0ecBk8eSxn15h74zv4iwgLsmI6tJ4Kd+Rb1MfBLrsjqrburTbL4WMerGbrQ+F+MVjZnMup
DD5xPXB9Tn3BXraR/p63B8cJ48OLPWfV2QWS9Ka8oKc2kvJYmpS0vY0jmhw5xLMWi1Hz4MOBJyva
MlAdFAVHPFmg/l4AC1pFuqxjSv3S2wVN4n2acCUddp9yWk1ZoN5913DVyjAJdKkokba4nv3bDjH7
az0O8X6KAkS4wh4/3CLKuTvSAsNJP8EpdYr5PjSM4ZTKebw32pbFuNQpsCMWmVvgrfNxZlLx4Od+
84E3Kd67ja5eK+43jvgWjOzk5Fs31az9O2HCXe0Ie+k7ILMiqMv7DkMpBodyaL5MLKVPRuFqtWoH
p2XYVrpb3U92uUqxd7+hRqz3qhU/Y1KDTozOA2aMU2zjirRMrFZ2DCMHBWNjtn20qXBFXUY1i1MT
CLEzpil/7WVK5Tqr7K7g447DOitvF9rmbdYQTLGaMfFuyqjQ+cqBCX6Xqq66UlzDbiJdZDo0CchY
Jqj18BCWaDAxQMrsWLm5t0+tmdTpihoWKmOaH3LhOxs00d5ZhBY79Kxon112DQA2QHZPbRq+OAnq
waAJbA9B2JAcdeGKlWz1fCJroTrVADBeod0PTz5V6H0PL3FXzYn9kosxPvmDlXwPVc9dFOj5Vs6y
wvpTmeEZiK11KVp4aUi/XeA+mTya1YAqEfIhTMgSFsXH4IC9Yldhmx+5i5OA4cE8fnNStKHYn8nj
xUHkmPU29Mv+xphba2uXaNJWCDHn3YTK58I9Xr1FY8BqAdTdQlGkMfC6djUBjLzanuM948xRJ6+R
CED6AQWGIfJbWU+UWEnXpjV6vHh4tRTmOmkm0RX+p9g3rTWrFWYf920mEIeiwcTVx4IDjoCk6sTh
D4Wnd+qtwgF1l7RuyFvrfVSaCcgyE58ZWu3MiR6cnwMhCAv8QdhrN/A4XdnCpsB9l9kDJND8YHWo
DRsjw4uamRhS0hYMbTGDxDNgzW1G4gtCHNeuG6OerHN8xFYVmHg/yAtSNeWt4eLMB8Z0iR3JNysg
vsrRIf7h16Lv/9r8d3mhT5BIxIlGHSrqP154iQ/82x+2RReDE+m/munhi71T96cAe/kv/6t/+b++
fv0r//lol4mrYyIa/49XnigvwXWn0Ufx429LTxd8/O9f+2/D3V9p8fy/LDiXIe5fhrsS/b+gdCL2
9C9CdNv6zUGALhbhusXIYtlE/jHaFd5v/AWE79/3pMtX/fl7+EP9/a+E6IQU/2O0a9k2Ly8VO1YH
iaP5D/kBEqWqYZkp9mEi82yvMiaaa1NyK/uBkh8tpe69NZlgeWAorcN0BmlvQmkWOxtr1k5LhaoX
nikbfOAOTLgAkFbP/VxsCnQra0V+2iZy6+zIcQUCDb3d0UxiOpSkC7GU+3OxoGU9OR+NKQf556nY
fAgyy94VXT1fBSy3VVYDNkqKnu+CkUK0Stx+3JqpPhhF1XyFOK/XnUr7AFtf7G8y3/Juza6PzyFR
ittJwPEgW4nBHbfRFoNXvG2hWN8ktuWvYSY069risxkltv8j4cDBiIjAcGe1gbOH22Q+qjmOrxAT
Od/ZkxPJMvIBhgsGPdOKybKhON8J9C0ICbNwURSL5iPzLL5ROsVkn3u1g+d1AK+zjhz0UpbsvXsN
eGjj1lV5N3gOpQ3kuFtgEmeHdFuwGZe55DRPnexAxPZ5GNQNPcR9ZNAxS6dfIM4Xg3duMzqq21GS
7mdY0oRhJCN+c8PNwIoaOVWxN+puE6WB+9RJxTa7zAaAbJYT30POvWmgTK0qD3dqUEgQz15Jbxqh
mGI3By5lYNAoyg9kGtNlaprg3U9GeUxmr7rj1IXWMAvDfQKrVZ+aZGphrBrmZQTtQ4va2RSnXpea
iDqs9OjmI1mqlPQHoMnD82BL11pVeHPhys4Dbl66LFN5xrEUtfHZ2l2w7lPWHhiYBWGUhVbfdOaK
G+QyIC3DyF4j/5JY10C2/AAu0mxNnsqDH5XojEqYcnsTbvv7IEn0UCV8gcwyk+9NVb513qTefH9W
AKGK9CFPneGunZT7UsagyCuGFOcirtU5yXqIXhYg1aYdzyynw/Ng0khg3jAOPiDbfRA64l4ZwOGA
tOfYFpyUJ1qmLbqVoEfhHaWXbHQWxWUqRgC8OZL2uSkBIFmJeulQFIp16+voSH00PY5xiI9at9ad
sCCfb0NZDR+29PQpSF0HImib7Id07t414rpzQELMwVdYhcl8IWHO06W+2kbSvGfgxRugS3NbQ4c1
ZH0LiwJ3XaBzo9k4FgNb9PHGNrW1hx9RexVwwHTcYz/jZQqmf3eD6+YvJK8xgG0N3oo6HaGEtqEA
hVlQUN7MIbIBux3yk0rAHhoxAk6OC2LOU+ynt5BQoLORT3cHoa07DyCM7kYLX8EKxf/06M+ldXLS
DjS8g2eMglCEV7ObInYgViJ2Q8NwMB7VEudiKeMmD9K6XzAapcWLFslVzHZxCYY5vWsb3W87OHdM
x6yMCZIzHpTSqt53CIPuaWKCK3mr1RkxcrQeqm4EraygPXhwVZuV72bxWSS086qc3DME2fGGmWu0
N23RnakiIGKxfn6XVcaip4P2bMOPfa4CpwQsX9nBk9Xk4jtBW+U+0Ogg2Jk3j7Koxk3sDAXJHbAd
SKThszXpPL0Nwkzfe0Q03k8SVQgfuKZbY0NTG47ULeXGASdlc1DlEJ1TGVBWp3I4ddzvd5br53cx
nLeX2nD1i4ko9kvbFd6WeSwRZcye8aimXlyHVsgXzMgGPIRKJzedTkj96FRCr+3zSC96/SJl31Ja
unqRJUYCoxqblxhzHw9F2oN8Udm8xbjm7hLHt/aCALCd2UYa3FEIws5pEqSsrQgfHZUHO8g7DG5t
aphjiRvgHOZwMSYMenvP77ytlTTzJrQS65g0vf9aGI3a1a3oH2q/Ce74Y3CsOq1eY23lezYB0Q7w
SX0r3La/JU+++E7kzrAjhSh/F33sv/sewBu6WvZHo0G4xJwKnna32y4GPHftGRhVmhQ8mVXnubOW
WRrBis76UzU4JGz2Huum2crvqhqEbpLGn6IZPahG7YkxxlLDdztmQ++VPQO5mXr1QLjKOswxS3qR
Cp/Quw9fwDg1Q1V73HcNG7aV6gXTehcGAqsv8G8Rw0itKf7sxXXCHO5cKTTX87IBbfoyhIiBsCMA
p3CQSeyhE5Irx35tpuYkyTi7WGDF89BDMslIezSa5sBRvYXWVKzzJK8PtOTNtsO/sbbYwTH/bfB0
rhDe2dkptbsWSbnXsVhN0NQjtOnHXdol2RHhwvKzMG3YNnSiUGKbd5Ne6TD0TA7WnrZHzFem1I/N
0m2gTZ+3otYSxEI+PNhGI7EXhKV/GK1q2uaAw2hyRp8N3YOaIdtled/emS33WdUDIQl8UX2vPYwI
Y8WvBwiXfCK2innsWDkXREb2hvaz2lhtMd1YWuw7e54P7jDO+0KLDOFf8GORYGU5RgR4CQed48n3
Cnr9siVyiNZFspUjDKXEfmvYD/AX+5OTlOajMw0tDn0jGa+RKqaO9ZTs7ZVkj7NxixF3QA9li5Wr
8XMMGvfEnqB54fNRn5XHusxm/Mg105c/MN4OB09UyLCZv3w0EeRsMyrugtTCwZ1NM9iIPHjkDcj5
nYpl35Y23ocnpm7rtHV0a4VjAot7YlLfjta+MufyLoMKe25RmzB2NYftEIUVdl9jGKqdFknLyqlj
MoNu0/+ZGzbzZMPw0cykDkQju3FXcejpeEv0NN5ol33AsXAK40Fhyo4BXjrDgaCLnkTJtnCzPaOt
8oH6Ii4uGc0ymwlyT6MVx8A6Opq0NMAZoGjpqz+OzYlFZXYfdHb8lXPiTOjcsVlAoGeSz0rp2c7z
ZJs45Mx7KbsiJk/ZbiTUoePPyj7kAWEJdiJo58sYsdcCgqwZ+x5Y2QicKbp6wOFzNVj6F/SEvGB7
bMqxxBE04Is24SJ2lBbrtk6xQrZ6/KHjcfypK/GjBZf5rrLhw60GzL3SCcurb4TuAYMPFjaIlWso
Z/qsbKixdWUOaH0FASkB8xi1BKbojOupNXv7ZNfek5h1ftPSy7FtNhY8T0ECYqvAYbIe3chMFrsI
+sYNc0Z9hWvIlKrUBqKovNtraYHfFYX7v9k7s6XIsWxNv0rZuW5h2pp1cdqs3V0+MDpTQMSNDIJA
8zzr6fvbQFYCERVZeWhrowe/KLNKAtxd2tp7rX/9A14ak//ggCyveUYD5hIk+dpBl11FwAMnEXSG
vZqFOKjMfbtW4kwsLbSGlwFM8GPmxpq/jLU5XplGS1SE1rsBAaq2BPRa6WFnV/ciJobaUUp/nyG0
w6SyQAvHFkVyXmyilUfMoKS+7gUVec0M67toOTjIPUIkjDS+zJk8lEwKXuHRYHuhr4bruIVqQXU1
KIxrC4MZT917+A0Y22y0xCVan9CrS5Xhv6L5WxNy+IY8avEFo1kcm7RG3yZWP+yi1C/2NvYFYtHh
8o8rkKpEt2ZEpkc1JCWyNr1dYU4fnBnYyy4cBJlfOOiw0bMwrlkhDtA8Y3CSw0hkztb2W6D8oMwf
yY90TixCBK77JMdSpoU6gk5J286JYe7cajLWcgq8y8lsIc7BdzlqJrBgqgG8btV8PIakcm6qzZo6
FYmCPceek9Y3il+sEJ6Hp/2kfM37IZSwiXmNpajM+CULKCpoWkrLxkFbU8dD8jIkKTrH72g0yIHo
4A0w0cyASVgYTOizFs8OleH5FQYuJvKm1ucbEHUHk9o/fNVZvvRtr1namvGOm4r/9ds+7V2uEi5V
c4yYL9yOAwZRim4SOd+79iHM0WitmXEhtVvKNeEv45WDB97t5PTlmRbOwZGD4dtXPxpIyoBpKXN8
NNI+uqm8GnV3XqumAi3QTnCPql1ln/e1FvLQRppM3CPrd4lrkrlUcIe5hdGrYDqD6mPpa22OqYlt
4CSbHDkoSr5jQsfgRxmLM6KYmi0W71+Qz2Ch3pYmXtauuNW6zj5qhdmiKSUAA8YFD21imqdGmsBr
M/XaXGWVM+9qhunfqNSDjan1Mby/4a7ozT1U+UuDCgWPsDxZQTifVuYcTud9lx8TsjEfRz0qJnA0
NP+qqF0ss/oQr5B0rBldylHqA0k26P8VI2g53DOKQuQMorhBzJFqqzIihHtRh1Z/zCxk2oUV1S6u
rZp1jlFyf9akcwxPj+3ghHA87YfZqdFDiQpxVRqK7Q1tqF2QJjG5CwbDi9m3ILwWU28dGW2nbE3m
dKsGA69qqTldNHtToY4/+ma8bUL8MPLOjNZGnaVrc6zSdY9aeWGVJhqTeo7gDJsOvlVwTm0UcPMs
UUkmS5ginM14kq3zMNcOcayy9vBISMDRgU4veNDd3eiOww6Pyn43q1TYGNCR7Re2lILZMIxXYTaA
DnXUC3i0VjlulQ6sgmNmoPFZ/1Ryp0/ltyYrcU5hinK8mRuPC6mtVXp57CqGMDzTZSWvPxX1jqzv
xVOlT3DhyP5A/T8oTnvsyp6A8Z6LhTZ9Qpf2xIOgc3HOmpis5JJo26tMNhj1U69hUZmxGckWRH/q
RjrZmGSyRcmeuhVfNi5Dzdw5swYGjOHkVp6OLNoLQgUd0lPL4zy1P8KukUZjKTIundoShyNIt8f8
LOaGJyxcuNExtCRh35U5zscuAiuM3ft2b+AMvpkcJAxsYvRbIJWXZW2gplbKC0WLom2pcMF0pSwu
4J6SpRhRKeOmNWI2RinMsCSvjhiaIRGqkduTS4yeKAQXRpTJfSAHXRVyOEfQvaPre9cZ7C8V92Ba
qLJlTGTzCKWMPjKJ6+QkTFqQAppMI5cC36fO03rqQl3ZkJZQRDeVbFI72a5ChoUnTQcLbSPk0aWp
zWR7y4eUjS4tby2b31S2wZZsiB3ZGptK4KBBr74i6U3uLdlAd7KVxio7/5bL9tp56rRn2XSHsv12
ZSNOeBc9eSrb80w26lC1taNWNu+jbOPbp46+ls19Ltv8WTb8MZt05oPNtr1UfHRPyEAiQYJOwgWm
BA60tnNXv99RBTTNN5zG5w2V2lCTqI1tvhO+uNhVT8Y4ORtoMZfzrX5b3Sm31cVw2pxHC2aASnr6
+3c0JEvylbxAbuFIbFxIlAZxe6r97h0H8ILMgp/IfMXx79OiiRgHGPF0mozRrCHzL8qjeqqg84og
Ce8FrszMwnyMg4T0ZWWa4K/zGFdxumgKRAyRGO2QL1na6mY2feWmYXpxBWOUndvKi0Es0Zg5iQeR
u96OVVEd61mdHBI4Pu44mHncQAcWlu1As5udDdz4gN45i9epIar11DCkdgpz/mYNsb/D5ivd9UyQ
N1goKtdZNCBwa/PkPMz64EhLOzEf9dR3l6FrzfCMibNYpQOhpPEY1V+MQJePY6alN39xUbHkeHtR
DQ0lo7AsUFQDHeM7aiq5EDq9njTiah3jME+iXauR3WpOiutpGu2W5urmXjVahXxiOUMzo87c9Jot
vjZOGOLbWNjBw9R3w2GWGtOR4ohm7wDK3lLfFV90/PlI0W08TBRmJrL6cFFnhPUsMF9NeDRjnfmz
PSXw58AOEErDmFpZgWIfNg4aBa+d+FQET/UUyP6c39Vzl1aUDlaI6kCeR8nT0RQ/HVPo3DmyjKfj
K5QnmSvPtKcL9v8yWm8bJn4sDiIlQ5iwpYVUn/1r3H5191Df/QPUHgeZ4K7+x/au/5FG//gf/IfV
XXaXP/1oFXWvQf1fvsUzvG/rB+wfGjiIYZpAlIIV+uI0ox7AmDZVMP4nTZMDiv+HqEk9sIH2NZcf
8LFp5P4E+NUD1TBQVgq+jvyTzt8B+IX+nrttwgDnGcG3zzJga7h8iNcCPwZR8Get2QDpu+6m4sS9
EutgzQ5N1AdedZiURibgzoV+nY+kbS3n+LqponWU3fhju8Lifun0ZDsl2TfX71dJuA0xX+ww0Xbq
TQ8tCHPDXejcP+XB4fa/6KKbjlSWqMV6nlZVnS8lJXTQpjM9rNe6clg6jzWWoFjCXPUQZx5C8BOi
/CY67pwcjZqgIusRHuQyqWGZEJktrJ0Zg2Ygozzt8dfHTmCZ4uWbWQQ/WAQbjUZMqPVGteJ6HZNf
tSy6lLBnbLFgpeXDverm102rnmfVzBGIa8jC1KfSa+x4aeTf2/TMcvA57vqkpdIEiw6w+aJ+I3EA
a4K9iGM8RuedruMPMGlbxcDlG2vTpZXh9okKBRusM+TSjLwJ5OxwHrNidQ8auSCkmkAgvaBONKCG
V8ZXlUEDt8nrC8xP3WAR49ZhNAmTevx3yHyMrXoFiRPnnHbfWvqp8PXviW3tx4LPin+hCftSQ6cy
XRfMOqFWewGiMUSqhliEFgoaix5yEYTRPshKxtmMJhaGE51W+KzG48mrx+YXTYn46QyVz51q4yfE
AIuoV+vd2mLk04xRwU47ztl13dJmGkazxxxhGw6kSGjojVLbIvcj36TlGUf5xhTGUZs53WpS2Tmz
RhJnfXdnRek2UdQ11gZrsp39Refre70v0MSYl7pB7Ad8nVWlY7iQH6mYBtcl4d4TTicOsBKc1Gg+
R7O7dWyEOgL2ALcQ895HozYvzOQrZJi13xG0VGfrIE5Qg5H/ID2YB6nuao5hrK80UAjpxFPO6r42
63WvG/tJdY/xXT/BmhryKuhk2F7FJQR0YSHKOTTEN8vEpHfuDitrxpIEB2WlwKzdtkcseViVODqs
S7TMTn5iV0AxZK1Bib4nNmGbpuo2IO2ZZ4mAr6Sbj+ex9RzHv5tKc10Qi53xB8kcjJqFIiYQKuNG
04LTOL/S6vqkxiqxEcNVPn7D6XE8KrUJNBMn+a+VT9K0gkxNiXUvLHFUi6XC3zLWADrbSq8f4GdV
iz6bzoKJoZnj463ptnp3VA3SZ37+9vtlosm65nXdI1eJbiPuc/C+4bB+Zzg1FzA7QEl9D5PyH2ja
b5Bvwy0Q36o6XM59TatQX0A2O527/ixo6l08jJK+vRDQJNdU7EDhbryCR7urZ/cs1DL2rvaicVzk
FS3m7GH/WJr5X6xuuLLvPjexYIxFVTZwDhgBoP5252wgM5UwGXxk8rWNdbPOIIYPbAI2YplNUp25
8NOQgoh9EfO8rQJWuMAP6E6z12TmbKowlcZGs7lA1Y/1rW2zZgMNSWOEmjJG7mzBrYv6SzbWjZ6O
+yjuLktFXM/MzrJae8Cn/DIzpJ2200L9qDEHiRLe2CKbCc47W2OvPapdiE962ypUd0wUcPAGhy2H
i7Dv94PTHZH0Bm3fyon2wCfGstxvlT2LBVXTlSXSM4wY6CXN8pEUSoxr9fJqaJVHN9RT0rSsRxqL
ywZL64yckLpv6E3FIx6KZJAESzfnEwTVDtraYnbcZRuaX4ZMbJgEuAu7vh9CZTcBbhfZ4DUCfGhY
qiShRbDh8lJbDIAZhj96kERPgI72RBziaqBqKwSsW0WQahN2MKthRFb0Y1Zu3M5JdY3HzFkH4Ljq
O/B0pd3qkM2rQN1iyXpphsNWZSKSt/F3vMYuUzIOOk2H/8nzHpvoCZ19kKu7ohz2gwHumTqXmcCs
ucusFRWeR7YfBApczEN1za0/VkXqDf3AKRPdAIJue5tpk40L5XSiFsetP3vNZK5bl6w7G056cxvP
l3T9S5jtq7A7cstkB8f8puYSbiYb0xmkpGsyGDZOMnvhACWfbugxCeGstda+A5yu6vhrlWEC5zYx
gcNaqi5nHdw3tuz2Js7s8wKJCH6b1Yo8aVzYyp6hUIyc12AkA/vIyXa+4t4YuB/DtH9wAgV/DbRC
ReEf5zyGC7cv9m2VbMmpXxNtdgkh7SIJ4iMDf2cyBiwc+fGCwvWc329XUGzWtOYEWTY5J9NtrA3k
AY3brAtdNCZY3fgtBJUwvw0a8xgP1i9pS2SVad2ac3U14q1F7kW3q3z7cdb0I5/QLG8APmMeGxxh
mAOY0aIMQoybeqZBrB7evZVVnIEC1Ru7Jn+rmWEaDvVFoU93mKTRBHftrZrqIYnaEOYid9rXRnvd
z85hT9oD2tnIU5JdwhAMNgQhx2JkAhJficbC1bs7UsfxPhtnIBriWEWqbxUi8EZV3WdWgLGv/wXW
8MIhmak23AvS6nCN+0rLvwA5W7p+eIqp17mOv/vEajfi8nGOtMXEFRtH95LkWxr5aFO0QFiiuvCV
+z6B0Der38ZgJLlwXIsO0yvY+rB0e+AG88J3f+BiBMXXM5TT2jktYczqZ3l3Af97XysZEtwSmdZF
P+EvGzvXGXY2CVVHAeaOdhxy9rjS4h9JNDE0cbykubXdqwE/kmg0FnoKmzBcCe1rF1ySoboB6SQ0
7VyRLu4NlsOdxnJRkNRd0BGSSzcfq5jiQYtbtJxREdJUpnUmJLmEtCE3tjgfzkj2ghUOGVG/bTtn
YU0814l267h7xEhLO8XhGNtq9sqbyteIqkJQHET3AyyJrHsc4wIttHs/6nq6dvvmXimtLUHSW3I8
H/qBUIPOxcQzKdzVxBAApviw0qYKPkLh7GKUawtgT4yQguxLROCzRwKf8aDUBCQSC41gieyJoZiP
zDq/CgP8Y+dYXLmJ8rWYppsima9mtFKz39rMgutoqec6NnJtknow+3PPtvJu1Q/596KbN85sb1u6
VgvkfakyFaKuGi8RbRBSqmJUreLtBC7ZEmLRIWGz8MHGiSpfzJZ9n/X4rgzhD2fqrlwSe5dVrCFA
nIJV0VCauH6W4Oohu1MF662+vUr1mdIOLuJsHJM3+Jio6TIWm6C1DlGeYTVbn6BvZvdlblYRMzK1
G8YO5BkTtbCuDXQVBjDeihF0tGrNWoHV7rZemijT4r+Fs6+ldkeZVmL8lUDXx4+9u4rU7LZGZoJc
C/wsaPCjDsUh1ybCpJjMC/Iiidyy7XZp5x3RvQqEFgCMy/9V/egn5IVRwphUL/+6t7yMkiTKXneO
L7/yQgVzDqR9oWaYlBUGKbQ0a8+9ooPBqFAliPGOCgbfSyC8xaiUGt40Eef82SnamJK6hJDoNkYn
uvQ4/RtUMPEWnsJXw9D5VBoOHAhxHcOUTLFXTjC+jl/akGva1gCrPJzrgXC6IjoxfK0EwhywvKpm
wjUJ2fWGMhivoyEJDnPBsKkC/FgJWGCLTOsd3PYbsifa0r6AyDruCqWEly0r4ldX9hfth2wu/iwr
f/68snx79XlNhZzKyJnQskXpsJ0MiFsMbjAvz/2VWsIOJqlGPXEz1d/8/o31d0jez2/9DskrLSND
EoOBZxQ0EdPsNj5NsFxewxgovLhTitXsktjGtsBOpplnY8+036rcbOXaIDxQcWsUXrm5wOoA4wa3
IlaqDs80V+t2WsnVs/TxLNX94ISx2LSM7AKWcZ2r22aOLso+9uo0uk4wmoKnVSklMc8kbNwmkTLN
7JpDtS/CDHflNusue/yrjxMoL/DCx8hLSy07hCRfnJgdGrkawv3XsIMjJoCvj0mk17wpYxhRE6yn
5t+nPlR3aR5slDZWFrkbEhw0CPXaGDAmQVg0bFIdMykfxv06trvvce0ym3QLDTOSyFQ3IVXlei6Y
/+GUgDkXLoi4fsbXpuWfddNwTsBqDbS4GlLlFoDbPWrTODucYvemgVu2MV2JiBrqCoEVfpVzcIKb
GlLUwMZoCnu9BWSJjT6U6aJ37Dsm9ZSFAwomTNkPcZDHNK+fzkY1NNcMlFswPF9f4sLSQgUZRzpC
XOD9NDot/Flfj7W6ZcIJnW089OeJrKQafQ/JDpoCoADFzRI+xqC6Wq3jxBip+LNmDW7bb4h3MShR
SjLER0zZM9iSHl8M85SoxHuqttRvQ1BjFBMwIIL7xcEaZtH50Ln6IU/NIlK6I5/BBZ26hhtaOF4h
wuvPxwz8ZcwwYyutbo1Wr9yqIW63yAg8Dkx3UbvckxDnjDO3QxCENjU9JlGCgW8svMaxfMKbLXXT
RqG/MwwcVSA/h16FRdwyjiyTvEckLf2oz1dENRxy2HpK0ffLPsx2s16TeRtGqRfR1a9GU1fWQ8no
E5EuMR1JNx0N1MjIlNpoo/bZvWHnV62kt+PVw/QB1njoXNEMrhoLvbKWci3NwQBtTvqtpTNqSird
XuY27OcUlh+Et3I1uPT9vWtu0S/ai8zwN5b5Jc8bSjF9wrEMEtZKR5m5UnzFWfppvGKwQhSF7cSb
ilmsyFX1SAkMHjUJPI8EDi6KsrWPpqJMLqF7KqvJtjfjYFzK/CKs3kaUNVOoUlLGp5YzUsiFhBy0
Ba1FG6vjalK0jTLUDCFBdQwruOg0CJNYxBIhleyqzLmIGOQtqmm8Iqv7yCyjZdsyYca9awtyvhrs
3hubL3OKurzCesRWu4sQg5lrrIWiNYZGqIS6OyhzhB0E9PQJguYsv2qU2tNGd40l8Hdyo72W8DKA
FNEvK60Jl0Q9nSKhCDdi7hdRXJ1H+OsrtTgb7eAw9nPtJLMqhSxvpCjrwGcUALG/aGCpCZPrnquX
YzOtGy3VLoAegjWjYZVnux+/9xpVqprXVkb4re7ehWnE/+dr7ca5MblVLjjV0EGk8asyXVuor0Hi
pFyt0vNtXUb5Tksweyw7OBQ1sqdzx8eSkcDSmRKz6rapEqD4ZV/Ejl9liAAez+43HE3q0F3VzNzW
c0tGjx4o6mYIBaFL9FXAcLmtHgt7VJn/dxIrQMQ4UBdvowKqiQ/BbZvGBfy+mTAOBKHqsUU6MVKc
w1rTJ8+0kqspj1uM41rOh8T4grOhJDnYyTKdArGosaTzFK2sT7WKMl91SLFpmUkvtHoAXUsYt4Kk
RRgOj+kiVmp1oxAZ4dkqiTFu0Zi3Gd7uNmHYIUnWy2x24i21eLxiTjNv6wHdAjPmRzuQMvuo3ZiW
ri0Vohy2jRt9hVbFED3yz+1IJ/Ar9Jkwk4GxYHTde4MCby7DxOWU9IiL359jb5Hhp1OMfEeNkSYs
SoqId/iGUIxQIDkQW5RX50WUWdssBgtAN/IX7m/62yHN8ztZggIDbF5XMfJ6e1Tj8jDEqIeJE+kz
umfo8spSZ7yH1BTqI4RASAWVSC5bwIttQlQsREke47B3VeLN/OrIHdoayktxi5yuPk8G/PCI0mOL
DUSen5r27G8ToUaU0mmwRb1G5zyOjVcTCrRqcvWwrlQ4JmXwSDCPslDahiakzs75HEyK2/Tu71/Y
11/33UwqNtJUKxJTbBWTqrqpR3054SW9IgVpXv7+rSTt410R5Fi2NDzhfwwHo5c3RZAYSLdhBi62
UWc/tjazpck0voHA5KvaLG9//2bvrONf7uOrd3uH5CkRVvVjQStjRv1+7kz9Rs/CDrwueBARwROV
lbT7LkzDQ6fVZrqnUV9pCX7aEAXbEzfutjF3En1hu0mtalzHTQdA47OzBGOXraKIW5iYBG4TL2nS
9hX5HvFNvigTOTEYBX+NgB2mcMrxKCsCyEDqyqBI+P33fOfJ+POT8a4UTtoxD1Ut0Ld90JmAVO4P
ganXgoCRAr6KdW/h1YWmHdDdlZVCaQ/F6vcfQV7Jd/eVil9Y0uYKVoEhn6hXxW0CKgMfsBJbqzJh
sWDTucx0LaF0s5R91CtauugqlIW/f9dfffE3b/uuptZaWBagzoAihsnTyXzSTgQnc+0jf6xV5TCf
xlOfvMR9Kqsce8Di+7/wEdiU8OATMrjh/bwqVcXYlFkktnqE73DDkRiZzYnjWv7Sb01iPEAgCAyk
3tStb+z61fr3H+AXT5T7+v3fPbzd4JJ/mgfGtk27b3oTjadt7uuHWWXxbCnB8zj237TffFppfFPV
5B4L0iDMdztjiN123UKv2Jp6gxcHvmhY7/qt9/vv9Iud/s27vPtOjc6whVh6GH4tkSQYGAkYDobX
kpX1F7fvV+8kv4oKn5Zu9af9CGOJfJ4tdTv7oJODI25Sy91xzvzFN/rlSn39Ru+2IvqPrvXT2uDp
JPQyGtozWKfGxu0cH31+p18mYCdov2V5XMlCWSvb8i9GBL9omQ2GX8ixHBV7U3r3t0+pH45DZUe+
vu3suNzOQ91flUx1d5Av9W2pj9dF6SaroA/QKfcT5RumRUsGQerCzpQ7xUZJXhYKmzbVRX6UBNkN
nPJ0j6roS1xjYvD7VaDLtvTtpmKowjWx8GIUo/KMvf24iugTP5trPhoOerCxC8yvVdDKGZDZUuaT
0bVGr+xUckdC0MoBQJAmVFlHY0L5buap12fs6HWP727GPCcmCi3DSQORCOYxNBGPZYlbr1phb67r
xpGw+2oB0El7Njmk6SgMhUsc31dtiR9/n/5AOCwQRlTZUrV647hpmucS538b2+G1NPG//x8UoSMA
k2yMfV8tEKmSfFE/nt5lP/7zP06iuajv3oBVf/7aM17lEohDLKxpOi9BOc9gFT6u4FACLIxV7zz7
uP5BbDD4DTY0XvjOwfFjQ/tDuSgO8LfDqJXFJ3Q5Lv47cBXA1JvV7GCeAYmK6Zylm4YjCNJ5u5p1
N1AKIrh6VmsVnmgidEmXbMRFmuzDoD6dGct5g2UflQLT5hny3wKi/0b4lJ3CBGqdY4iks2FfYrlw
gs6QVO+6/9bPRC048YmCNGfBFJaeMdMfm7FOzkyUCSX8Sbfcdw4pYQt8Ub/ZTXRHPSLWk2qYt1Dh
YDHYAc8EJPtlxNAEI477yiXcsevGe80nNnJBtLV1QbpFsQwHyUrObpug3ecWHgwkzQRLy9UQniQE
7aDLWVBwPGru7O/UOUtvarfDCagdslM6T2+cwl1Z9dp6NobLptFPdHwK0P97ophrDBJ0gZ/B+Gjl
Il1OpQovHPk7gH8Pg5BhNcEG9bLN7OiYmI6jUUuOcqfxvaHt7rI8ilfFiJOYaE3ds00gPg23n4U6
pjhZ2sMeBjrW7FGVrXyV8gDpa4NxqCyRUrUv7pNOdBtY/cd2nxzZuYuivok2o25V63QoMkQE0Uwo
ZbGCiYi6NI4YrVr2RWjgwVcmGelpQcx0D47Moq/M+osT7i0tuRo76LMmAfAu8wajAELKp1XgjzfQ
vxgiKKI+iVM3OlTD+hGwCOTcWKcYeapOtu2pmhB3IWrrSbPF+QL7UXeEtt13ymUdmMP31HDw5av0
5gz/oaAKv7MtEdAUY84baMQhjPY+ruZz7nWwMLQiW5faYB+nFShXYY8Owkr8RGcf41PdJvGdsYCT
6bvaqTCNqQ1np+ATRxJo1AMyhOT7zH2/6Ek9hIMTciZrjYUBDmLRMHTx64HjPdj8s2H0aYojPGe7
JPhW4gO0rMko7zv1UJ26r9WU3CSTnW3akje28F+L9QsEEdrFZCgXuNrtxkxUnmPjBOo7BnQZaRRg
FBocgNY8TPMWgwKJhw1EIU1CS2mjkPPXlr8NY1vyG+jZFJyMD+18DE99d5AeSbZ/nFpAQFqsXGuF
fgym0HhOT3CoNoXFsgzqewPT/6XQi+se5QOGBsNXmwnkj6lEozkHxg+IylBTcZmi6b6cseBawFWO
lgpWikviF2oPY4BdKzpSFw1Z9bbJMfm3p4iYc6a00UOOQHTTpN0GB2SgHlV9rPrkXEEIcFShC1za
Q76sCtZm3IztUm/ramE6erxNG2S0dVGsym7cxKW9TgvrIamqm8wML8YefhNzPxKaWIDrqQ7FSV1p
zAtroFMngjDO37EGwG7R7YR9PM7oDpw69ZoBhV7Q215hq2cwS1ln6P2DpVm7twhz0Tp1S6xY9zMq
rkYwujbS6Qa/W+yhlPuw0GDIGtgA7bN8Sjb2zI0PlZPcgaJSdoRUmsZhmD6apK3AJvfmNlTPFFW6
q3An1xlWXgB/3QIZsn83xHtyHXedANJElnMS5MzHTAD5CJeNZT3W99nsh8eR1U/rlkkANCqRRYeV
GrJVOsidf6BjwAmz9jpWY2YAV3Cyf5mE6dm9stSCEz1UEFT3NoYS9bJAYpOrMsLCZh7JlVPM+csM
p/SiEszCIYfjwOcpgF+GOWa7YFAvUJ1K3wP8C8uCqFMVizAAgAWFh9cWMGAbJVn3qk02AND1WmmN
xxK4m+/a3umZiyQUvSsmVwN60GHXFRdzl+wCAqdkgPchHLJbLDGMYWmEfXjd6lkVL9tZVzeIquPH
qoFZs6g00XwZ6ky9ZUhHKgsJLNrNZNqIkbNOm75GaYEGCT0kATCRSVBw5vSeFrnYYHQzyZgJAT5J
nTgL4KzyseRR205Kh8WIkZldsaWmh/jB/RHrBtog8pL26U/rNVYxduY0Nh9VsUlOwVwZTK8o0r1a
I6pA4Kdr8UYN3AB3oVZaxWhpBpGs11PCpiFImBWsbtxVlvDcCdTuM8tZtE7v72PTnIGUOuivrlLc
o3mETz1OkjxVXel5cWRWoYNSVMz7Qc1bz0pyZvUK7cmJ3rkMoDET5dSogvTCGSzl2MjbYO+rCW6R
EGbvoPASw5bbFnZ7QetuIoLuu00Kw/V6oInfYOrvnwbkumzYNW7dXs8KUtCb9ChUK3PNcZ1iMVTf
5e5g7mfm1e2xtE7uFxAAStDVzrlFJAR5Q40IlNQqzWQzSqLbPvdBvVG7pwujgyfWzUZyVua1s2uS
Qf+GWN9Z6WoRVV4MkWcX6CaKHp152bVqR9DktdJVt2UyRSepWzwYSVxegVHC3EgK+9SIGeNi8I7w
3O/mu8IKoOWkVlYgF/tqJsaN04vZm0UBMpvkj2Pv1piCdvC80jbVuXb4zITI6h644OnlUAnslV1W
lofbHjOpwvUs/EBY3FW/mHUt8BqlSq5dpmnCx+SkzftwTYhMxFwtjTEq0/38HqPTdtiMjV3NDKjJ
cVoaJqeP3cblXUwG1G7G3vVKw08Sf0hMnMgp8a290IKUtO3DUaMjgm43ix2pTOaN3gWwS8Y4+1Y1
BukqKU8XwlV0gBzQ3aVEFqY0SuDAuCr0K9W/IAUMfRmeezULVZ8hHyL1O7N6eJoNWWWLsi4S76k0
CqdJrLAUeCjb5r7Cs2zjRAHuTPVYfSmdZoY5RcMOP3uBrBHxmxsHz5DU/y/w/8qhRIXuDIX4dwX+
UlqTRFCcw9cDaWr8l9984S9bB0/tK4kHT7W8ZCm/8JetA2xJNFW1pJm0/tqfBPoyjDhpPe2QW+IY
dJovVb6uHjDXlkNk3cGeWhV/q8oXvPmrlpW5Nrlrrsr4m08BwPnUBLzCwaAL2SiGpdX6UFfXWVXY
t5UtghNHI6yB3JZ6/Noq6r2PGveHU+v5t6FrpqUFnb5DfjsAUfWcYrZJCi4Ge8Vhn5WEKztR+mBi
RHHzdHn/r1mML1/kl345/3SNkT/dF1HeXhU/mer8W//oDw7Cr//QGwMeeDR5K+18gqjI3yxSSTV+
Q7N4+khP5j+/+wvpHfOT7oHuVtMOdGA8CBsyOkS+/uMfaZEHLz+23QPdIn4PPrzsVVldr2/1rz/6
z65D/+o6/Y1LcPeQRfhANG0dfW9fXwIeMCF+esD/xWV491f+vAxCO7D4dhpd+pvvTwvvoD/gyeYp
fnp9tu+vo4FgN/h3FsG//PaaBd9GCsbE0z1WVTCEV4vAUQ9MC/iACJHna/C86F49Jv+1G/zvLJQ3
q/jdF3j2qNo9sIqFZEt/9BoAkMjNmJ305U6/ugZyIWC64qruZ70GtqviPwW686HLQCQCD7yG1OqX
l8E2DuA+Wa6lAWnJF8A27/eJloIwZVzSR6+BDSrPQvjzoX+1FNgTXbpIYbrG8zX4dI/DEz6JmOqD
10FT4dTBwhPu200RKRcbhVRJUfTIFz/+XIuA5csk8EOLgNAsJKCY1Jugp/L1bk/kxwRgoT97fqNP
9ARIld2Hb711YGKqRxId5e7T682JwApwTApkR6Bqkq/Ptw2A7KN2/fDJaB9Q0nMqmC9HI3f71Vbg
WjwJyBZZCs+vT1cekb7zZLP44eNRHDCllPGHL8/8u8dBQ40pOCDVT/c4vDRyfN6P7QfqAfJQ+Xqp
hN9eAFsWivyQrKPPthm+XICPVgYwrC3EX4jUZKUsv+qbR4EEJvwxEcqTM/j0+nSPgiyQNMm5+tg6
oFNwqYBgHb683l4GwYaBvYXDP3l+fbrlgBfi+4Hn322XNPcA6IK6gH3/1XZoWwc6FHuDeMjnJfLp
1oCw8F/54AoQBngP5Q8wy/O3fPcgcCZQOVA3fNZOQRgMnT94EXSm1LJltCTwJV/vLoLMY+Nav8y4
PyFu8MfB+NFmQdMPmLBTJ//RHFNyvHokHJPeGUsTIITn7eDT1cosVPej5aKu8y3J0aIm/Oeu9+oi
2KYskywOjs96NmD6IJucD50MggqBjhA46tcXwTpAL6SxGF7Oz09XKWmWLqlZH7sI4gDhFtss8Yy/
2hfcA5stgw7l+ady2+D9PlH3xLn+4a5BUCzbFvCAHBK8fg5AT0iFfBa0fbKvLT/VB+89W6EJGRfs
5NclsnMAAxBLJwzDn16frlJml7aeO9lnYuo/8e2fAfV3UOQrJFmgULToFt/fe4fH31bJ4X6+zJ9o
yRtMrz5aEQr3wKA1lBOwXz73slEmUUt7gcw+H25Iva5++BjEyYjZm+lq3OPXz715wK7vwL17aRo+
3cp/7hH1j64CBgkqob3UhL88Al1Yj/DVbftlf1A/3aOA5PjDxRCwqSl0prA8C8+vN4vB4SLA+jaY
KD0/KZ8PO/szd/ljtYB9wI2GySrH1a8fB/cASaPEkl52g2eU7hPtiH80B88f7L9+GDDlp/RXOVZe
0ICfLgTngU7v8LJQPt1S0JkJfvREpCxguWPwZr/dFR37gHgpyqQ/Js9/49v/G2vln0P4Jfrbh6cZ
ffSjeZWL85f/4I/x9M9/4GUqKUeP/5O1a+lpGIbBf2XiwJkNJA6IHQCJsa0woUmcTRst3dpuSlqh
/nucRx/u2iLhHbe2nx03Dzv+6kwxBU9uNIwUB+3yk+b3nLgL1t1tXazcXyvHP+4beC6ayKpaVf25
iIUCFcrSXii9mo7HjoX7JBb02yiIhJbtFLpLmTUKPV4RdVte4Si+1pQl75KyXFg8fwtUW1uX2+HC
LkCV3ePm3cYYGzlOIZSQ9Fra7bxwRSwhTYvJNaSnh8kKsCh7TCzkI3qulBWoDEkuB2hb32+gsbGx
n5rPRR2OHUcuAucCr+GgJUQ/QpwIuovquOgBRLLsH0MufuIK+IhiVL+tufdIuMCbIipCKZQqCbiL
+Png2R6+KbD1prnAn7AHnSM/j2C7/CYXe7gGzfDRZ7U7NDYRbiGNEyyaGhVtrX1sydXanqbWN7V4
HhAX/0vofPIksh0kRHvnB3DRA8DJHCesXJE+7gNQLvprsUf0vK13nfNhYx+JxjXZhouLq3JdTPc9
Do/fWGn3TSfISNW0HZ7lxpanimx4eaqT5lwx4x/NcQeYik8F7UEYv5oP+dDB5GreX/a4wrUrlZFl
2TVcWaawsnnVHXTkHZtInIseQGbsVAF51Q34BcwUiB36OFCSUeF3ETClwtX9RWDVnAqm0fwO01Zs
6Hq8dYpX+zz5lC/iT0Y5cwA8Swl5HuszznpD9uBaya4z46d2MhuxxKVg8FTQC3ShrcChtev6+M3W
BtdCa4jQPlVnMX30HvN8GOvjMXxIobyZzW4vMdD656P/lGEffV998WadlzmPQivqbt9jNMQ2d4SJ
ADX/BQAA//8=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plotSurface>
          <cx:spPr>
            <a:ln>
              <a:noFill/>
            </a:ln>
          </cx:spPr>
        </cx:plotSurface>
        <cx:series layoutId="regionMap" uniqueId="{D5D12091-58F0-41E3-BBDA-FADC4AE45043}">
          <cx:dataLabels/>
          <cx:dataId val="0"/>
          <cx:layoutPr>
            <cx:geography cultureLanguage="en-US" cultureRegion="IN" attribution="Powered by Bing">
              <cx:geoCache provider="{E9337A44-BEBE-4D9F-B70C-5C5E7DAFC167}">
                <cx:binary>1HzZct3GsuWvKPTQTw265uH09Y0whj1zpgb7BbElUgCqgMI8fn2nRMlX3Je+1umjE9HEiy0CBSRq
VWauXFnY//Fx+sfH/OHYvJqK3LX/+Dj9+jrtuuofv/zSfkwfimN7VmQfm7ItP3VnH8vil/LTp+zj
wy/3zXHMXPILQZj98jE9Nt3D9Po//wPuljyUh/LjsctKd90/NPPNQ9vnXfs/nHv21KvjfZG5MGu7
JvvY4V9fB2l67LqsTY5N+vrVg+uybr6bq4dfXz+58vWrX07v99+e/SoH87r+HsYSfEaEUExzgr4c
+PWrvHTJ19OKnCGGieSIfHvmxbGAcT9qzRdbjvf3zUPbwit9+e/p6Cf2w8m7168+lr3rPs9dAtP4
6+utu8+Or19lbRk8ngjKz8ZvL7687S9PZ/0//+PkD/D+J3/5DpjTyfq7U/8Nl92xKPpXR3f/an9s
0yJrvk3Uvw4OpWdcSM05wvrxeAKO5GcYSSHEt9Pi26MfMXq07H8di+r//Ihtz0P17E1OENvtXxRi
v7n7Y3F0XzC7yD6WH8D7t20OELbfJvBfxw6TMwEORRRiT0DT5ExRTISi6E9MH535EbT/R+OeB+9/
vNkJiL+BM70gtzs/3qfz8dVVc7x/aH9mQASfowpLztVzAVGqM6KUFpR+dUn6bck8wvfjZj2P2On4
E5DOr14USOGffhZm/beJ+td9i6Az9piunsfos4sBeFidgPPD5jyPzcnwE2hOzr4gV7rqnTl++Hnw
UHSmGMFcE/kk9EG+YlgopJF8DH0n8Py9Hc/j8m3cCSBX/ovyFYjVafNvCGiYn0Ew41jp/0o43zE8
qc+04AzQYs+C8uNmPQ/O6fgTkH57WQHt7gFoQnJ0QEZ/FgPH8gyimOAaq6feos8Q0p+Z+Vdg4PT3
ROGHTHkek++GnsBxt35ZPtP07gjVV/5v4AHyjGtKleb4kQdAAfSd22jxmXtTKb451Qn3/u2fsex5
lJ65xQlav928KLQ2WfFvAoviM00oh0L22SpWyjNCBcEUks+X4wSsf8aw57H673c4gWrzsuLcb217
LL7Fm59A2MQZ5QycCbLQ4/HUmYCwgcYACYo+n4P+zprnQfn6EidI/Hb7opzGz0Bc+olI8DNQFBTH
/DNDhuNE74HTSAvBNIS777PN35rxPARfh51A4L+suBUeQe17VAuOoL692hyHhzz7Nj8/wTvQGSaa
MKyfSgWSQo5BjHD5NarB6e8x+efteh6kv7rPCWp/ddkLqnTChzz9mcCpM8Eo1QgkuGecCdIOxpxJ
8LbHsHaSdv7Wmr+A6/ElTtE5vKiwdtXf96CvN838bU3/636E8ZnSBAtCn2cB+kwCQZCEPYL1OfR9
704/ZtLzmHw/9gSYq99fFDDr8mfWNvyMCkqoJs/mfcnOECdCC0IeHYQ/ReRvbHkeii+DTjBY//ay
MOjNsTl23ybjX/cMAmK0honGX4UXrZ/wL4mh1pGIKrjk8fj26EdRc/339vwFFt8GnuKxe1F4bI7N
/FNrfqLPsFaQ72HBf1dUSqDJDEF8Yn9Rp/y9Hc/j8OcLnOCweVlEbAdU2KZHd/9tef4Ez6Bnggug
X+pr6fFUhFEcOnAMU+jXPDrGCQX7IYuex+S7oSeo7DYvyjtujubYdgDLT0RFnHHFIHGobwHrqZ/Q
MwU9UQJtmsdUfpI3fsii51H5bugJKjcvK2btj407dkf7M7M5O5MY6hH2tflyUjtC9MJQW0Jl+XwV
/0MWPY/Kd0NPUNm/rMz+puuggPz5TUvxqH/hr1rlCTIKQRQTlJNvQe6k8fLDVj2PzsnwE4TevCzl
a//QHPOf6TTQqwQBH8PxJ7d6mvIZAt4FjbHHUHaiu/y9Oc9j8m3cCRj7l1UlHo62TY/348ND9fOS
C5SJRApod6mnuf5zNcKIFkqepJMftOJ5IJ4MPkHjEL6oRH9+BP4Fe5y65mf6hz5jsPdMUZB/vxz4
aar/3GdRmpKvTTB9gs0P2vQ8Nk8Gn2Bz/rJI2AUok593MP08NyHiDAmsoKPybODS7IwJIGDya6mC
oNf/vZryIwY9j8p/jTyB5OJlBa/L+wyC17dZ+QmlCmRxTBFj4CrfqvTvMokCQIiCLgvsr/hynHjK
35vzPBzfxp2AcfmySse7Y5Hlry6O9/3PAwQSCcICKNdpIlFnDElEED/xiR8z4nkYvh97AsXdy9q5
94UuHn9yHQ97jqBKR7CX+auEdZLb9RnAQaHM/+o6J87xgzY9D82TwSfYvHlZW2PfPbTdK/8Btrjk
P89PyOdyHXYYIfl0P5iSZ1qC5Mi+1ounuf0HjXkelCeDT0B55/9/zbueb6g9JtfHNPLkin92xz+B
XjzhSPFv0/6UcOnPkr2Q0CR+TCMnTauvW/H/2prn4fg67Inh/+Z9/X+95//PDyJCUEiiL19SfLft
/38+++X14BuPk6Ffuc+zWf5xrrb3v77GXIDy/ucHGp/v8YQ0nW6WOx35AELbr68h00vYLwYbJjjB
DHQyiHUjOO6vr0GCgR1JnAqsqWJwEYDnyqZL4dEgOcP+GIkwlvhLidOW/ZcT0BuADo3WcDsByo7+
8zOWqzKfk9L9OR9f//3K9cVVmbmuhbui16+qx8s+v59knx+BodGgtRJccQFxtvp4vIFPZT5f/b9F
m3sD7k23avpkbG/TXqm7RXquCnmpxSWTqWpDD5f1yqGpXDHUmSjvEg6V0p/T9owdhEjQNJ5YAmZI
iPaScsoE7Oj+bOl3liA+iMybNYlK3LZvrZr7MBY63g5JQe56m+nDJIS/COcXcTkFVdlvVK69CJuJ
b+BP2crDtlyXNi3+4GmFfJdmc+3nIsvCIon5FermeLuQloSz1v1FarK08E3NbcRqj1ynbeP5WU3c
VqVFE3i1t3TBlORx5DV2DCmXc+QS7YIU9eN7TJgkq05wFxk1673oLZ99TQYbGLh+9sd+wtsmFtOx
9BwJesMuiox6GyUMz/2l7egRcZSfc5rHjd/Veb/4E6r3k+iCTMzTB0q75R7bht9pWATrcqbDrrNj
e5XltjS+SW1W+slYfuikare9GJrLlHV4h0pMQpGqfgWRvLtKBI1D5sgcIUN3eVltpswzftGL5M3M
dF77hs1twAwW73Ef66AUiLxJR+2t+srSrXE09peBkkOdJt4KLkHrScYiLMe02bQM6UPi0XE7QFc9
bOZ85eZkDmtW9/u587KLPmNJVI11Fcm+Jjboa0dXsxx5FHdsjhIuujteoyrUWUlDmdTpbe5G/l4u
Ko6auW0i2iC0qVq6wKvVV4udZ78Q3nieFNbc9ePkvRvHelgZ3sQb0EKR35Qki+qyMgFdmuG+LoyK
RGHdNSsUzfxYeP35WBXNLksoC6E/vWqn8Zyl9UY5b6/qVKySyROrAclLSU06+8gmOFhQtiaFI77H
Gx5J6/Ta0rnz21ZUIUvnfCNSL3TxYoPWFFEr2qu8z4Sfp3Hty7514Vg02YYOLA2rrqkvKmu795lJ
urVruzJYkqQLZud5H+RST5Ea3HxRcD2EeoT1lMGyWrG+tVFF2+Lz/4n7pOn0epyq5N1CPOJ8Dw/z
ecJGB88s8TWaKL7qi2G6RJW3BHU1TOG4VJlfaHeZ5Xnjp0W/rKuk667znIt1nrPlmnWxierFy4KC
ijIYxJJd2Tlzl/CVTBJRkvHI9UZs05qwgKd1EjYOkWCQXbUpx6p6mztKAU1Z+y63aeR08YmOaRLh
URd3MZOjL+dGhnCPMujTWmyGSS+HKZ3YtuSdWjuXkIi6WZd+WcgkKDytoyZBKpimuAqbhGabpvNU
ZJMZTWvJS9T6VjV81VM+SAgRAnyttSL0qklS3xVzsTF9TndzKmO/p5O4zFqP3gzTGCDXXkzVsqz1
UPJzVbJ5bXI3hGwQ+DxR6aWGIBMRxS5RXwR5Ok5Bgly/HzDNPs5lk34qkqkPdN65AOslPsx4RJeL
pPX7BKL+hva52DXDUJ27kXXbxQ185UkpLlswO6h7Ht8kjtEjqVS2E6bjm27s+48Ny+sbiMxqm8uy
+YPUvQmwNHGgE1GkQZX1vfM5S4TdKsaDCRZ/7cey7+c1X+piDNPEFLPfVnW/ilM7rnirVXXhBjS6
sG8Sc96PVRKmjWdWJhlokJaqdX4cJ2mAXSO7kNSI5oHqB9r5mI4iHLL4LWVefMmKrFwCwnVJ/CrN
AWedkY7/XmDVX3ukFLlPUNu8betqCSyOk0vRNcUOkt9wHtN0XkFMm9ft3LvdOBfp7xV2wxCopAG/
Tgev8yeq7WqpRpcEBOuJHtLK8p1kLGYRrfTDbIVNtpVzdTT2ndupvOXvWaa7zWLKgvlDR0ffKSnW
jslp8aHIqD5lpZ2rKF6a7pNsVevHw9K9L7DuN5UoL13qvaunsd04D2FfY8F95bJi8asc68Kfhe7A
/xf2ey6t0L5Ik/I9K5p8q80MD0Cj3MZjpoK5KNw2JfGYhx6Jpzbo6ji/wuk44HURj2zaCjMP+lAV
MbYPwuNtf4NNwW6TqqTTqqu86tiCKxzjmLi3ZZ5653UiXOrHJSToCDfwtEIv45vKsMaDJBWzt8kw
vLeF9vaz4lO8R2xuAiHGRQS8y1CAMjrSQHxe/0nV0Bs3qUKFxrk2mLJZfMIz4TeQClu1HaXJzXXX
tuW2kzi77ZsaKAHuJxFSXBN+MRS6/pQULUVRmknxztUT/TiPat52VcXXczaIvZgH9aALiZkfE2Q2
nsL8EBs2pb5Xj/UtSbk4dxPMqrW5XA+4Zj5rvVrc2FjUvxdM1DcMovXtXNT1xjhvWCVtQviqsqkS
vmZqOqdLTDeMZ0kkW+AuI4ul3w2jfNumKFeXLY6l2Q32xtOD2htiWp8xm0TIlnEVGI1q9K7UTfb7
yE1P/KbKltYv8qSjUVb2/A+B0tpdmqU2ZdRlbjF+mysU5dhrWn8hGl9jR0sIt15ynY58fJ83FX5D
vZHelh0udhq3fEXoVF7GuZe8cUKnW2A1tvLFALcArjWakLpmCPMpG9d1Sbo9lkwFwNK8az6Tco3r
vg3cuJQPMpvISg2eNwckiYc3zYSdCa2p3eALZ6eL2Raki5ZlJtRf0qHgQVKU08bgsQ/HJNnGbTl9
SKU3hmUzp+8SUrTnkiZF4KUpDlzBaDDABAfLAPmzMHXg6Ult02JaLvsuF2FT67YKKCo84GJqPU0m
TyGo2qJtAxuX3bSvYuexws/HnmxkOy3jri1NugM6U4YzwSa9A9og7ljbp1OgKsjva20kvrJ1vvjj
LGApLKVoA9PQ5gZGrbiZs3XTT+McFNyFIkdyPybtHKXlnBSha5v2fRWLxY8Nn7fYkG4V2yaBdET1
ytXc80ss83VcLsnlsMx81TFYoyxt1EF4depnSZP5GfMr9pCi7dS49wL1x5hL31C7I/J9M4yUBPkQ
9z6bvPYD8Mty1WFeTaGb5uGdl871Vd5kJqI2zm2Yg/Z6UXqQLNcz6oUJW6vXyrMmTKzO1ybmbGOS
RKw5ylSInRjqizKDYKt4j33cF1U0xQjPV+2ESLkry4WfC10MVylPvcYfaG72mdX2bujj1Cc5Qms+
tPnWtNxcDWlK28hU5fwwkCKXQVKO5p3qdBw6j5ss1KaVNDCIiioYMS2LqCwUmaLJtcjEPh8aSLUD
l+lWtVMWmKwa2yCOi2TDp5Ftl7KpVqJu3MHJHl2YUdYE+K19O5UpJbshGbzQjFjGGx3Hdb4xyriD
IqqvfLzwDbzyGIgBe5uBDvhD3yb0io2kBV7dzugWok3KYeH2fRWmUxaHTRdHxRAPO5voQ2PVikqb
R0B6qnUSu+Qwct76pM+94zLGXbseROftlDHHmnr6sqYy9fx5IflD72RyaSEqQvbvisRvJgbVQz/H
c2gZcucyz4C9eQN6W6FMX0GCq/clGtlea69bQe+pX7GJwJqYyvgTz0UeWUzl5cQzAgRa9llQjhJD
FK28t55YIIbMUxxPga4cWtuqaCOZ8/pmGQWL/akj9KKJkQ4yvUxHbvL4eoYoviaJh/yi40DLsMuD
Pm8fGlYVgUhQHUqOK8icSQykc8Ehx+NF3AApyEa6p4BQZGYro0Gg8k1FJIsEJBo/r2oTFVksz+c0
T9/ivrmoiehWrS3bdV6SdoK3XrpDwxO7F7aREEhI3m9KqDFCnaRkixifr9nE84Dlbp+X+RtBigcv
VpfdoErf4tQG9WTRKkvduPUyBZnJtEEpZesL3C2XeV0XH4e56S9LYF9+ByzgkC423QiVjDuJP9jR
+l3XsZWlNkDJNG+ox1KopZYxnNO5WGFISIk/JHNqgixJNiLr5yAmo1+m2ynju3QWh8Yle7tk4jyR
Cd47lTW+NXS0wVLxKszx4AFlLO7VWCfYb4fxrgJnWjGXlIFQcxWg2mZhqgZ7nczAaOMmYXvV9eya
4ULtBlQNUYeNDqWnsnUM3r7vZzk5n5YNBgrq0OdlyAM5w9LwpiYPSz5t4lyItW2ynbLdGqVjiFW6
RnKANT0Ho+N5CKwj28UFNkFDzLRvQPwJZwG5yV/Kst9iWeCV8Qz1E8abJihsw8JlmTYsqzc1Ag6x
sEEFsFGz9RNh8m28FBD/hgGgjqvSC9Ji9qKyTb19mtT6PeIVW7fxjN81Cii7rpN8V01LH2IPJ+e5
x1nERz1slsGQPxRV9J2QS3UDDNhsuzgb3loXl1vqKu8GDz2/sUttIVZylfrMNemh6Ux6nhb1EiEg
bR+hsQ4lNK6o8VlX3tO05r7HusNUm31bxDycUfwBTZD76BwsnuVBn3l3tem9PZkH4VejbjfenMvt
RHp9PopR36rYdKFLahOUGAjsIB2NWopVyGV1QKnDAc7KUKDYTymDKhIVN2aYLPAE1xyxcCwsPBoH
DEr8bUvJZrKLt0M0KyKHx+6i0127k9re8DINuHLCJ6y5KMm7Gk3nvUXRQtWKdOJ3m46XbkR4Y9Pp
VmmzSrziZi6aTWzx57QkEj/G5RAANXzXJPp9UeiQDNmxAWEjyBtbh4ly6Y2Z+mKjOwGBfaTuwOxI
YB035VYru1c8LXbJxJa9aFIvklzlm8KqNZttGViT5psYuWw7dnmypkN/i6jLfDW7ISA5FHjL4NUW
FkcptohDcbWkhf1IiSkPtpdmCbLRidD0ECMJ8jZpaWjIuxytE13Eq9LKeD/lvIg8nbQbjaHS911t
5CFLSOyrSYZLq4Ztk9t8nckt7tM9LshmoUUdVTjjb6pKdgfEJH2TGVZBzB06HXEyQ2K0RVEI38az
6gNler5a2qx66406DxWFEmURHrCwRVf7tETDbSWLK8uRb2YO1w8iSonZdUX94CbenBd29go/UchF
EOB3qFJh3eBiBRJTtTXKxkFNJxsS28znC8FDKOCjjY8U3s9Pyt52gXQTe997qt4ORqmrqXd8FaMB
h05qv03yKhrqCa3E0AU9jRHEvPI9FR66GWLTQoUz6fm6gI4S8ZUnmlXHFVnDL9CU/jgimHorbSCH
UUej5yWJXzX8UDjGQlGJ8SDnWB0GWp4nGfKnBT8wylK/XeRO69sJ2TBL6dWc5duiyz6MSf8wJ42g
PqpKIOKknnKfi6TetLgpV5A2vWDk+RQa4qGo9IrxorcDhirbyzaQuTYW8w2WbTiyIRyRsj7U4Rul
SnAoWUSQbR/ESC48x/W6lcuGe3jP1bD4wLVW9TD83pMxaYKJUrutIR3cNhjNFzROf+8pWYKm9N7S
TPPLwkzd0eO02sB531mgLRIKiC2toRoDiuLdTpqel7QOKzOhQJaVONSkiX3DyXsI4IkvUM3fUlrg
0EvFHKoZvy1gY0hohGqCpUlXwKGDprLBXHYPPWqJP0Bq9rVsEt/2qvHnQnyykmxFmm0LOwXpWNzV
IgN6yccgq4fEryGBr4q4oiBurHM3v/cqxcB7PBtlY4wyP2d5dwtFdrvKWXZu4iFba9xdjU0OVI9m
6VXa0jem1HMgJzqEOEfAFzEoRhKT3qdttprqLAtYRnKQ8jC7mCbRhiofXGgbE4fciYi0KBJNWTYB
x8OO2YOn0b4aswzc0d32pvD7we1i3epN1vYXYtFTE7Z9r8O+xMVdUpfTe+26nVla6+dQcPhFNW1E
nU/rrsqIi/JpLrdZ1/Yrzwq89XBKNrbFw1W9DMkficVNAB56hJL/jjZ5MF6Ryu9xfS9B57ob4Vd9
thio7zYFZShy03DwRA4FtRDLCk1SbRjJDdQm/WVSgNzS92X1lmKzbKyZ+8TPPEUjXFXGd93QhHU1
VwciQTGDsiFeDXIRt0s6ZkGMlum8XNgEWiYR9VYI04eNN2Wh09PBk4Xz9WgmAAol64rEWSSJnLVf
VzR7M/CJXcA6i0g/H2YRtwcTs8UvDQLVa7sYoiIY275vW+ZtCVSKUUnRHMIz5cdqidvNoMdbHZvb
gpTpWpamWje6sm89B8p3zZurnjqwK0NZZGsRh17s9VECeR548uCB+MoYsPDqRqBh8BfgCfMiWeIj
r3bbpbJVUI/j77wcJpAOmnQrsoSd54jYMBlSDyTi3Fa1D/INsOVxouogk4qXPuhClQy5getiCiJU
6lJQqGp+L0Hq8ls7kysnzHRt2qTGof2sh8NvN4ygpE4rS0jyzi7cHlpVup2jYqqiNjNx5ntx66wf
z5NZjza1fzRm7NadpXxVAtMEQmX7sGCQkbMFNcZvZEU8iAtzjs81l0NyGMS8d9x4b2NSLb6poPSI
Wg/jO/gpJDz7RFnb+nlZmMPUAiWTcYU3w4jRfpKJg9XpiiX1p1nIC0lFto+Ttt7AEBohknUHqOXJ
20znfIs7UX9q0wqoY8zaw9hAweQ8iq6J48mlJ0q6rtPGrOvWAQHCosZRkvWQeYeq4Ac0dGED5A9+
CYY0vgGV4qAbTm77giS7fCbkDgK/u+wFTddDUnfOR01dr4kpaL2aUEG4n9fVFEDxX0Hqk0sws3oA
ma3uQQkrZ5IelYB44Wd8tG8IVue95g7EzNFdmboUAZ7YQ6wR/YAoLtMQdnfG93GeFXdAQ343mlu/
ts016ds7ou0QDp8Fr34ZN90yVysL3Hk/TQiWKwfhSwk3bCZvcceKZ3KjKmaCKolRNJQdrCKQB8Nk
tssV6ocpgD5Cl/uzVCCbWdKBazEQ6EQPJUUpV2VmqgtlaR9U9STXXdq9Gea0gMlv3mW4roMmK9za
Ei4uli7Jbmavrf9gifJSH8VyXFPeszroGU39ikNhk8R3aar1Fn51B+hOX/pC9fspMwYC3mR2M5Gf
MqD/PjVFF1qQoCASTLwKhl7pO5wXkEzaxU5h32F3EEt81cvlSiRCX6dSTQEe8mpVduSjSxUsRp7R
86kAbtyYhe5bM3vHQSRJFJf6D91htRFVOvjAklgwDzmQME0rD1pEudlOA8EbyLpQGpNdBqzpjckx
vyAYlp+TXrLrJ+VtoLAbIyDv110mPH+CxtRK1t0BA1FvVTes6QKqZDSQpd3a1nkXwzxpEDHYXVoJ
eJwtoL3SWOOnnhjCnhiQ8Bt4+bwKOkwvvaVGB9gWv/gq5maHVQJFsbUalCFh952bbjBpwDkbJ305
jnhHYn07Tx3bp87dInAiH/Fx1QxSR1OX35W5uZi7BQWpqJg/EZNhf7Gw7Svg/YI2wjXdigDDgVgI
0iiLOj1ATB6lLfe6pF0KKkDDYDGPCejVAgIy1k31ZtaeuC+5BNWyTHUAxGIBeHm7LWEZhrOqyhRK
alutKgiL513axlfNsiy7uRPqXOkuD2xl3vBEXIvW6FXP9FEYvM+n5KBA7V4z3gIVnOm1Bl60z9I+
aOoszIrm7dyb93woQWhtqzSoS+l79jpuhzRcoMFy23BaBMQr8xuKymZft2UXDolI33JixMY2I1Ca
qS3DrlFhsmAZ1mnFIqkqb1102k/66wl6TefJmJqdAV87FlOcxUEuK6DdXQPaS8/BAxLHD7gn0Ber
WYEiVXW7ZGAqnHCzhV/IKZ3P+JKt1QwtwT4DtuAbOUM6KfLYBYgzBJKjcOv/y9y3LcmJa9v+yv6A
zQoBkhAv+wGSJOvmupfLfiHabhsQ94uQxNfvkd29epVZvpxFxInY0f1SdllJCk1pzjHGHPKHJsRr
FI33QoaCnhOgnl0IU7efXGANiB/lddcYVF62wj7PAhBV7XjHDvvbTWhrGcTOYpzPa4XEDOehvi/1
ulzkfVsVUTjO5JWVo/OEut+/XrGUX0xbL7EBxl4cKlVMt9gXpgHfmtYfuQmXz0Uwo64DaBAuIIWq
iq1XU8vKCugtVS9snsrbxTEIY1vhJYBj0sW7bNXSRutcIs2sez98ql0+XRSmW7FdjWT5oEnAnlXh
Fm1aB8Cp2px1LZBMSjtkg159mzPhtLFfm3CM1rzRK6akpH1MvaB8VrUeL0BHIY1rlVceUVHTU6Ca
co1413v4Xa9Z4rDSy6sM2s9F4zvxbOfPKMudJRrKTh7I4H2ukfCBcFsBWEWOBCQyKSKuFm8usVN0
+O+g+na6sbwrkFIS9trKCrGEvybTjePz6ZNfe2UQT17WHXu1sN8lEvLjulB+IbKc34BlNe/U2DWA
x8AJj1zPx76s2b3iFDtaEeRYKEOAt6cK7p8cJxvBPxU2lugjOyNdbYRUcYF0h6ljOxsvDlxZnogZ
H7ihoCHrzG1jSZkTy0zWN7PDzSOQteI4dE28rktIYuEMzRxlFeclwk8u+SHgpjgEbsY+dd0wLwmt
yXA5OXXz7M2he/CAyp4CU/u3tXaqKQ4yoUFFe37sDxxZJXVj4ucBDj5THsEopoPGAs5X8VtbkPwo
hkzeYeEPyeqE6qLzOu+WLMVv4QRELyqR00ZKLx9oP6t4ovmQVHS9U8VSH7y+CSNFVhVlhWdjPjfr
YbCvfXmoJjJEvte9AyPY4d8P7nPeD4fFVmMalmJ9aZeCHEzejYmSSh+McYMoq8dLv2WoOoJ1PKEK
LI6T72QPqifY6xX/aLK5sIlsxZCQcBlvpAD4ZQCBPdAqq+pItow+gWxaj0Uhs3vd6vI4G8d8yGb3
S70CdKjCjN6249i8tCXOjq4SJEJzU3mvdOinC+N1E4/hUJQRWBS+xnLNwqsSsCSqjkrKp0KR+SHw
QPgkXlPmS9x4pLxioUVKkAvqHnIfZzKrgjhbffNobOWeSqaWlJoQBVp3ZtXKC0s7UKf+EiTnkzpA
4ZEEYdPGPQQBUe8O5MWofoyMmizQlKU+E7PuQZZ6STrWP6EyQ5Yy0zEVXe/fSC2XY2Pr8mAr7yP4
t+wKiYi8rpFNxs2AgsaWDb9iPbbaRco6seD+bmpZsPeBsyZNTvRRlr49TfMcnKq+H6/61S2PlZrI
Q6G9JQXJAJhz7nUP7Mb2Qzq3OnssFsPfAa7EV5EgBYOhpVegpt07zCpFfkBtf+NmisVg11oTdWvg
QUbRi/W6XU3w1dq2qVOwL6gBwbqZSz2GZSzoitUDLPUpX6m69VV/5+TroQWadzOYmV/QOpBhBKem
7ipvc4BxA2ErfmFc1FH2bhWHa/d10NxtI81BqQSdr36vIR04zk6dnfy8xud1U++lLhKFK0rMqW4s
WrQWyHiScHF0EOWsLV/wfj9ab5CpAYiAowu8epQ3Lso2kx24nF4JlUVa0LIqI+0WbIwoYDqAO+Dv
yAH6YEdFq694oisOSnF0lyu7Gh6LoVUfZuvbO2lxPvZDIKO5QGEw+t1V0LJpinrOcNiAM0f+P9ii
fJgHMQAulpN/6+fYoeeO3IFrOJYa67dh9tmtWfX76jTl0xSOwe9g4MJrptzLUkm/j1Bve0CLPD22
2AvdOh6N0706IGRvO3cYI9a2LlaF6xxI5fcfdShnG5lsqbzIlBxQMHKGz8BAUXl4g3+be8RPIAyS
HV5ccwvi31x0RRv20WQoucqbEqEtZxBMDhsg7HI+ZKMZP4YF8o2Ydwu5AvqM02aRTH7OAFaiTKCa
p7525QmanRAvSA3vAQx9KIv1kzZhjWOcj8++V9QX5cDWKsJxWr66qD/fz5aA1lGE2JMekaej1phQ
TZEa6gDULIc8LJekqkx7L2yzxlkr+O3cNEHi9bU+rW21rDGQvvnoTnlHj22vocnQkcw0KtHZiW3t
x38UOBVgieMajPdgvNxoLDsXKEY+mZNwvBBUhiNSZzDefUfJch04YF5n7EcPEHk48Qqk/4Ck3dzV
LKcnb57z12Ju/eehmitoHaBaAdtDIOZw6JJO6oyPO9XovpOeBu5ExkaA8JqnWI/VoSsZxERBjpOg
bC2A9qWsmsjV+WF2XO+aqLqN59aDyKddudcfOhHIAx94m4hg+irdcj7MXTaoaJKQM4xVvSae7z4F
wPbjEn0GKcdumoDfba6d2rtjS7seJ96xyGNr8M6OQ4d635hPS+0PSzQJLe4pyO8RJdIaviOl2zyA
pA0fPYeaOxDY/JMnivbKsRy8WkuWSzkGdo3zvFax3xXikVqwjNafXyfg0FU0qnG98UtTHaGkGVMc
pdC7lFbdKq95gHivujbIuU4ynPwD1eJlaMbiMMmhRCopjHweoNe504thJiKKyhczrOAIHLFC3FQu
fdz7682IBRG3Vbb4UWODi6mo0qLRxSVrSsCRmRCXkrF3fVY1B+U34tR2tr0AlrHEa9k3iAijL90e
wplVjsA3xyBo4kxY8pq1I1Qfvu+/d7j/IMbsOTS9vivGvD0EGaq4apzyQ6NZcWiMvC/AE5ZQQ52o
CBA/YWivrOyBvNamfVd1yxi3Y3XhI529b4MSuAGKqOvQNraKUDz5N30Qdifgfp/F1D9RYq/yHISR
cNhlOzQgbYjI1UlmhrwW4xAcp7oJU0Zp8+yqABvXDE76opXtpdtxdQVMAJoQysyhdL3hpa4wUWLK
5ghl8iCiEUQ1Afkwnbd0Z4gHrutjPuTy5DklZB2dgmyHDP1RVzMAAKOsR6I+By9bUFLfY5te6jMl
bxKcHN0RnCS5Ut7ypR9dYD1Tzk5ZqQHt1aAi32HfYjH0X/YSegIKdjo3T8ucm3eizfQpVGJ9gMSy
TtYyAyQVuu3DgOTiQc/WS/Ki6T/YepFFVCizXJmGTHEB26uv3PjZyzJVJipWFKVApLOhQuSvwy3o
pfB9W9b20JcdUIOicw5V61UJa1lxITXrLpoi8O7dkpfv/HYCUL4W9RiH2p/vgA0Un2sNPjkq+5bG
PoBIyB1cfmX5RF/dShvsZ+sE1NCwK7XacIxtZWrotkrwCTAX/DxkIb1EopJ/BkiIHEKeoSh/kPcl
ivAGhYBil2J+PUNB70kGVVYUdmT+sGbcewG6UX6APm29BbbhJ3mYOck6hvJL4VD3wRoO5iDr6qdM
ZkUCWgDlfevYyA/74BEt3CQt1MBiT/DiYclBn8c9VfXlXMjqa+f6y2OL4xXEjM1uh3BgDNqJujk1
s6SJI7PsUjW+fxwmnDUonltyV9dWfwDMwm9AWdWJ6ISqsOTpdAvGgD42CgW409nqseqcT3IaxZGP
OD9VnV0WuZlA57DxNh+M+xtrF8CKFWImaruZ4EwsHQiDxgYSm9W7mCrpRIBnlod1BV0ceVqNh7oN
+uM6AsjoZajjPvTcr54U2RUUOn0b9Y4aUddmqrjjSA6OIOOyy6ZDHOpxaLBsUeqjdAZaADbKe9Dd
lD3IMOySHEKApzYrH3G6IudhqKVx/PqnsQkCcGlFdTVVtXnmulhPdu5BPDlwnI88pLUH5MjV+1D2
FmC0kxWvCw2AuYW11IAdgG+v0NVgiyqd6hgQn15NHl9/a/uSp6IAezfNjR+HKDnjUA44rsD1PQIN
m0+MBWd13xl774mavkJcY2PR5exxHdz1YrGqjvHepghFV3jZV5oD0wATg1Adopk2GvDJFABXsNxx
I8jySixLMNiNebeU832zujOUcfNyVGEmjlCTIefMSydtQd08TovpUTFP7ETo4KGqEq5mKCqt+Lo6
nOGkWNvnqsAccDr5x7Lm3UW36OzdKNV4S7OpuixcPH++QigYVQEVmHL3CzYc52bJ7DQnvHaEE7G6
xh7039CKSSm92h6LRTM3rkX3hQ1dlhiW1R/q2eagUCAZfuY1+A8G9dXd0mbyYxVOyzvmg3QBTgsx
bLU4NXYk2d6/9a3/S878p8z6c9fbEUKNvy4M+PvH/3nqGvz/h5H9v/7wfN/Av35Kv3Rnv5Zp+0tn
Ifzfv4WP+UsYf1aff/MDEibcKfBGCf8DrfvDHzca/OAv/x+F8HCYg5XG35Luf1PC/7N/+Y0C/s9/
8qcEHtZa/h9mgmgOFYIHLmT1f0ng6T8ESGWB3kXmgZw9N/P+UwLv/SMgaFkMQUZArRcySMb/EsHD
1Zv+4bKPuw7cc1MK/09U8B7fyuBR2XF47KEHjEB87nN817fi81BJR1eVWyV+hrUGsY+OFISMZVzg
ga5bid09I8q74v7anUjjzxddg3QpFk3Y3xSVM7+nmhLIokQhX3k/ahYT0nYXKPI5GCpRiSAakOZh
g1/ELSmAm10sEOmVEGEM3We6MgVkJgjHS0W4GmPVlQq6N0QGuKS14FUygyRqIzCmEkwfJfxQQLD2
e9sz1hzEIrgPElWOOpprMO6RRYLZXgEDCJ6JlbICz12Ya7aS7GqdhlFdioLw98OqvfdZ4IkniAX0
bbfOfREt6+RAWEbyS8hPkaeVVTGJSNQqxJFVre+mVqOGqx0C8cxCW7pcoqgoSKLHbHQuuS28RwJy
iB2BcpY1UIAV0AP006GMNFqO2gMFeZ7dFsGk1oQVq2pjiDbBrEyDrvUtX5pguvY4RYrrZRT0VN9V
NIgK6ZolUkE+kriUTY/KznTXnnLKKSGlHa87Kwk7dQBdaMx9xqBOAJD1qFev8YGheGVxnGdTz3Fb
ztB0QOBOdMR1X32unG7tL6yrasjVpgofAGZGvJJykreVk4UnvBn6RIRcTjbL7Luss+Gdp5d2jspQ
jiaZJuhvPN8H4L5KIIwpz8fqsh8NyWO6jOaF9FVwXw2EfyYGEvREccXAiyiDqRG5WJtIS2hIFJug
OVClei+QCCxHXdNJxII0RIGwC4Yr2aj2kUJrMUdSDIOM+tl19AU1QENi6LUM1Cz4BDD6ZGkSpXz/
AeLS7sTyobyfGugxosWV/LNLChwyA6CaAECIp9/JeimuwtyvD7ly+RfaFihIs5VBU5ctocEUZGt4
QRdHQtsP/VN2UIEGb926/OMQKF9FDSeoVPQaNibmDe3pURMP6i8LEiOLrALwdgB0tgIjX1TwYWjz
YoygSJsuJ7GCqae9QF0xiL5kILpH9ZW7q6EHDNFmqEUARMYNTq0FbNNZ04w+G3mE9CG7h749j7ze
QkFQGXyxSBfh6Ea2tVC65948Xg+A2n8/9yGQC9E4JG4zhuSA17KD0kPTApQ4Irp5BPojDlOgBNB8
UAmQ1EcTHeVLj1qmDpSB7n3UAXJgDo0C8QYgXgE/1cjI5YlASffSepqktLVrEpR0vc7Dqb6yxeId
UQxmQ1xWGli0BXULASmqxpdRQ2+1TP7JZYuGiNyfe3lJgf885oVM5nqyC6SDyEkvGqRQYI8kuyHq
LHOakVxpfIBfUJA0Ttl/gj5uvfYWdwljYPGNuoT+uLIvjIrBiQdrF5JHPvK/6rgoUo8jlBkyBEEk
q/JTBk3kg1Yt/1TV6NQ4kHweigtt63a9LavatbGLkFHHkPWcHLRAdwR6XcLZFxc8XNUKKELZ9cZx
HPkCrDYA0eXPgD2VoVbLiBWeCk7ObLHNR9lU4CDPq6A7At4cfutMf9UCX0xK6B7AWw8RQSTFPVM0
hk86vm3036wPoarsFQDHxvR3k7fMKRjm6vj/5di++ef9Qttz++2x/T//9w73z2/v6Plnt+gfXW4u
DtYfH+3fdBD+/ft/nuthgCsCmBcS4XvMxQkNN4g/z3UuYJmGPxIERhEwJTj/zV/nuh/8g4DKZiFH
pPjojsdp+9e5/kc/HPpLBbh8WKyEsLX9Z97yTdqFhr6/fv6vN91t51P7X81tDprtAhowTrenuVcu
aGwzQTIzCCAjSKPt+8Lj5s/rifAa/7Phz51sbzrVZOBUVps2SFBIjyg0+Uryp9wAbXwzzd95fDT/
fffxYTHzdvywWSuUSRlPQo9N633vNiFBJSSZGxGKAjyi/jBnfy7+//jL4DW9/bAJ70iCDOSJOUMu
EcqYfIw6y8XHn38ZtA5/98ts2vqCEL1dMrQ8UQBJblxX0+ZRE0n4tRWgP1MHgpARyMvQw8Dg70X6
ndn7wcv3kWm+/UK9gGwzOH/gUoeBuewKleH0hPS8TH7+AeeBvrO6zt2cbz9AlKsmM1qNAOdOgUbG
42de3FeTV1yzqpDejasqBX3sNLQWVEtN3eFI2mIZ4WDysy+46d38e3n756l+s/4gjJsqNlmWqDxf
hlh4Ig189yu69QaoaodcL1AQ2cC57nSOlBacYyeAJ+bCa+DY8bNH+NEcn1fumyeoc9ssNUMPnxYe
i/2x+xowXf7i+/1o8E1LaodIBeI4s8TaKXglne3QrKPk7b5H3+wNtZAln3zIkSq/LL8QXCR33Tpl
peJ9w2/2hs7RrB8KxtAkGywvrkZzi8mAle4bfbMzjLWWfe8NLAGSvEJvaxworHjfdcHOx9/sBp7J
XQEeGrtBR9FyZjm4ymgYEEqHfd9gsx140G+04FyAG3Q24HcTLFnml2aenV/snT9YPN4m+idBFNGG
iXSFVC6xOYUM0ZTVNP5igs6L8DvB722CP0QtUivAX2kHFLk56tGF+KvW1i0PQJ1puPNjNiHu0w7M
be9ArTMrbz61vGuhQm7d2iR9OWuzL9S8TRwP3TJkvmlE2nvV+gStbHHbohB/+vm7/tFcbQJZVxDT
aKQHqQdVX1JPY+Bf5xQp3vuKCcgzf/4pP3rj5z9/sxcVUNSguu5FOtbUXjjNSm7D3B1reErs2Oo8
/9vhu6y00O2tPFXoegGNIA39wNeuT/YNv4lotQQdHJvQMbDUeAPQdDcJVQ4IgH3Db+JZleijra2E
enxaKrwDK4wTTcRCbbHvAzbxXIUg9kBrCKhkG2gfe5e1OhllsOq7XR9wBo7evl4w7P7kQqOShlNR
vgRimu5MmQ/2F89/XunfiefznT5vh28gjEEPYB6kDZQz2UPQNIN68Yc1JJezU4TBPRwXfH6x77ts
ohptz/CmJyxIe5/OJXR/vgmjomo02RfP7iae0c858Nkbg7Sa8p5eTI23iEgqirbzn3+D87R8b7o2
IW1zmZNGYz0Nme3Hg8z9ILhrnHXhl/mcNVVics+2rzUa7T+qNtftL2buRzmPu4lyKMmyoEO/V9rV
ou4vC2fKAmT2VYi0Tsxa0hlyY7kucVnwvgESsObBgVPtd48Lmbn6xff/wWZzLpzeLhcL7wCoLJ0s
bQJHHfxSB6kIav8Xi9E9h+X3ptf7dni2zAYOFEOY+gTtIMnqZsucsGxd61Mf+oG9zaem+9o7VDcn
uoqWvYMs32tvvEAI+Sqg4WS/eJQffdHNxiFayfpOlzTtg2xC+/AafumN0cO+TXtr9lGPsESBHjlI
R6fXkH64tI5yX+S//3yZ/uDp4ZHyzWtS7sjREJjTNO+N+MBwlL6biNPs27PJOTjenDiDn7fScQLQ
pzUqmVi5AqoO8NN2+sUq+0GUna363n7AVA6WeWYU6Wx15qHDfxzJJ9O7iLjCK0gXtaXqm8hbeZ9/
7pt18va9FrLZP3zd1lhEI0+5yBoFRYo3ofkdyrudxwXZ7B8rXasB+o0gAcvoJmgVzw8rB72677Wf
l8ObF8Mhvm7lYFbIJmCqsbbQ0/Cxl7/Yg360qDaxD2O5woHcYE2lV0KUis7AQ2Y7b+ei2oQ+qp5O
oIltTT3UjREp3PdtTn+Vtf7o0TfR7HIw0abO1zQP7HyjbIu+hnoo0IG4b+I3WUCB/trehzdB6mRN
eOGh9Q4NDIKme0aHmeK3r9XvF9bPFUafMzCg2keT6dS45a5nZ+EmmkXrrWIJ8Fqd2StiyOTRDQsG
ctc+ChOob59dEmckOpvWdHDLGrQppP0Lo+vx5zNzDpt/Py8AqH07OoDsYl3BAKTaYV9QdlbLkc5V
36azDvjOb7AJWWgTF2hnMwgFELgP4dzJxKVdtasc/wMKfBuyc4tUCFYVOu0og/I2ZOogbbtvu8H9
gN/OjztDoC1WqdJ8qulVWTfBTW/qnY++iVgc1BkoQ3+GfwNA+hitJhDcFqYqdu1muG/y24dnaJOp
HJgXJP1ZE1nN+XytsqzeGVSbkN0af/noDKxv2Qjhx751IzZRW7nlMuTL2WUgV/CB6dkHG9r2Fwv/
+xsaOxt6vl026EWqqBDZkgx14aLtDi4eA0y9dj76Jmh9tOV7mRQLZt75MHrI79CSlu17rWITs1UP
QYoz8b8enXrwUoD12d5H30YrE5kShbskoQZo7J1Hh5Rs7+jn1/HmgK3I0mc1GgkTI8MiBlGmIs5h
hvDz3exHL3UTrZCbiQ4MPUan3pehpJCUlfk+ZAvduJtHN00tyhyDg7Bq0LiA3oSi4mZXbsDEJlbN
7AdZbaslYTPUogaC4sjts3nfESU2sdoUvdeif1El7bJCzFyUX5Rc3X2zHmzidIIjEtp7tEqaCmQi
p+yDs6C1dtcrDTZxSjI2+rZw5iQYSHuAuchvYP2nnYNvwnSYQiORCatEwmAn4rJEe8EIv459j76J
Uxi/OdA3hXj0ULk3E+iRuyyAdcK+0TdxahT1YE4VqnRFEzdMhaBFZgcHrmbTvjUTbEIVXeJho/p8
SS1tWgjKIKJMe+3Nn/c9/yZW3TLzxs40OFmzqb6EwYwLyxtpk32je98GqxrRoZ2j7z+dQ/8j7H3u
J+rf7xt6G6mThTGadea0LJx32B4/oF9xH1bIgk2chmUJ26s2gFBOF+KgCvbUwSBp3ws9G5O+3Xvb
anLGUCiVOuVcxugVuw7g0bZvsfNNnIK+1f2Ebsikrc3vpXXfe6yBU/J/DqAyvolSUeocJkSOTTHs
NMM+ayp4ZCc/37f1Qgn2zbwsEIUXFR3nFJap5JXO2Acgk1rdfZkG3wSqGmqP1Fmn0qYb10Nngk9F
2Wc7p30TpJkoh2ApR5UyO8LqqoFiZap+xbz+4DjlmxANW07hTNTMKQxnQ6i3cxdmL1n/ft9r3YSo
N0NZM48llmMBRyq/0a9o8tv5SjcxutIuhDy5UunIoMp3hflQD+Ju33NvYhQyPaNLH2M7cnqiyt4w
Ot3sGpptIrTTsE9EE9OcQJEDbz6ZXaOhfh8+AHedb5e5C71LsDpozMd9wLdoVPggYLa6b2s52+C/
3VqcAnn62GFO6qK97/LumDXFvp38bHD8dmjaa+sbAPhJty6nET43lO07QdkmMHvLZjSMorbjDbqM
O5O2Y7aLZmVsE5ZlPZtCKTx03zyvi4pl8LJvhWxCsoZasEeHvpPQovo0mvBerHzfPsU28aiGpTJW
8zm1k3SfVjt7qVT+dNj34JuIhM7OtBIOm+nkQErgtRWs3sLXfWNvIrKqy4kFLnESViK7dQj/jYb+
zoONbmISC3sY4B44p0XJTcRgB3KAB/WyL3DoJijFtAQzZYuTDPxx7A4CKPauOaGbiCzyAg7KhZ1T
JSDm0P4E14CBP+0bfBOTGnwXWi6zKXGL/qRrcPuDD3+tfYNvwnJUilRor5wSUbM7X/WfS/iR7pyV
TVziek5LBhFOydj4dwxjG7XsHXsTmq4uA3Qvoslh9XxyrUQuLwcK49N9s7KJzmKiS418FguFrTAx
J/K55sW+BItuYtOEiuoqROQbuFHLmNCMdwcPGVC5b2uhmwDtdUMzcDVzmtP+N0cv70E+PO+al61Y
a0FrPpytMC9KwVN+QM9GhFtvg315xFapNRZLADza4MHRbqk6cmkWtFXve/JNhMomgMsZfDdTOKvc
1BAcoqUSjvD7Bt9EqMpHaCMVVK6kr+/RPARn1GJfkuJv45M5MGj3myn1PObFuoEXlEvl133PvQlQ
C0ZhEs3Zk7PmH9AQe1kG7HHf0Jv4NPApq4TnjKl1YUZVdwFuJGjkPhkG8zfx2THdhgu0QikoJLSQ
rx2citByv+/RNwGqem+qClePKSyeG/Q5qNG5guuofdg3/CY8teNjV4QffOot9vcJGZyZxKddQ2/V
VDMOHrjcwDW04vmD6fsL0jT71uFWSLVkooJ3JZwL1mUokkXn3sGp28/7nnsTnOWKxpnRVFMaFn1c
UfjowyPw50Of4+Q7lMtWMqUd4MFLH4xoEl6YQrsvlzcD79EoKOFFFv/8Q87x8r0P2QQpq1rTVh0b
07r0P9YFfe/01dO+oTchaqB4rHmQjYj/BTZoE1ol3IXupOq2aqkc5t7l6Ht4cOq+bxYHxjlO/7Lv
yTcxWpihR29OMaXMK6lO4KhgKRqu6qI67PuATZzSIs8FXGWwJI1zX+LWkXLYWYt7mxitSzagYMbQ
mQ3vZ1LeZj7fR0NtBVK1sFkzwGo39bPGSx3hzfdujsayXXOy1Ud5wULYUmIlwjrPRuj4T326U53G
3E2YolPKmc1UjGm74L4WsgTHAS7f+3bdrRZqHqlSuN8E82LJ1WK9q5qZfTHkbsIz1PArkEM+pkGW
wwButVcwk9/Jm22VTjDTgsEIfEtTGMne+e5wPZJ553NvztCxBDvBtTOkExewfoN/RTXsK+LcTXBm
Bpb9eS/HlGNmIngM62iwjdi3H/6hl3rDO82+HByYbg7gbQr41XnVvXLC530rfBOaBE5dtmVkSPPS
b9CjCKAiUcTh+yZmK0WSMoQqTVrEDbwacJ8G5w91SdZ9b3QrRYJvCs+gtRvSNRy92J3oO5ykO9nz
rQxJOS1a8kyH5dKFlFTYa9ERXkQiXKpfHKb0++fcVm8ELTCBm0OLuc8LHcQtwLM0y+iwk0fYyo1s
pWALC7tXWPFP1RAvum++qjCAQcmutUPO3+vNuoT1MaFoJIV5aGEn3DLFZYQZYvuqALIJ1yAwRhC4
kKeq5l5MOETsPqrfnc++iVjc7OAChW/7dKIwkIFTv1f9VlnT5jvH35ymphz5qA3mBg5UsJabm2dT
u/vOPLKJ2drrdOPAXC8dW9Gf7EQm9Mp2xWnPW8VFxt++Vdhx+RaOQP352ob1Pemy/ERhKVjtmhhc
a/3t8D72SRhi47WGbTZMR/Sb+jRiWceHnR+wOVZBxlVd2y+YeX/SF+Monouh3ofN063kKMBlI9AY
j30a0PmxzKd7WLw87pv3zbGaZ1b7dZ0PadCGH9tOw4YC5lk7J2UTqgMgc+Hgno3UH6X4iCv3zElV
zbJzyWxCdSaOsavPuhSRiuuBIH2JHOsEyb6J8b5dMaN1wNHXGJ3BxiM6XwlRtb9SMf1BTv57rUG3
MqOhNJDXCfijLbhVKYvAFsPThODWmQr3yIR5dWp6q2Gii9tGfJjwcRjIwtL/CS1uwXBHQzaNj2HQ
wIwTvGR3klVLeYSbNQDG52YQ6LFfqRzGZz14joqJHdrqtw5u4EPMkVh6B5cBa0+CXhl1vrEBpiVw
I5/NhRocIVMvMAW9yDqJm2BcAjTh1YGy1x5dH1eaHPzAYEwNa80V7kNhMaHbzlvVsfE8sx6mpfHb
j+Z8b9TdTLkjP00uzD5TgRt8lnQ0+L64h22FMTVZmIjbAPYGMbcBbJJyt8PdI1y06AsjsJd59EQI
E3OPw7qynMY1JV0o7FE39ULh40tzliyB/l/OzqRJUhyJwr8IM4SEQFeIJSP3pSpruWBdmwQIEAIk
4NfPizlNMd1dZlzTyggKkMvd9fx9DC1s+EKxHO7xDQyXHDyc8tSWNIEPb2nJnYcJibhoSkZ2XvG0
fR7T2l1W2LU91hq19RkK0ArAkcIW65smVZfsykKY2ATMZmYTryfanXmsOnR94P4vqdi3tLZKL8qK
BYmkNmfFm58Fq9+KpNx331udl8NJzKwj3Hc8FecB7m9FTHY1B2Gq9fuiAvSGLgQdpHMkxJwVgajh
wkO6nc9k08GzoaS8xqHdWUZVlc11/4tXdlfSx9JNnKww3uraJOzO0zKZR0yDlTcd/Av2hbJ0EygV
L8OpBVvkDA8Lds+Qv0L5P41fdoWydBMobQNamTOuO9ewI3u3KaghtmnTcedj30TKHt4eGBMR3Vmg
qZzBJBjUGblv0oxtRV4hljDsFEx3XjpTNAeggmAJ2QPolO97NptFStqSrAHFF8llE8/ABLSwcU6C
GNiQXT+wlXoBnuGLQI3dGQdVv7xhtzGsvvfd/FbpZSZvXb8k3VmFAjqycYANbU5FFe1qLcPt5Pfl
6uJ+Be0kMmfdizXNkg60pxzdDmBJ9j2czYr1ptUknCUShJAwOHt4WFKU5c4E4epy9L+Vgkl8Ua0w
SkY3YoRTHExWchPALWTfvW/WrA8xKh0DPoKpWq1vOXXxmAHYxffp+2HH9PvdD1UrIWTqEIbbKblV
LQ2/oqZddrWCWbJZtMkMdlAzIF9FK2u+FKyYzkk4Jjs/+k0dElE4F5XX3akqG5kPvpfZBNfPnV/N
ds1aMk8z6uRzsLT0p4La/OfaTM0+5Sfbir7gmNVW8N4zZ+iqXHCpBVBHYeF9/Iezw3+Yq2Nb4Rdm
W4uC67Q9w0+c2g+mLl2XF0kLs1A/dMEHDJw9BgHs6Q7I4mqRS4Fi9KSCOO72vf2tPgxDwfBKrJB/
+qVXaR40FQwoGtUavauMBvH6948XvkQrapZrZIKnYnEHs2bMnS39Mob7Qt9WIraGk8V4bQT/d0pK
GNL6yrOsqpnbmWBt3cn4sDa2jfADywSyBSyzPgHb/X1X6NiqxPQIy2Mxre3Z2CsRVNJf6xjvvfHN
ypb9CpY3zOzPLmQnHQGVEw27WgCMb5Z1EwSh9HAQOY/MgUMZMBw1+PV130PZrOoRbp6SwODrXEw2
PU4KFptNXO7cKrc6MZ+UXdvijZ5LuC9/aypPv9sA282ue98KxYaKtR18uZozcq3HxK13updf9116
swdLoDkZwEXteZgjdUu0TTNZdn7fJraVisEcuwSKjzZnWsO3EgZnaX+rkqlV+5bpVjDGxNxR+No1
5yRuq7wX6U3NQK/Z92g2O7A1rZSFKNuzYMrfD7aBe9VYuZd/v/o1S/ibGv1qhPi/2cMVAA6eDvZ3
vbIeKX84SHHUIem6I0dV1+7LsbYashQgJRgJyu4cTrAiy1Q8AupYB6Ho9u3F8f8t2nLonSjxbV65
PGP4Kkmx87PfLFk4WYxpaHHv6K7Fh9Kilb9OsH7/9xdwfY1/8wK2MrIWH2NQQxV4JIktXt0SmLdW
xfummdhWRqbLlkxhNOhrDE5fTEPj81jG6b6HvtWSGXQXwqJpNQ7D0ZXo+vQlYLLc+WA2m+u0jO0y
AVUHhQAsnHIMH/ZfVi06t/P6m7wZhjRFYUarz6tNvqF39NAk6tO+d7pZssyFOK3GhCCGVrsC5Jdh
cj897fdZb6BR+fuaLVG+taq4PnaTFmg4gq/d8Hja97mz6Perd1E1zavFzYPYjrYTAcENlio7d6it
pEzwNVlimPKdQccky6EtoUfIgQyv3L7my1ZSlsL71yCz1Weg80D6k2H43GGe73XXm92qyhZeosPl
++AgiZy72wq+1o9RBEvBP9z9f8VSfxMOtsIyzmgEBMKET+dq5PnUA3k63ZS16+0JhdgUnTDoCuxf
Dyxjdx+A9rjem6Tqmy8Roew08Wi9JCxY4kysxQR3BRCF6qemjUGJAfR8KcEdUMX6rSuWEvAYgz03
n+Jq/k4bxu6cqcbbpVTuRIsJaIIVHhhAdTWwnPygCOZbXuqrT8UHcE3McEDBBjBe2FifqxDKz8cK
ENz1gH89lA8U9Bu3L5HcupJB19hH14HkoyxI9ehELe6jMgK3Yt873QSaDqDYK06hPkdz+JNH/Ysg
8nnfpTcxBrUmqAPc10B9QWerI3aJuuFPRhrX+/u7T2UTZaYpaOQ6zPUZaDlKL3ZYtT+IBaqHA4Cc
QsJBk2u1r7tGNzGH9AJuiC6uz4EJ+BFcWX1ajZYf9z2nTcxRcEpHjUjrs+uYAhIRxI0K0Lx/v/j1
Yf/dc9qkBiQEya+2U33mQD28QVXNnlJYwP81A0byh87mP/3EJkUIC5HIyPT1cZhpDQPlsQeFLHMW
zfZL6THR9oei+h9e+VY1B3mCnBzXEnDCsa5PUzwTqMMCfSybNY3Ast177LQV0UmF3kkBGO+Zt1EA
oRv/hEC0cwOLNtl+AMMRNALa+kxwHDdSfxop+UOA/oc3sRXRJRRazhUzuIda9sl4EXoAizIVOPfn
0ulwl7qARddf/5/TeZgeJ7wskwA2HTASnCqQVkQPYO+/f7D/kBJGm4U9LAKg1wU0yiSJgd/mHbxt
AUXL9119s5JdiVYknYg6lyxlJ+MWuHyLcl8dF20WcsgN0TrRxYG48jYsaMY6vvOZb5bxQkMNRh8u
va7sWIj+1JTRvvpwq6Fb4LpWDqIuDnUZ3SVxcNfznV28rYYOssKrYW1ZAE3s+9tqGMYzSMZvu17l
VkJXxIlyCw3wsRM5HAHVYtkiNDvtu/pmlYaitkUcBuU5KQdzB9Xrp14u+8xhYcj7+wqSPJGBi6by
DHyqBvlhbG/CXu+TosJH+PerB8uM85TGlmewQ0GFVimov3Y47nsum+U5V2E/DbQTh7Fh5XyKIv/R
WEAxdj72zfpUnQChjbXi0LoeZ7fdubLdvk18K6Vb1DzLRiKR0iMM5dupDfNVx3+IvP8QtbZKOgd1
/ooJPyyiAcBHqMZyUEx3hsStq9cKk57BAUGNqaVmyVtp4OYNsqnYJ0hjWy2daBbMXNSxwKBVtwK8
rgt71811uW8Okm3VdBNvizbpqQChZsWZ7QtUAH/YLP6r3vyb9GarpWN8JTCnkupMloC6u7BsQIOF
SnIhwBTi+ADIoZWCnOea+MjRXfN5P9axgx2n4cCwTyIElNEQGf3VJDFAfAUwAsm+DvxWhTcHPYHv
xngtl+woLyUN0+moBtBuD7vW4laG15YleBdEJYfZKo4AtVSAPqiYE/p93w9sFrsd62l1hZmOU6fM
sUmZPxjB9nWatzI8pGyA2tNmOpKr75ePe0xqs2SXvpqFm63YJI6BcoOLuwnezXpgfdbpaJ/Gj4Wb
3ZipCdPwUzsdo4qYnNakytCR+LbvoW/SabAd0zC88lJcpJosDQIMcM0s3BVg6VaEJ6E1DVlAx2MH
ZU3W1VaCwUDH9z33Dr/537ce5o2h4IePx0Dg1IPVqzyWS7zrwdCt51dpPelwEDse4VEJYnsz1984
wPO70iC6FeCtwBn14wQCe9tyDabEBEcYVuxzPaFisydrQB2AQIyHY5nM9hQXI/zFg3rfGTu9Gv//
b0ZOQaJddT0OR+obBcXV+AHj1fMfYuzfb210a/Y1+R6WWckyHJeErFkd1jZP6n25CgWX4Lc7j+uJ
B2AcDse1gV0L2HK/Qqv2zRIClPT7xQFDbvpC0+koMT1zEF6pHPF43+E9HGZ/v/qKMYiidEisEhN9
Gxr61ijQ+Hato630SzVoKXdAxIHeYcNsNlFxLArI6P796teP7v83TUCifr9zTeo+qjsKKFyhY/es
QIluTguPtD0xa7AL/vvP/MOHs1WCgfxYMFLhPxFHaXBwUSzzdgbXft/VNzm0UUUyjhxXl7ItDylk
YLnolh/7Lr5ZrnWFcAA9oz2aGUTesumrw9AUuzY++DX+/viFYeHYxLE9uhowqkalEci0Yt2184Et
8fvVl4Zyvlpvj6NaNcCL9ceVVPHOV7pZrsDisbVDr+doUpXkjZ6rHJLUfbJ/uhWCtcmSjElamGPQ
BBZkaLAEqVn2OTfRrdtXwZi2gDSZYwkKT77GDTBjsMk/7PpithqwiSxoOVuZnqqqXT+soZnfq7D9
k2/9PyylrQqsoN6TCWLlY2wJ5lGuCYeJyJ96hP909U2tywhBu3oR4sQCtM5d8L3T7Yd9j2WzSmsS
kQL8jOQEn69CA4IGdeKo5uHzvstv1inRHe3W0IpTbJoWAtxq5uqeE92m+9bq1u7LDCnI6p0RJzGQ
rBLRrQ53ZmJb8ReMuHqgVHHphmH7u+oh2n2CRLpVfgEGURYq6cVpvVof1Z6wHDguvy/yJpttFeBn
Na5Lxw5w4boBjPc55PvcBOnW6SuMISqiTcMOHPKHqg3uWVu+7PpU/k/yBRshZWkL9BmfGnJmRmPu
Wvlm+rjv+ptNtTWkr/QE2jzryAwLdTaw2+uo3p/8BK+L8W827a2eC+BSw1Jf8FNjguFmLJxrHgEW
lfKIOdWkuMgGkM+HcS3+XFyDTfQPP7pZvskSFa2reo2ydQaeMCe61JEB7BurTp9UMQMJ23cNcDVZ
S3vs7XO12Da5dNpw1ZxQWFcAZ+u1dstFFUtQ/EWph+yuDSFprTNaLav3GZIc09/XnKTmwQ2FJ/wy
ByzpAapetQzKLKSipDKzY2KQCAEgaUwWC1Cy/zJWNRPJWJ2UzYWuNeyeDwsK+kQelt55m9cLreY3
WMh5V2ZxDcQPbL6XErzxjIgp4CwTC6zh6xtiag7r+wY9y7HJMFegJ9zgkHTtRxM1KGSqpEp/NabB
n+3UM3fgkPvSbMITqnPnfFSe12WaQV2qQzq0f3Vo2iZTNlsSEp/FKZfqS1uyWnxvgHVrHAY51842
Gdy+quXzVaR3Y9YGaNwWplHgkPtyIPUhweBkcVxxZBMdgZ6bB0Cw8aWJ3HG/gFEZuTUO70jqOGD1
8bQ2mAvru+UGlIA2T7hx/KEKJwD4wpJ6sKcT3iMLS5v0kDYwwM3mXvK+hX6z6hTw5gL1PtiFMeB/
He6sb20CrD1PMDfiynPBEqSNiCUcIDy8rU6VmU2R2WWCBBog76aNvvZjww9+Wefk+1SuCz0Z28X1
42pBP35XwNgmj3QsKL1fC5VO8qBXzKiwk/ATgSPCypNJP2BCI8X7MmVpcHMyXIWcTiFcjZGNNWG3
1jcLp7P/1qdN2cm8c2gGXwD8TcUHMifzsOS6ZSCJyTS42kBqANt9gCmWFaItOOgkYCUeF7zLrrtE
MRpp0YXXYIxmNa/FidcK7Ew++8aim7IEg7tmlm64C6cB1HaLGPXIOzlVH+Y5ki2w3VMXTaeKxsOc
d1KxCC6xagGj0wHK9yUdadvdiXlF4aficJpt5s2IZj74pXESIYMaR9DMc1DgaPVC6tTyEwxW6vkO
3EOCrnY4wlttxTHz6CRmt8Jl4COUnBwma6GevkVA+C4n6xJm3pK4IelBFUNcfUPtk2osGoAqHeDt
cTc81lMo+QfIs/rmVC0JxoRAuO7i2zUOovqeKF+vP8pWdxM7MBt07LHHolXH1qglupiGVP0nFTRp
GCG81ZLHWdIwYR7DcazJNwZQdbpkhRSNPHvvXHwb2pJ1nyvPlziH531oADf3lAhYO8dcfy9GL2tw
ifs6/RZT3ptPmC5fVY7TJexdmPPolgeo+sDq7KMuYN+7yjowGwGlXD7Ua0hIbhRW0veK4TO/kXW0
Po4ilCcwJNPqKbXASB7DtDTqtQcbdX32GPCIApxEwzcgPVydiPll8GPb/qpxcqPuKt7T5dx1lS7O
fSSIvZt6QHLzilEWfUl5xMQP4uviESPkwS2OkdbvGG1pMqDL5UHCICg4zOWa+lswJNx6A/Mg+lmL
komD0Zh0fEkWpdtHIouSXDxItMsRgMhqvhGLDfk54XMdfgp5URevqhfS5GYZA3giVqEYMETT8MHd
giIb24chXMfwQg03+iPAHUX3NMEiXZ1CVXfJYZwrh9jp49SqE/TTxD70wvHvGp4AbV6gZeif1Bxa
hBLVzf7I42608hDitMrd1RUMjk+FnAzGa4LEyQ8qHQS7NMYYno1FYPk3pQDazmU71GOVpS0pQoCO
GJ0vg26G8TD6KAwO49BGJGv16s0XOgrcwSEOJYGd4Yy7KAM52Kyag6E9tldLngyGdmv9CPqsYscY
pN+vUbh4DryaBK4ZQOCVPyBdkj8LLOEkr7SKGgBRAY3/tPTA0sLgqGlgeZbRel0BYx8xJfthAZ/O
FqBuj8mMeL8a33VZNWKb9gCd1274XpNxlK9OreIOHA6LXaGGZY141bjU9W2acbJHGMTjuPPY+qiJ
MwyAtvFZCyLqo3NAuy6ZJGO63vl5kGhdzGBZiZuwWJAoYpxNqcsA1FqQrbYsgzce1zY6KMan4DCE
johDsqxr9W7DlVY3bly9OE9NFxSH3kfFck9BzHkOyVCVb2gfRUudlVqP4gTreDneihplzOOCvlh6
YnWJTW8siriH2JsBS9zIsKrzbrVkzJmxSYDhBTsUpccI3TqQ1zGsG0xktGwcn8s5TKKbDufG1WMH
u7uyz9zCQNGBuXjWeyvIhVAxjE/x0AftX1E5p/qeazrgQ2tVo9UPqtMVn0MD37bh2Mm0dCf8z+bq
GDc1Gz7y2qnidpBlRS+YpOX6YbIRKF9HxCTND4Az0eLnCr9kGJsPqopvhq6UEgJnjGHhQ0lhpnSr
qnExN6CwUgiHIwiJw+NggD7M3Li00VsbiPTWNVq8p1GNhi9s0uPiAyNKB78gtX+7il5vYKUSLadx
sckb5J/zr27oQ38gATbA3FVt/ctguOa9wRhGfMMRnknmRF8vN8S3n2rLqgPskMtXVDXwSFrDAEBC
bdcmycUc4dNvQgAbHp2ZXW4GJGvPdYRjw5Mcg+jgq/IQwdXzhSet8w96jRZ2KMtqiN8a0afBSXWB
ydXcRRloEiE+g8brPJzidfhqqwhlWVrBSCUfUQs+VCPmPp8Vg5viATKn4s7jDw+r1PJQIndCbyGq
6ZVobZfPtbVyzBuMti33sASkfylr54xV/EE1dXhxwxDQM+ZsDb30UGDdiCRlbytpYAajBFb9h5Bg
LWYiChy+Bx3nUYR9PxRV2R4QdYb+cQ2m9OhS0eZTWNybKmg+wrPXPSUTQvwh1g09lMBxr+EVod0U
5VewVap75he4nfsBRyI3NbcLQ8Yxzt1yCG1Mx089kRgfRaIFVHEWjHAchFdfje8g63zAPkRgxUSH
0hvSfk8dRbwPMLt3Z6oBkvUKomF5B/Dv7H5BXzOWmcAp63oIg8jFd2kyrvOPpG38SboR0uVMwaD/
Ke1HrvJ+DpR5URrB8CvtmiKzQ2Coypt6meCoUkimu6y2iZG3a0RGC7S1GqezH3jz4Bskg7/aMXmm
49qQQ1sR2eBRKYzUaxH0xXNkTDGfIIxs21do1sbqDeYJ/F6FZeHODXjCy2MC9wZzsDMO5i8MVjkO
QOvIRxmd+159nlorw6+lou6polH/bKxdwWaGBfvgcAixzvx7R8qevI0AMgafKY7Cgk+MI5LCtmkc
Y0zRMs3jJU9K66JcGhBob1W52rzvpwT9bj5NRZ6ssTul41RVZxQnq3nw0MQ8C2y2ic2cbyC1kvFj
BKRyviQgJtoCsjzE7ykLqqmA/FhNeWTX5DhzUV6WpswL335pgC/Lkrn0Fw8dHTDRn6DGW/KFdiyP
FKs5zE08cAm2ExrbFwa60qoIYdI2LQepmUFmPxhwB50g92U7BstBWRXexB7626XAoShr+XgkmPvN
tbZ9VtIYxhGWtx+R9X7ldfw0kfGEcIglyparEruJZuSf/LMsxYMDCrvrCVYGIeFZ1dq1+QrG+5XJ
zt5I4/sLGGO1zUil6blmRuQTRlyfh1Cnt0GVtDYPZfeIOmN050gDoOvwzsKmfzQKSHCREVjBnoyo
dPdAG+MD7BVwWLgTXNJD1fXjfIpJydwTaUMLQ2cc3IsPLG29OjkN9NJzHyn6OR2ADToMrEBvKS2D
kT8urSmSU2grHz3hQJO2r8PI16eYaU3ORnddMGfDtX3RMkRcTFxAA5meHTGoTdZWirsCIdPMecqY
fF6grArymWP1vg6r7zFwj7nqyOewySzqPBGkNE/1gB4mHp7U/ZEumNvWJ4xAkmNa0LY92LCITE5K
pckDm8yVFMyHa3KdQrqrZC5SF0eHZupDMuEimBlvmzE5VqmGNVe2NhiN/WAwQUnf5cC7e9tOSOtz
JasgJxWsB/HpprPLEs8RJKIJ3ho3knuDpDKZQ9SCcsRJLnwCrAdjibJgvJS4mfBl6rAw8yjm/aFe
1NSe6xn7yZc4tN6dogQ8bjBwLMz1CCtpelgSrb4LF8tsoGQ9Tek0f27bQkUoeeKiGh4nqPUQ8SxS
+vKWlsbj7L9YntLlCt5d7UrvhjStw2MKctKM9A2p7sGujMbvXrtAXmrexuOHSRfEvbZ2IjnO5vro
66IL7/J4LoODqdVHMU9T5kzwc6kxxdXhpCezc6Vu1Ghg7MIw149kj+brOgqTJSjIe8h+67fRhtFN
VEf+PHeTOPomoXc1TgM/aSRU+bxU3ySMrJ8IWlrPikRcAlMwvsXe3XYddobb1MvlBzEVee/bOFU3
UakwXrBWwyoe+iCyz6GH/zDs7+MHOIdOWcoXuKhM4XpG2tK/S7Sc7LMLDATm45zkUwDJRRHE72na
DtnSpQ84hoTHAJi71GZDKO8Q4txlsWn0EdFdHuuo4sDHN/MI7Q1gJ1Hsg1x6ECAONZYOns/kETOK
8qacEnnEhwFgGJfL7crTH2kqxxcWMXbLwxofHNUWqHv+omPbfCSrnp9SbqoXGZoBQqpJ13WfzWEp
/JBJ1G/LaQF8cbnhLpLvnMzmdqyWVByqtud5Ay77fGptFd8uEOSyjz5IkzepPQVoIBrbJLgpmsR5
nRVYKymMHxYV/ijHYhk/xjHnS+bKZk4hTibOL4fy6nBx0cu8wggotWQxYEX3/YCvbC5pVx0kdyS4
dYTBXwCD0j68tYoU4nEI5mE8OThXhO8r1xHPxcLceDcxE8uvqMWaHtCMKIhuTGlKdl/NTgNfLFuH
0EqMTd/ppE341NOJmiOMR5YWJhsDV5cucEJ/CbAyAWGLlzIuD+FQqTGb4hLFlRinpMytRtbts4IG
lOpsiZep/D6nMe3v3dy59Rswax4JvhrTGLu3xkKOTVZhBK46wheqiM421WX1MhN0s45dy2hzGhME
vgNqdJlc+qug9NgnTUSfMCZWxXdQhFNyIGKOxYVgEHD+VWIXbZ6mYUxNmC9COnU79AMNeQaLnBT5
31pFenlBsyeJ0NeBCHm9GwY9IBKpNkEOZRos/bca7Rf/pY5rcWEgvaPl0/jkCxloHXxtIBlA42fu
YjBEcayicnwdyPyzYnI1CDB2mg+ukTb9xOFSMb6nXoXp52HoRVQd4qQPkKwUbRy4N+7XapZZEEUJ
RZZT2CYXBdXR47Cm8/KLwcBC/7Al5jOPaQUQ5+ui1SxgoRF39hnU8riej62DX/FZlEHUPXOsT8Tg
kNprggA8UoL2t2oxqH9T0VD5G1qrOmwObLWz7TLNOZcAG3SoqFG+VH2+IElFYo28Z/Qv1YgU0Z9F
LWv7roegc6euCkZxGQYxxXhjq/D20Ed6dl9rEWO6jqtaDF9HX/fuZGTYBLmoJ3JX9rLgeQ9px3i/
VBWTeCVJifHWAedGuTWuR4XVcxgkvU8rLHww8t8X952M+rMv5vS1p9EyDtkYr6t5WrTWmQXtNsOY
o5woiHlp1Z0WnyJ9kQAET5eVDmg5KDEl2TB65M/ZOI1+eEmIT9QvB1hPelzrMFQH7mHn1WVyADXl
pkDheF/CbA5fHSUNvS0qEIfvjFy6TwLh0x7oODKis7CEiOd90GsVoORawuA8r/iuz0kUk+R2xH5T
/eU9Lc8oaon40iG9T1QeCxmWr8CrKaRBFWl4OWX4yGKap4jTC/oTAUZB10SR8jGtfLjmFgv+Y03i
5qiLkrdYasV024XoyT2gA0fj57SdeX3rnRXf0Fv8DOrLGHFAgjiGGjpQj6LXNpLFVzi0oMqQDcJk
Wdn6YRxDgakHWOb4i05SlZt1AUIHg0rhTZlYqh/6kQ76wRbTcDcZ01V/AXk+/gz6ehgO8xTgNbI5
ea+na0lR12n7qmfm3zkymvEg1x6FJ5R645xpnzQnjN8LnlXGSyQnOHx3wDemM04gEAkHdCzH6tFj
bgpM0fTau4SVgX2v/ZpkUYyZigsOh8RwT/u0D55pAlkqZG5JK93FcSlHjZcyLeEAj4KiKo9zSNPq
mjbw8kX2peBHgnms/teMysflgUIv9ivcR8B3tnE6sGOLui/Cp1lGb7ZEcX1e2mrIogoB1GRusuAy
ymhS39O4GaJ36ifl8qUZCEr3hGk3Z5VLdfClLEnxLb0mQzfpDN+Ejws3P8daj+wSostBZN43rJ5u
BCg3aS64bX52MZZslgJCkwN0E7KjFiz9bzu7pisewpIe4dhaMNTlaUhPc5T45LORgcBEfSkK9LoD
0cDrazAw3TggA2r8bcy77rvWM4wM0YtTVfsO70FRIelWnt5UI1t+oBkk1zuro+Jno/QqYhDtFxfd
N8qz/mNQhDz+SQCBiX+gWaLQ66tkfC86WyN2hGrJI0l6/2xFkRhMKuG0lEkuw+cy4BznM0hqwrvY
wyL3JJzl0WEe15AeHXeoQ3QzzW9w+Sbsk7HCvQQBGz6lRUI+Qs00rueuwFjbTdCh1TPrZnZHzlJY
VK+VM5/wzOu7ltQQavIKSHm49rDu0ikh+jw2qNkyExT1Z8yez1kfYxzRGOb5nZ1N8JxwPz9wsar0
1BUwEznqeJnPPUApZ2J0eGGgjCPmtXR4VyhglicjO8zDOwcHqyzuUa2++QmmxV9hiYNOw7B4pj7j
sANOQ9wteA6RryqEBUEJ7ZCDoBhCN3T8qGaOjJSiOYbkqgyrOIDhMbASB4vBjvgYpxKdQD9FHcg7
iV3Lc2RC8w6gQFW/RmkHW4MZTJHXEjeS0fKamucI28voM4tuL31CIpiwnBrczseuK3x3qvqiUnnE
EuO/XdXbl67VTXM3J8mq8Rt1MLyiVPb6icrE3yGzLOkpTU3Q3UAUnPgXHK60R4SJtj3ZOK6GQ6Sc
JhCAAnV87HyIIALHl1u8CzTYChN3Br0jDxm+W5bxdQhU5fI2noi+DQLXrGcY6q0/ghggsEwDdnon
127G8ilSPI7ah8dasAkV5uhvaUeQwqqyvVuMil+hx+8x8wLHUnTuYD1CWVJ8DlYMSJxSzHwtH9E5
nR02oiEkP8bUyigB1ale0esa9GTaS4szt/KrWvuhyfGmYOGQ1gplACKmdk2u+sLAkR92XOIBpn/p
f6g7s+bGjXRN/5UOXx94sCUSOXHcEQOAFClRa6lUyw1CqpKw70hsv34elnv6tHXa9ozvJtoXrZJI
AmAuX77bB1Ize60+Lo3b+ReSrvY0+40nz88CQxDkuZ+Vc56ERj4lCSf3jnMbi08R5dug5uOIzUgF
drOMJdMYBvdVs3fGx7YfzSSayIg30RZXtms9NS4VWjTNqk9D6U4e7rXRW4unzCN4KTLBM7LPJeic
G1S1TtOP5rKxeiSG4VmXnrQqEVbKLu2oAd+dwqaeAGuD1FuXJMqxy5q3btv1/j0tbrIpWMk1b3d6
jQVHYXtzqWBUa43fjJ4+IYHAvKTu6c40yYt0bWf5zeOm5k8DBap3EoNVytAtZWHflclsEgPecsxI
s6GqHlYiKYq9nQ9mtQaC+IgJSD6ttyRwy5HAGAb1QlHYrDLuaBWvhvg6bcxsO1quudTXqoV5CLzW
mekA0Kb9qymcLL2xt7hGaRebRX2gFYNh3+EElh5zqne2GUazXts9HUnnfo92s61CeEKhX+q5Ggxa
fm6jfzRKsMHPZlmdvyGPI1Vk9arNOdRz0KtuNIh4EeIYGgcdkC5k2VemZwuOs2I06kOGcmh6me1V
DVHsefF4MbNez1Ev2rbYlY7jd5FNj6WxCLq+WtM9J4ySo7JLoCBy4vLc8I7+f02Up5laLuPRlH6I
8ylRIiJbxGRCZXGFQgNyv0kuvWlxNmqWsXUPa+026E86arsAZsEqAizQWx51DINy7y7a6l5lJorS
4OxguaNDB2died7aoipxKBZwviObaUWd6IZG2asLz27tdTkWlu/4T7qnN9FpBmBYWm48c3OXGmRx
mlshs3L5ZHA3yghSUJBG78/57Bx8J3+b3Bt9PrNfxUZTLBRfKMC3IF/jJLldK2vgsNJrx2OCuwUA
rAxhD8U8BuZQqfpbtnKeR626ysp87cfJ6CgGpODA1Iy4dSf6LzX95aAa7d8KFo+EUtHPt+9FCr/2
Nc/npti7iVsbAERd69R0F/f67N6l3Gcu20q6Yt9SGnWvaeuK2Q9GS5E/PktX+48WYHNGQyMYrfFF
EVBcPLWGboy7JoHCvJ9U3g1kcKx+aYdy6kjqxgja9uUxrWByGSRu6+x7ycHH29EZVHdXeFoTMYcb
rGhTkTvYy0xGpvBG/2pu4UZPVNe+d6IscocPdZkX/aVMnLk5GrpMqq+OaYJbeeeaba+bytBBKe3Z
ODUmeWv3hh50xhpHp81QURnXu1VXfn+TDSPWrUqYcnrcSkS6oW8O0JaZU9aEJvWJMX7zvaGNHx1A
09Cu6diRT9ulsdGQnpKVpM7yOLeJs1JP0bQ9tOQy6sPa1Mo59PBG80VZeJv5ZKWjEJdZAbcdtmaF
pGWHQ97sAT1qqCsIrWERxr7rbVuHjlflRsCcu/ba4YzR1oLAl71pYRbo9plhwWB6NaTlGpQ0DfSD
tVtaEfWpFO5hXLTaDq27GGZNSKE9axUUTkL3P1AJKz8Jqx+GJzHQJ+BVJq6uThS2mdyXItXqwzxD
NkZlAu6N3xaJ5V1W16V3FSdlXXyYfR7M1Wr7xXBpappEgeDhubgohnUTd7mWVXK55L0qPnLQA14F
Sqda7oDa/AoOxiV1MDNDzWRujZA0G29tI5ht6at9gcD1HMotv5DJaQ5WqBSRrtWugtwc9JECrOfB
jjJv+zv26RoWBXkZ5DC1m1o/ODx27IJKpMX2ET4QxHdiJu/VtskTh2jPuLKNGGg98EzyGO0zMe3b
F2buee1FkctOnLayIUvAstdm/DJnWoFpF5ownP2YtMuaBtYMOQFrbyMjNLvBn4h97KvhazW5vn3X
ECQy2PtzeLEFprGIyQdc2NSUh6qa5yJaq/7cI3EcvBvRx259JJB0mw9d3WonSqa1rU/2QPJSsMSF
aR3drRXOyRgsy9jDt49ZVPqJ4sDZdkNLbeRUmfO8yFy7V/GW5MsDTIs7QiGlcb99d2rhJC9t0Zjl
0XSw7R7NbF67axIw+vGxJF6dqqYW7nKyXGNY39ZO5O0pm3Qld5sWPqCgohAJIK81PGE2DAhXu9G9
1mY1zOG40gT32HMJeaQ32y5CfB4e+g/XPUvFJ3+vUOnflBNdrj+ac5EM1/24WfWlpIXjdv6eZYxv
R43rFGaDdPMX0EQDSFb4RjsAm3OSCYeacV7tqKkLtkaW0PMBf+7b+VYZ/eSEq2FYPdPE73qsP604
PzvVgl9RQ/RC3Q5yKg2iMzKZfdfnnfG71ADQ5CKI5Ng1arUgVCinPjh9b4+aWhtKqw906RJOMjv0
PJNwBGbk2MJAKeYkXXxjp3Kc96yfxHpOZZ1Nr2O+tMup2WQlPvWL9lxOLV2uL1dA+uWTL6t2uj3H
kTqHodJxUJHb1AWUockS1Q6kFZstXPydv65KXg4pppkb6L6K7AaK4g1MqyuAqwQ9WF0xPmttdH6A
R86ewfnbAiSv79IHFD8WpdBEf/GHHJEuGyLtYoghVZMfqyfZmgrTRG1CzQL9xn3XjEGGddUNGh9J
jBMi4+j1KwhSAk4MUmOOz8AUW2YE3kjdmgeC5XXcgqRsMC4F9FvgwLlfcDrT56peXC/9QlgAbE2g
Z/oxdRfVNIosD+eOKHwKUNNbhBX1TooqKfqPoR9JmjaEfwHf6oyhibgNYNMfuzgk89v56PBq42qa
06Q9qvQHwsy5e4GNqIlAvW3sod8BE2wav4ARG8f/iPViLuvglgcy55clMr280cG2puIW2rXWkReT
Y/DXxHjvQ7K81a2rph7Knak+5+6jN+3/mpztrBX9V5Nv6UwLRXe5c7IHH7QiE3/NDea8T8ZqCB5V
cSblnv3RBD1Sk3k9sEwPhz++8t/JXnO8dyJlMDB7RFwJJ2Iw/bq0ycarajYa4jwHhGYg1FNOhwup
OvtuGcBsOVnlhhlClPA9/fFF/J5w7p1GMlmAvTOjl/uGxrxllOHPukYH24UUapDoEOD+n4Rm/J4u
8J0Noe8GhprjeHuyLTr5YVybWEdtQoFLEMJwDtolyaSkHF3W+k+e8O/ohd8HbeVIHdlGbLH3fNrL
jCQo7TpA5j+5od9793dCypbmlINMlUAEVb0UvfU0+238J86H33vvd0pn6vOuapNY7GGeOSn06zHT
pfMX3/ydWHK0rLFutCf2gM87NMgwHhaQ4x8PqN+78ndK53iBVhQq8/aJaQxs5lMcWCnb/l979/On
/stst4vWQejGc7G3ipjpUdEwdWs+/PGb/84IfZ+y5fVwp+2SM1xSqezvA2DSHJreatMiy7erNmg1
xoIDfj3R/qVOk454twSkfjJL4ofEns6+4pPb9cNNboGr/vEN/XBS/xst7vu8LZmvDnhQ4u4rX6VA
z6peZ1gV/ve6WqP35FJy8y+1a9XeRdbmj/mWPVqMNHGIh0ynHFKSdEej0e/L5KStHYySWuzXq/sf
35b/mbw2d79ex/D3/+Tnb03LKT9Jx3c//v2xqfjvP8+v+eff/PYVf794bW6eq9fh/R/95jW87z8+
N3oen3/zw46CfFzv9Wu/PrwOuhx/vD9XeP7L/9tf/u31x7s8ru3rLz89f69QjnDa6bNv40//+NXx
+y8/2RIV2b98RedP+Mevz7fwy08Pz/nzMKbP9b951Su/+eUn6f9sS08qlyVRKOecFzu/nn/hqZ8B
XaXtCdNygRtdpkBNB9/0l58c82fLIq3aVyj8TNs5/2po9PlXtvOz6bpCnbWZpm+ZhN/9n9v/zRf0
X1/Y32pd3TWoE4ZffkIx+BudtXSxQyhper6kWaYjfe/dYo7wYzFqYxz2ZuX9SNBawFPsUsCecnb2
jjVIIkDwMg3ehcpzZGwdoUd1VBkFavAe0Dmo7MS/sgn8Az9ZnJPXqSILq5Xjbgic0m4cakXdhbmu
bH1S1bLXMncmRJgSiGbtHeAfkqQ3bFXCmEOduTFKrbnvo6yqvWOqUGDsNNok4pTXvPiyZcuCfsrB
XL/zOS6jfm4qkiNNlDKnBYXlC7seJi2poKIn5d9tBUdJQuiNXUXPViJ7i2bX0qHwYYLy+zYhHXxe
ge6qj7SH9l5gpevPtk6SPlxt+JqgEnGa7hN3SL5Ppsw/lTjvkXqZ9oQ0b5YFmN5ULR8G09R0xha9
fTJlp7+sa0sKxbYuX/BjLUzW2mxvMrQLZlTVVj4FXj1uCJ+RNplRORoA816e0NVwqojcJ8zG4iiQ
UCTfVj0qpGC1tPrSAmUmzyYxtXmQNYRN7eDDNCWH2/c3HsEMaH+tvA7GObXAy1RtXA6DU4686aS3
yECO6lz50zqQ/Fg3jXVsLEQk7ljrT1qPeRnY4zhwAwXal8Bc+mrf5XX+Ag1SnLbcbe/wXrnfU8ta
PkLTQWOA/1ECz0tXX7bFBmUAZLzsYnpuPFUDkWnT5jdQ2ALKHBF810BwccB6SnUyPnW0AUuiblOZ
CjpaRT9YXpJ3O65geZrmsbyr2y69L5Ai9nvIbHVIMxoSOuC3n/NkkQKURmTSj7JaL07kS7194oQz
9Zce6yK4LrI0a68NlMQHw53yZzFwwAsQSybOlSVbDjuiN8nuXC1A8Mo0zUcyDfN+R3TiSpdWYnLR
1DXDGAfjKjVmv9UfnrTnyS3U5bx8yQFnTvTSJW8+U/BZu2mMKxweCg9DOKAtAibss9q5QC1Eu614
zs+8d4csIzJBfi6QnejTULn2vR5m/2OBLi9QRcqnGjVAaKiAue/ifHTKByDrJoCqcg5Z5zl3VrqN
V8tk0nCrHGpRBZbl119qpClXkl3IiKym9761QISRVVcI/cDRxsssXj03NBfnrCep552qG++LSnLL
Dyors7qw0UbSRrCcaqZAJSeEILD+6AMu5PumT9HDN6Yew5ls8xVhCDJWlw4MmoI3V5/NOes+4dTx
X7zJd6/kjM6NoxpvTsuHInQb/5OeMr8MQczJTRkt91mKzDNvEzdpvF1VzkjH1VLq267egP7o+ONe
9pOLfmjjJJ3vnb7Vn0WTDi8pqkQ8HhJ47aJnHcj3drFp51CsNkfFxEO2H8Tm5Ogg9gqZXnVtMouw
ySQhaymm3Qm5kWrTcAFzM3dZAQEfUE7O11gIXCsC2+xHREMW7dCbGO0QCvhx9TFZENEStAzY58Y1
sueCQ1x8sFVafl87be1zlTinmhlO1rs5pN96z6P7pGzFxWKaG/yP9rLAjh33W68r1IOr9NyrZQPr
u0l0M301No7wee0OoYWM9+RbefKREQXYVSlGZd1vzZ7NZP1S6LW86RLfnMOeIFfJITmxLwTFoNoJ
OX3Le3e5kAmJ8Gu6VvCQS7FEOrdgXDmAT94pKb3tA4uNqB4L5cfPfm74Nzb6HD5AdqCmSVt8zlZS
6SAR6YYKXFQZnzpz0TfFpMw3PaecWP2cMiroiE+RpKwnJ9O0m++j0ymHtT2zzQvfYnV8AorLkXKY
lWPscbuv8sJFzNLvZleYQzjWm2Nf9+hPD5Ly6dGPLVgha9ZrUGlmikuET70b4KWvHJF9TUarOjhl
RgFjt/q5XHT7Qc906gA8MgMBiPgBEKYm3cHtaA6NvUAWQaJKG6Zim56FWhzvkC1OfacKREXYA9fp
aNWjOMqy2z6PGDXandXM/s5qiWM99PHoZh9Mt1oEfxtnT90Anhno1C/3iu3+WCw2jGABXsVyNMMY
6biVtw2V19czT3Vnr1azd7pFP5XJ4md3VTqi8BztRHiBAwj5NYeOPIAxLk6o5zb77mkkoWnWNz7I
cKcWjD4w3Y+Joae3RWZ2FYmq6r6K3oULHIcBrifOE/Abo2rGMFtiMaEpkvD6tMjFtDStPrqcLb4D
/NjMncziZIp8cN+Cjo6W92mAXGXjxlhnbgjI7UrBu6oYmYqSC6ihbR8SPaUUfToNWmw/uzamB2dc
jPoLB8E5DhLU42ngAm2VwXkeGuS5yPp07stxO3begy7lEmG2+NQkExMzgd9GV+3jeBLxVeb0SGCW
wf2+pLl5TFLlo5hru3Cc2jVy1+xrQSEXxJ18RaH2MiauQW+VskF3nlQ61EOGM1Uki/tpLAD4d03L
SkzgLfpDSDN3do4uCnjgMrfL2yP5CinOKAPJWUgHHDGh8lydLkxkqbf90vvIlJfU/940XZMi+B6t
p7T1jS1oTXJcD3NR+svNxvD5DoWDvmSeKHXctKzGiH6WzQl57QoIauaHAvXgzp6IpdNpOV3pZfQj
yYQYotLJ8iNmHHOXQow+FMIq92KKyygmavFbhVzgzc/i8Uvp0/R92dbhxejgfovNc7NoRqEBuyRi
7wbyygtqNdfWjiZCWw7sVxceIpjGMD66aVaiZUAa2oR+obs6gvybtpvOB6vYkcyODapq83Ql5BFB
ym7qk4WOOIZz01nTloXw/EmzayztfLZlWuRHhfDl1e9iO6i8koAT12/LY1UNyglZEWj4iPDUv922
Ei5gq3t1PW+tOpmjva7haHEAqdrBuRR9bxRBPKXjS2uPHI9GeLyvpk3CMujpiB5WG4j6UY3FxGzU
noWWeTQ1dWjildtFtYp4iQqe8rWFcA8rXOFILyDC87Ko+jhs7QbPaePZwxNF1IYMRFn2t6Fb+88a
VuiyrFAWRrXtI3ZjU1pukl7BtpSqN41QWiK2ztLL/FZLK00D9HVj1HoIOyKrGHvvNCVY/vBD+znL
mWnvZ1wK7H6b7FDNLyafZ5fVdi1Kpmm4KN+HWim9+1ltzROolJSh8LPmiGxcYlHqdH6orRS2KEcU
gIbS7tedznjLU9bINbvtrTi5XnI0X6FjD9Qvnuru7bbyHuiJS+vO2KZ9V5BMm9OyVtqMEzhX7tkp
tbmfhjzqIQKiaUzxXxBR2t8LGKYrHfN48OFYZxF3ugnkMFTFLBnQtBeZWRfdzk9dv/qUiLx5tfvK
zh6KcWW5SOZzdZSn7dYSpz6WzxQK8cM6LWty8tt2MIkkHteNaaOSaldUmayhZnJUEyzQ64j9KR2f
ChIakI2zR9/qZo2vaj1NpN6W/WulhfUwY9oYIqtV5X1K89aPdmeqJ3taxIVNE6ZX7Uzmx9Xw5ytU
fsaX1YxpPxV3+XY/N7n+wvpLueDSodUNK3/IL6raXddgrkz/SGbT+qnJ1nKDOrHKT55rtmN01mdU
LAL4Vi4aeCDUk4g3hzAhNrukUjYLVDZGSRUzZCDHB5/qH658QgTTTKlzzAbbK/edWaBZ9FJ2t8Cl
qdZ6ETtpkl1uo1dcCe2u3VG7FurELC8Js9WqVG9TPVXfhp5s9LCc6dOzGzhLPbn5SmaIl85Lb12Y
AIlGyOhN3UuYp35izcrbfC+wsE6wj3WjjOemH+RhRXjoN5EiXiw/pnUOFhhuE8edyDXJM/zcLbPl
P4iGuuQCuZmNkK8gs+3coEo/ixq59krLw/2M+ysYlxIbo+02SM9oAXZ0mE8MzM3wq1Pqjei2teNO
zs3WJhSsDr5JVETi0WS/2S6LeI3vYTa68g4FOWJvdgSV2KeStl0xnZZnXZLqlJBjZIKKO6FTTRMn
lbIW/YqMIe267jrdGsqjFrsa1mmrrdybMXfq+FJYw5Te+rPU3i0Rf/F8yIdsjJZJ1PcIUDrj5Atq
kse1NO3tQnWrcPbDsqXZUVh5ln/OYGCrA+zTuu7bAq0HppDVfFZZXnhBu6KA+0p37DoO5JJYkiJp
dGK02Nls94SLDgNlZr90WQhHhtk9Slbb/AoqM4xhP/YzYpO4taM4E6s6sX1386HwLX3pQmX3qIkH
60A2V3ExJiO1hB17y4e0pn3Jcc283Nynfev44Dc6ya8bFz1WiJ2jGXdjYQ/7zkgn/G3J7F2QtqHi
S6dvFpT9OQrDkOaDMr6sO712Nt0ZbYwz7AxVsUPXUQ5floJyu+2WtbouHcSgIQ5AsUExz6PfXtZm
vapDDKi0BqMgkvuJTcobju6CS4VVbp5P00yyhRtkGW3YPqIGga6ymMPNPdwYidJeS2YxmpeMox2y
wLu8U+oLclnhBuiJWhkN3A7O/T5bt4OV+HK6Sg13K9HuC+kGmyHHvbT7zgs2n3bqWVV8UbkRU5Fb
bXKXFi17ohu3Xw1nUWlQmttdPiQPSNBNHfVZMTB41FziD3WmHIG916ZRFkOo22PFNlWnRvy2ZdR6
R0vmnIyAGKY0GMt0/bYmveMch9lKKFjNabjsukl/QAzhnYXdDvu/WKvj5HSGC9FSPmiknMQwY428
ShZmLFVLDLsboyz0UNEk08sgfV1SvftIghuEeBKTCOeaQzb0iRcOAHhPQ+IkfB/+hkilzBLrFltx
aV8TKTclEa9GzOPWE27Gjja5ddBU6WKFaOuXiyWp5feOpR8lItbWj4PlcmIqYISfK8OrjwatRMJz
R/CTbMsB11a1WV5QJqIvo60Szq0oE+ehyxr3DBBWx5zWlduLY/E4MOv0V4zL8ZEnrw4ualJe30ir
2c3bcGzNenlO0Mw/rWs24n5MRgLFc8u+nBwLozbQoxVq3yq/JMUk6dPeo1ELZWMhB54n0ZpR3ZGa
e6O07liXHL9Se4Mbe+qSQl1BtK0VIX0N2FLtxzMBkhz2owGHTxdBo6V4GzI6+0Wz9mNW7A7h5Q/I
7h/44W9gsX9ikn8Bt7zOvmHdbt7G/w+AS2wxlvXH0OX/qr8/V8/1357r73+7yb41L8/93/DL8uPw
r2DmP9/pVzhTOT8r2E5FpJ/pSMs8J3/9imcq+2ebJduTrsKeL1gn/olnWs7P/AuApue6rjTJifkn
nun9jCrD9ZRPeWWb/IX1/4Jn/mg0/l/4+Bm/tCQ7h4NhSpkkHLxjwRDCI/zPlv4inSsO06J6qVu/
2FF7DQHSgHbfbOXb6GVtuKnipbEwKanGsMJuMoM1a6gosYtE8QJeEM/Z04QL/08Ij3ck4Y9L9Mnu
IsBb8kSEeneJzhQDCBf0HPereAkQ5dg7eDS05qk6TV33jK35xht0NCSkBxZel/8Zh3CGdN89Iy7A
JfqMRyWVeEdJ2YXV+qxndIJPuABnO1tHLXIlnCzepV1rhzqOY9Cm8VKnnQ6Y53+WYnimjt5fgeef
268J0zP998kog5vZfVmVyPc0sfLKko86FTdZV/9ZIpX6tx/k8TEuALf9Psre2+JhXFH8005tag5s
vWovx/Zz07ECqRWhOo1SmrDzEP1O86xCGZv1yVjse1Fb9QkxqbHDbxI/Iymcd/1imw9EL04cFUx1
gSuhZ+1rVvrzuOy2aI6ConDlTnjobHoc5uS0Jds+1vYdG3jJ+ONBrp33ZYiHI2Z4P8JsGV8mteFj
02jXi0Fs6fUaf9ygUfGpbY+N5Qv0efNyswzFm4XdcTdM5Uv9Q6REX9bNV69TWj04m/z0LyzGP1bE
3xAD/+3BMSXYp0yLOtj9b50p5VabZZJ1tCtzYn8Hk/uFrAXEugBjsW2fz7yJQjc3qT8h/+3z6P/t
0HCFA4bqS4qR8zLC7/+FF6xaJdtB0bDCH1JqhLHMj5IT4cG2Ka4SB49AJjfEqb0trqqVCV0PJANI
v+YLLUksKdNkr8kPCDHDMKQtu4jQkwM2dPN6UebxGPrKdoHTDUruP35mP9K23127Z8Gk+Ixq5cn3
qbYmoik02/TC4NRZRx061quEAiZ0Juz9yLx3hRzRSpMSetMuPpUFoQxFcqnRsAZx5VEJnhcgd9k3
4uQRzhBgvUTUY3DTcuVucL9nIbLOb3983Wd6+/1l2w48FGyXEpxvfvvIRztDFjVx2bPRkyDusij4
QJ2/Pujew3Xa6VGFhlvafzY//90nu7Yi/kdAZb3P19R2FaPPoydMjKIm5DjpBwqMP/rj+2NH+m/3
53DoJMWUm2PB+e391fTwdYyuLBEiy/pC9l1x2cfpyx9/iP+j08n7x+gqaVNDWxiJ3jcLaKpeSnSm
5UVjl2+U5H2JC5USDg4HB4nLJFfGzN4yjeOutrbiEnDgzUrc7b7dyCxAkc2+s6rQcicVViiAdpgv
zEOJgmRPRoYN1mtkoVP7j4ZnYOnx5I29rD0ND7QfFYvOg8kqKawQPu8yjkA7vxEX5sL6JizakRBw
gu8t48+GVFhwVFxaTr3J9OD1SNPRUW4Yd+2N/9cti3HIExJ5Wjsj+0EbNZ6n1t3bQCtAWWBr7YzT
bCT0ZcteRO7cc9iML+M2V4Hr5G+9rZvDoFOFyKw+GItC9+iZal822VufxKi4G9bczgEiAFFmwFmM
7zoZ7HBqSxgExiB5Lx+7rd3wIqvHlMERGmPBdTv3daaMw5xO9s6xx89WzWyfz6v3uhbDp3YRA8gm
0tJlqW1aKfBhpcrdZ8uE1emx3UblnL0MoLERRCGGdK/swswWX+seYWkCS/kwNTPFQ7axEW+esZNl
/ob0YQimBBSvqrjeZBwfaA/x6hXsnjQ7PyUcyRE1s3DPGvl/wQYS5Whywqo3PkuT/i1u3KtQpRh9
he/EoXaHdM9ahitYZC8OXB1+EC8LjYEduFwRYVdudRJl+yG31CNeg4pp2I9REfvpBcWPw8YC7l06
fDX10D94Gbh01epbCowLTEwvvTn0x0Fz1DdkOezUOV+pWlks+y73Qp/mj11XvtUoNgOvm666cbra
quIN6FZdLCC7UUKjtWCYK4Fo8Dom8jX068mPbFPe0EOUUEC056BNbhHZSLGjuGWcw5cYu7WhviIx
sMXzV7wZicGI5ZulIfebINouLMxOPE3nKJc68evAdiuAzjh5ayC4OLGdAYVs9iMjbU6LHPIA5x+I
5Fa9kI5Q3iLjRek8Gf6HAYpqy9MXzzGbQ7qa/ZUXy0dzLLlHytOTl2tqq/MXQ2VwM3j9uIMK5qfz
2F1nho3ZKkyVMQRpm2YvfkzNKBLn3vFLdTGu5QsmE8B9Rrg1MjV+DNz+nDkS18teLuiosdpdIAh+
bBWFTAoO9OsUqBhhluXcD2M/RGKi+HTddruu4dpxWJ2rDYP3a6qz9zZlBJFQVGNKZrq0ujED257S
02waxs6a4yxsfQYt6NTLjwvncqlidL3tc4M9TSnu2xZ6+ARtp/b0YmO9bhemmkzb6wYT0y4jKiyU
QHi7rZNHy1u4pspG5j3i38Kme2pmIq3yApJtGeMaQr98M4bzgiUFr+E+GLrFr19wZYp7u+w+43Xy
A2/J3zqPqwaCe/mxXGhZvJGowW1NrAR1nvABg4e/kgiZsIW/D3prHJBJ8hA5DFAPbdRTVMkymIR1
IHAmP5WNX0TQ2sRKCavYeVv7WdjN6cfuRNgS/dgTnoCw3PjS9vI3QEBSLrBpVhRJYebRrqIf6nZP
D6aI9fR7XbKYODYjF8H5EAxD9hFOiSXP4H0n1trCa3ggQIy9LF9G6qvzcoaMkyWv9G5+LEpasLwg
hvmcL1xbpr0bu/G2Q1eKe847cMjYhAP62b+Qg5iHvtPnQTnx5f44TaTngsXLHGN33na8Rt78uEMA
6LfzlOgycX/eCqRn348tF/bjO2htdZPR+ypA1mASEXTyk1yEVn0eNjXsZ2xj3Wys/rOZu9ZJ9DmJ
Ukm5IwGjiOhZvv660vkuiwnBso/NKlhRvc3YsZrMt3hYx91iMH8xvNm72dh4le8ah5JEgcvx/O0s
BiNPbM1pSzBJox/kn9ptufyxEmcoNaPMS8poxm7JDKbMWjf/UZbQowGv8LgSfwF+47f+wBegM92i
5IZlQTiS3TTKLCL/DA2ogRWBMczbn/cVp+CiaODGVPXEvdXHuzUt1gsnRvFQQOGF5xG2bPwlKqZ7
wUqzh5dDgtAw6HrFwkMQ4BAQp9PSn4evxlEUFOdvFxnB56xmhsuUVZ9TUI1PjzfsJk4FP9bf8rw6
xl1aX9SF5eCBbJpDlw/j7rzHwRTgi4HpDoRmAv1v8s5suW0ly6K/0j+AbmQiMb2SIMFJsiTLsuwX
hGRbmOcZX98Lqu7oa8lhRT33Q1VUxK0rkhgyT56z99r2kl4si28tmbJtESgCzlvL4Z4W764fccJq
QTZ/wc5VHmz8KhsDFiSSivT59Vmh8/ecONEL+JT7QE9mNgzwIcPApV53m8BlXWTCBjMMJP7VZFup
Z2mWvlEDrS7VNSmR6Hh8saPVe6JBaXrjLbgesb55JnT7rTJtHHt1dMiqkg1v7uprVsn6HKuoO6qR
QXNrorubjIjJsFgwIPTMPMvSDbwEofumxH2D2R563AEFT/hMPhHqZgNQxR6z4LDpANn6oHgoNab4
hWnZI/EQ3X7iZPVDAxL12ciS6sw0YfLCqvsMyCD0OefAIwqEeNSVwHuZzwUVsRF7US8CzzAW/QDf
g+42x6ShDNfSoBrKY2NG9o3osSyOWIm3iuRznoSaOcp6gEvRuTKCaa4NEam9rSZx0t3wudcyWEQ2
k44hDYytpI21xxW4nJeG1wkj0bOzHvNKu0o9TNH8l4PI3zTHCB8tABXEx6k3FUm8HVf+O+km+hb5
OLjJLFTUKBiNQRmx885csUE2v+A3a7uOZtdG1EUGjavqdtJWRxy6ENnoBOKWWzb4RUZMI4Qqpkz3
/Eo0yTZOVMDHo9opOv6YEj1/eykwcAvRo9wwTxniADhL4y+mUNEhr53AG6cAP45E5GGPuyScf/TM
mzaaiFi0NMbqJQGsG63u6EbKlWaVog21BFYqrK1S5wwXMzaLjYO2YiyMFr/kECqP4vlGG9Ot1rAA
tHq/DxEB7pyQexpGV9rYnPFilDyE4xehj6fGypyNE+cYT1ztVwX6wrNHme7kJCSULe3J7Fh1k1oY
uBjVbZgmcpM0+qXRjNSDAzNtyLFr6eISDFbHyKDaKeetXU8+SwoNTl9YluI+fhFT6e6jiPpJBKw0
ZRHNX4xO4ayx5bIdM3YgQDzBC9lc5VYKJ3ugHa7OatEfB8lSoYn2sYDLvsnTuvkRLmjh2Yn73WLZ
nZ+WFMHRVC/7MaVi0jnDpZtEY2z1uo4rLb0YOvtcyOKgC5OkgaEEmVYh5Ho90Zs4Dj3b4DXFtkF/
WBe3xuQ0zDTidNvkPLeQHdHIhK6vxvHZHXrHT4vhNnJ4YgI3bzZaMbBoshWs33Nw9FtB98FvLcGx
kN1641JmkyD1jDP2UU97amRTv20hnTEbhYwxgko9CRGVm1i3UWLb4U2RjZdqFt85QNZ7fTCbc6vL
5kuvpd8S9jSctn6NE/E0NixqWIzTq2Tk2+CLZNDldlTX63K60EK+Snt2vMHpcEeazr0Rp8/VnF8o
MKabhWQBqkDjqmqoazThXpizWJwbnXjbyTHeZFP+2cWrQa7Esu8YjjIBa6xrNSbRjY7A7Vusc+0L
yuSdSO1jpnjCqoyngSlwSYHFNUUXxHVWtvNQGgVNai0e7/Na0zf0xCk81+ZVHM4IPdJoOzusawHe
5F1aRxNp54bsN5a7LtI5FR8iQ2rvtlv4sdSYchnAwsbkhZZNechC4Qd63x6Fm7wUWvSC5fGxadiH
EFhdA91DpLfu6N3EIWwtd+r1WQ15TK6xaHLKoybgcC13iTFrO1iyDrwz9sxiLqGgrKcWtEXTxkaM
4PVh81jmbD3D2I+fQqa/jBp0bnaxpmAjqTvNdCY3rg43JrW69K5GObXNdbHTsDtvJ7TqZHAbzPHX
Xa7pygLvkkEZpWbHCx1YVWHFx2SSZ3iKjOV7btgRrI/J3dK1GOiA9CaA0T5cKTkSXVsQPGVjy19p
8pdVBfKcB0Nxydj1Xp9+zps7rGfxicPqC00IflVm3YFZ8C1X3hYh22QbsHMlQIPWRpWplvrQh+5w
ZdbckTld98CQ5xNq6bBtqaFYFMLqtnGLnM3MhUEnNEgCenQ9xyxjNCPTXY5yFixsd9J69AhDVWG8
g/ulaj5+xgwGI5PbAefgE4NRODPMzDZaNArPjdiGedrZ4npu0VCo29e91514TyMV3P/94P+7xnxt
5yrL0m1hGwihbOttJE4ve72KSjIn1XqZ1iMV+iOKjHbqdo2pbuOQ5+/vH2n+qaNhoeXVBdJiXbfe
GBaGZACTmcykQxacc3F5IIHpuse6og+Z6PmyXzSRcuF4sLCPL3vIlRhv0+rBrL86dXUPohT0FIP8
/VrZ9Lau7Szbvk+H8EaX08JUFqgQ4Qy9F43YKKtxuLFyDYex01Fzd+GX197p67HMFvJn3OXRizV1
QKQ6C54s8uBR68RFYh0/WdWUX1BiUkMOax1sc+zqjBXog/ubIz1On1bTYYWt5z5iKZ273vnJGKo5
F1BtsKWthWcUlwypjMwzQyfAdiymf78rzxDCYDZh033U3beBm0kWQxfj5fSDlmOsY4+gI3uaIBaY
Woap5gOpki1XmRM68rv1YEad+vfb+oc+nOMyP0GniwiRFvLvfSpSM2ozlmnvJ3arNq1cogNaQjY+
q2ZcrxE3EVmDvh2y2PigQ/aaRPamd0XHwHUUGnUlaV/9/tEsJqKPUwyaTg1WAsOoDXVSE3fxaK1E
n6r63usJIGx9IXfaTG5K9MSf3QqkiTGJx79fhvc9e0V/lNkv4wkdIuGb72IUnc5xM+j9NjCcXVYD
K6lD/hfo/fupbQY8ntroFWPDXDUc8sPfP/0PrxZzAr6A63ArGGX9fiVyfqHRIYj3gYzh0aShsyW2
96NEiD8sGnSZIb+Zq4T/3ZiK3VSaTMkgFMDf2/bkrXlNMn3X5vYaEMi3ucvijx7wP/2w1YDg0N8W
zH3e/DC42iFlSd75AFHbc4BWdB93qjnyftLKGZ37iO0TnRvdM+Bsz/mUzf4wiWqD9rjfZkP8c8ke
/n6tf7eqvS6d6xwRzSpPHk3gdUz0j15/BUogdvWKBz5NvpdYWH/9q/hNE2q8bKo/sOasU8Y3jWDT
ZJFWdP0d/Bj2m0ZwL23NCgqolE5sXzdSkvmnmcWuDFS81amaN2KwnlSWfMGifsx0+0sD0BJ62njV
y/Rn52BHXcx4+Sisbe2v//7ymaYrTZNHnffMeh2J/OMyGA6JLyFyXR8yIX2ajOLZQmS87/WCLVPK
Y1/Wl4gm2VdESdW+LblFwNJo6Wrlo2gmGlPUcStCA/1HWcwUGcb1CCh00yXJD6s9mJ0+eYuiBOns
o9Eat5Iapw/xo8GFT3ZaF+4im06NjaEPQS4G+HXqmFo6zFs9S7YqJ8KoBTi4xbgvN1mAvhblVc6l
oZW1ju1ed5mEXIzj358Q+f7arJNkUzFXxg5jvZ3notWeyLHSKx+86gT1rQ63dheCfBkhfFZ23SFx
Rs8+kQ256YZBf/2ZtFaBi9QlBaFNqzZg21lgU50qvSdhXWdKNKx1M+z+Zd/iDr+iJQFi36ETGuYf
7tbi/UjLNiGUW8pAoacTKPH7Y04vg0W3odikKG2J9CCaiJ4aYgcbWaIEnwLc/uK4+OoFTvyNlsX7
ZsRb8fdL+f7ht3EN8XhJJvc6xp/fv0WeIBMc7LD2MXad5MiFkTwJcTFYH3yQfL/SMDoUjmsz4bWl
/XalYQoSAG4jcyHAOpIkFCFiTpd9bXfFS7a0dDjIr9oCKedUNJHgUKSobmXvztsgRwQzVtGz5Agf
o+q5wOOjF8gRkOubAnnm3yk4vNPfvjQGs3kDJfsBG6H2wSzvTzeNAR4DUNPWTfPd5Ljg5CqRSFZ+
1ILVlZnCNFFM1TZvqTqnfIJDOvY/1/PSnNJ+6uvoheiND1as9wukjSyCeaIhDfV+m8hk39rgpisf
UvovA/jPlsvAh2WN3I7zR58m3wsDbBvBjrtCvwT4mLc7bwlVHGQNxD+qm31aAUZex5JLK0Fawkam
gUtBvXQMOaSjwk/5Uj6WU5leWTnFvdJBLjhivspUvRwGDt7I4lNO5jkney1oh6vEGD8IyXm/j/KN
zXVQbFus6G+FBI052TnetMq3tTn2yxZFp5bSgeh1zk+0snVv0LMPhpZ/qL75NJ4IHeMcy/bbNwkz
uTOW5AP4QUJjsy4NxUF8kpcE/tIhyjv6qSHoDpH2x5b2FFBoGpVrz5B+Ox40WepYlmghBAyKvA4m
PI1QQ5xorYh9TWlZGRwxI4tjt2F2j5jt6KavPZFCcHAC9+HsQXqxmsUm/dp1/KJkH9+mnKi2eWlE
B7XYyg9TgC1xYHzJarnA32OoVwnL2aCtrPYRST1bFUB+RydfbPDI3k4jfZLX2UaZKX3DzO3HehK2
4o6Pm3QmFMF3Q5smUBPtuF+WD62tf1w2LEMh4FlNj2g2fl+gkMQh9VIsG+HcRTdpzhhTcJbYS1N1
GxrLJXsgh9zYlc+0zelmm9zoYqwdhGEy2xVWMwLYoEf0utbncmQ0OscEQKgWOkzXyW+vo01VCRfN
T96ccsbd11HCTfj7Svu+gHVYXyleUZzoUn/rPm5CxQi2sVu/sNmMe2JsvNxeXwkVDWcU5zi7nCX/
psDTAaoY0g/2zNUc+qaecKSyTQPNC3IoVLy/X0jXmVJ3nIrS1zOmaCWi1RuR0u93Mjrh2HPUQ1GZ
+TYGR3HsBe8I7hW6Chp97Hj9X2ZKLFSv2+iiFx5T9i4mSvhFPLSf33UkrelcPmotzdfX+QOtDaHR
5wsg70ckHj2a1ToNMGmyJzQlfT1fe3zgQhmkVfFtU4/qQc9Mr9LdSzOgxDetBXv8qnnJQ/eF/zD0
gID9S7VJ5mN1nH24QfKDevgPlQVMUEc4wnUVu7K1XsV/VF3oR9MiGaPSrxlSvA4IcrWOhAUToSrm
NVy6bNyE6XKc9FR/5ahs8f8wPKgwDDGGWfQe4VSDAYLd+jZb17faulcYr5mLV98KJvpohJlF2IDM
/L8/Yu/XPUdaVBS89zpnxrdnpB6ddpvTePE1R/kiYL64LhXpzBH1tRsF4uaDVe9d8YwTmnUAzBb9
DsXG/uapigSo6Salz0Fru9rMVWdv4nVy/zqLaV9vb89QaGB9QcmxosrXMeDQAWwxECvvmrpJdyZi
ltUf8JEv/u1G+frlTOpa3rdVNbT+83/cTGt2kkRLi9SPI3QEXcN3gPXHFID7ROL5R/q1P3zc+oqj
VDIEh4l3205amahhy9QfzfWptfMLvFNWpJZnh7PjR/2e1wTFf54QbNY4VhQUnQjZBCfH339e1AxM
G5s48qMogpgZD4q1sCGFWbl7Rk3ooseUiiQuMMwZlKEHOGnBQQituFaor7+OKndvkqE/WEb/CRDI
tIMyZW3UONS7kXfUo9XRnjOnKnx3nBHDd0V8KYzERa2SM91cumLfxvxx0ketdXZ9C3Y3ORL+LMD2
tuAUS3xpAPWqA2cYFW1Bn4yewkGy1Y1oOE7BuKcjWe+asFY+fnHjhJZDY6KSfsK3p/DF2AaIW4Nr
iGUWC7mWYBdJw08F5+T9MmiDR8Ke4/UR/yCS2rOoaKYKPDS3M4XaPs+CxLMxulwF5TDQNjQlHUEM
b5uYObVXwI87IVA10YGlbuJZeV3si0rFpz5phhGlRZHSsgoM37Br5+DGfAdycFY24ueqU5/CiOAi
je4wYmXMYKm2iO892EYf24H5wYtmvC3UbelQhElEtKxKOuf132+2G9a46jN2eRQUzuH13GNkqEaK
FpAr6QNeInP9U1XXhR9UIz62ZVY7Wa03sEyV5zSYTlD2UNfbjZ14MVD5TCbAOJEeYogaLfo7g9rh
okk8hwXSw45Z7BkiKPxTXG3HWLT7uRzVxV3/fFJ2n7pI3ps2apNxslCSmL2x65u8OABpdD7o/rzd
vJD98ULxBlPHsNDobx51Vk5hGiChMEQsfoMrgRbRBweUt4vn60fYKAxNV7eE+TYcnlOYSSOA4Mx8
SiqvHOiFDs3AMaNaEINgYOXaaB+dit4WBXwoa6eiuOE8wbLxZoUKNfJirQg8T13a9Y7hF9CuhSj4
IUwFggFGepDt22NJlgF+/H8XTbTKKdnnlCUp4Glu0nH5/ama6zwbkpywwN6qNObyScvdhjmQJOsH
goc6Vm7n+Kx297QdUh/DzvDl75vWqwLut2Vs/Q70qyVnGUS/b9NWeW0aWzaatYe0TzzvXLeHXBkN
B3G9XTbNALY7zvX2CStdgL3RVtflhOoU8LTzWUvtZSURNyDoVLLv88V51FvJpaxbqruo2udp1NyN
89xi0bP5OV1kX+paWdghxvpBhqgSNlMhYn90uxvDDqHxDFr2QfH1ynn57TdSwDIQsAzwHDTb3oop
8UdYqmYL3RObUlyId5j2ehXC8xvK4fT6I1wMoTf6GNqXNuIfMHgMtu6iL14m0I4slGCeQS9ia0RB
eHDDCN8oaHTea709Tot8qdBiHABHIiEj88uLQ+M2lbkBUDEeTssStYestoA6mIvjW5M9MNVud5qZ
gNZfrHqXWYDMOISsM/ZC2+eVXLwmwDZfRdM+ber2euLf3FcYmzZRFK44VmCFwZjdkNfzsDSJwSLU
n8yx58sqPduEdTRcydjuHrWy+Pn3R8Z4t9NyOemIo6m0aQUbb89alQu4a+HctAeRTu+kJ6XXToZL
HI6fCe0MCIBQYr8AE9jE1hxsydpGcGRWDt4rXOlaTPcK3L7YZi6vWQLR9oxXXn+q5wRT++IuZ/4K
xs4BU+2kqeJAI6nfcNEtH0fQjyWpILCuiTA6XjCmG63a15J8QHCOzVazyoc+m/v9MGn3OQ1pL12a
f7uyWQ9EAtiou7487yqbeYojBm1cgCEzX5DMOzfrDW8IS9tiXBo+6EW+psu+eXwN00BmRTsSxulb
RW4Ow1LqfccygSbISximPqKOis7VUoitvgBvMfQgucYHGJ0lgMcNI1LQU6NY8OHVlKFYTkm1Gr4O
bnAZQ+sqWMx2L5Cq4NGdw6T06pmHc0jQbfL/ha9hgSVxubgw+AJPjjyS1J4vhGQttxLs+l7Uy/BL
lGV76A1uJHiR4pK0urUD4xGSYFWPX8Yha+6YWgeeACp9S4bjslUSsUGqBH0aa6l3IZmKVyiS3CNj
xdsOk8fBTWce/8Xtr3KrsEl9KYerUWdtaas03bfr12EGl63V5PDFnEMycAbWSqx4Tr41pQ0To+54
lDotuZaQMfC7FRgCAxuH6SCYyUbEa+3dBoBDO4TATbmQm8gW1i6ioUEZRZNs+WBr+8PrwkNCQ2EV
Va9L/e+rfGtZWUpIjrV3GpQlCakx+6YyWWFLVXq2WX6YRP9uL1WCjhD7iWECMKKZ//sHJoCaLH6H
uRcDpSXuZuO7nKBHUlKxQLW9A3ihdDq/Gydtb5CyjUysjs4C//9hhkAOzRi7fp6V5HeFq/goZlNI
iRwkm8QkAkECvz2xWQM2R7pJThcr2NzxO+D7k78CIWk3Nz1ZYpFA6aI+j4PxCNaAgBDX/hxE8U9O
4v2mYpQJ+kKziWwEJ018u3MDAUHuogw4AjximkVFVHn5OHW+RefKVwyk94zNWYYHPnJyM+ODDuP7
W8WID0U6JRYHdfPtKZ30T5TBC8AwKOoUIBWfh2zOPaI5cg74susPPk+8Lyw5thEcyIkXmbptu29K
EAd5Wy1DGGLomIxdPKMMhRtjXeKcQVRBVNp5clW8C1trX5V9A8CXG2KltbHDhShgORWMAkY72E6c
nMEosVHpADaB2agGUYLo/Krmp8RW2dzlLcu1Waybuxk07DxxdmMW5dO83qiwMAMU17yvBGc/oV+s
d7B0WN6xO5NqaYj7Eg7xkWCdq2yI0j1ThheIpaW3jOZLamdPMuK7azr5VbMTLGf6WnIn+onGStnc
twvLBOGwyb+21iql1GqcMHpEUWbsXPLkbwUiXzQiLESuyy4Z8faeQRnr57FTnY95lt00TxGDV9Ql
KUCqbZ+DOtHXZY4A7QRZTz8/FwtPUDqwRCwA/z1C79oDymL2npQHu02r+iHGeQrxmj0za/hClW2X
EHnY610tYgoAuPh//mnGUgHRGlKPrXGaL1GGeAQU1duJOT/AWP5CEkl8uTCUWWdYaWMxUg90E9go
MbXHqNOdK1EzTe9J3Ty6XegcWpvFDfoL9ymkgigCt8ONi/gbzXfnN2ELAVqgIiq6AKz4+jM1nNLX
g7YsUIBECzOlhCZXB+5RArvduRnMUsLLvliz/SNHr7uFEyWPLGzDBU+NAY6LBSc0Z8K+6oySheSG
zetK6VpcPpSmfAJZd16F53ob5Vz/yDU6Du3cjtfC4f+zpdPgOMRZ8L/+F/f2jkX3pQNL+x83zdPP
X230Twvn//yb/zJwOuo/HXQjOrY7i5kazZb/NXDa9n9SsjJ2dpU0HOmsKoH/A9IBD+P0gECAWsw0
+Jf+D0jHyk+zc61PBI1b+e8YON/sJ2tzA+E2QDoLJQaTKr7CPxs5HRJIC8nj4FdJB467b+ZPBU8s
HioO5c+au6TnUXfr6oNuIK42k7/8j8qHT173Lwx1OAOkRQX0+yf3LXmhE3pwH05/sI8bw6yeaCJD
FSIeQyEwQuJLR70Z+8cM6P+ym1RZpagVM6PfBmhLLfqtlZDblpCbbwGG+A5mG2gFJWbCMJ0Gq74O
Sj3apnnQ9odRrug1uFHkUIixY4hZlc78bIz1xiAstPClYdjf8IBMT3Mp3YdcT/Jop8thuJ2BKFVe
ihblDD+fGBNwpSxKg5D9Y6HsGG08ZBuHdA4Vl5x3QrqrC/7zpXhOag0duzF4SylKrw3KH9RO4tI2
Y3ILGM/+6nJGQG2tJReaaKIgjloRkqCFVvBFQ3mS7JZQK4+zI6dtEcy/bIK26fBiRhkSeezklHjj
GN04UW9TFucLQ84SPakoWApznDLVRJrhKD8PQFA2tPLvZloxWzPJim2Wlz1aR0N9Kki2cyYQPdIg
4iIc6bOOTW3SsbEyFEN6sbEqyhv8mE9oCNDeueqMbsHDMchxxFgzMzP6YsiU64BubG0QWGARPoy/
MuP/VJLjFrTjp7Hp64veV91xCZpmE2Ca33dln8MqIDpEkHi0xfKP+36M7R16XQN9KrENnRn2R6m3
Yk9qn3lUOgQabeAkKpq+PwV6G/vGGEnGECiperOQB4wV/T6owvyEZhiMopkF5PIxsFrGRkMcqUow
EyLMjkWhqZ+VGMIDxG7No0uhXRNRUxxFWcd385K16GZVprwQnj9ByIiAuw0neIOznYN+yaNhTPZz
6oAi2Y2Gap9gjKUlnQYgBts4WuxvYa+cK+gy4rkYZP6zszkJQQiqTHSgZOHe0dW86JNWouxv9Pg6
kW597Ob6HOpKO+VGVZ2iJS+/5o6luNZJUxFyvnQRgZzmSNnduhFrvq6XloUu0ypvaDugWNcDc+UR
likcolya12CCF307CYxTGfNVH51JlvupFjmfc1NraCjmSvdqq1jkztRER//dphrQQWiPm7aeh1up
EWulCEcLT2FYQZ6qdeD5+DoQ76IRhnRkG4Re1ODw7sjv0slKiqdia9Vhfll4oRCRjQEtAN0J4R1k
6r5sGkh/DrEsMxdzBT8aM/gokj4qMm3ycnigM2dGG+besLGsSRqIUVUz7hxzDOvTPHbiV1lXtQ+b
XjykBtZpv8uFeimsMXD3ipwxBPRtTQsbMrep3TnkoO1B+izntHUI/aT31hjbgrlEtkE9H933ErIh
8grt3FS62BOHXRlbM4ztu56A2pHvl7f7bNE+BWr+aYXpc5tHFwEFo9I1irxZonceZHYY2GQ/WYqY
rlrBFiJvc+PMVnpxuzjdLEIDW6QzBMsXcsqSqr4urKW9ISzkZ5QKa9OUJMcFXRYe9MSurgrbJpyF
ruTenpkkhrkd30Rk6fgEaztnkgrljlq/fCaSkjjmXLOu9TkJYy+fg/EStOQf52QacFwfZXx2I4eg
vCRxKAyWYh7KTTOb4tlOxvjE8Ds7U8d+YsQ74Y1rRWd4ArOf9asuZ5HFpHLNCkualvNeao9dHsKG
JXUDapT5hZQPe98WQ39LcpJeEy1DGxiYBB2SfvlVGTXrB2AStXJXAs+Vs40snz60ShcctzhjdmMe
xmC6ovwGdWJAEpTRG1u9HIM7O6PWuadKasgimdPuSIb18KPT8v66HXsyGTiUYhTgaEQi/IAsuSsJ
dU6MiSBRimGN1SJ8xh/VehpJlwf0P/wwZAjbLB65GpOUXxySNc64Y+BSTiN/YeIBDsf0egiQtoxh
cOgzmW/L3DxBMrGvKmlFJzjQL+xO8TWzZcJ/Gzr0G8oumoqJkTK3Deh84MpZ4MPEbSgKT5vr5mes
AQxjzIUs37aKNoBMk3TtLmq0BAG8OYRXUzTcxXOYfu1iJjgZOthfeiR6n4CnCfoML4xv1oMzHKrK
StRuGAbnuu7S/MHmPm2RkDUHEkaLn3Sk1U071cEzMXtCfW6JLYMyshTkupWdoU+rNrxJvIrqoERN
Hja7tGqWKyD7BvBY/ZnwpnJPVtriZ1IMZ1L+vKkpHjUYgKQuwVUHDdYCBIM5YhnCj5k7EtBbcQDD
pBN392MqVYSiPlHXdmuDKaUTgZppGOsbpG+3gQHJNALA5bVVrt2QrxZcTxo4EixR29hRe/yUMdX7
SogkYhtc7TGHKbMbccWfExBgmok40UjjkJ8QXQGZ/1nb0w8C0NRxbG1KBV1C/15IoNamGiapFhAc
GcKkkTK7VE427Za+MX1nCIttEMrAW6KQmxxN6pyY4UNouOGuJmtwO9KN88bQIJoCLcawzbUlustR
ke3KJN5rY7CLc0vsu7mXl2iCfJyhxt3oGkkQUyhx8CNJuiKWcpVPC7kppyndzi30oLANGr+yiSXh
Do07akFjS34AKopp+RJkAxcyL6tdbnFhs7oIrrCZIINoqy+jGWn3blk0h47xwFpqwJbCcMlhyhE+
KxABXWYFsDdtrJ2OnM4zYUsdrMQg1jdxb1pt5vUlxerTxH3XxwyqkmyGSflaasW7dLJDv3HSeWMY
jcELHyvzTLnQfouZhcMfck1zDwuwvQHtQYglHkPcTEUwfkPDkd2Rvq2fdTdLX9rJtCDl5ITLk9X4
NalIgu8lAaL70dRLuqaAfbzQ1oMXPVqYl3GW2SZdJmlU0Cj3mXObMeBCEd2QlsfOmYaDfrJCeJsT
M5YnVzTkkaKh/pS7XYogvSoYk0OAsE4hJ8/Vg5DkJ1L/4s+hK8yz7gziHkZa8CtrkalhTHJyn8ix
OGVhEsEx6XTzhCmq0LfYPdxdiDTkxKvSEvEdzkPol7qT+jnElQdDOWhtyN3qcPmi9I9kFv7s0wK9
f2a5dslNKPKb1HG0e0TlySGO2vmcTMniF/o8PCqzy899PRfaZqF8IOO5aPey7d3i1Ol6ClgUI8F9
mszzrz4hoMcDq5Le0Wgf7tyorMg0iq3Io7TttyOl/T4J0vbBmUv9OoiK4hQFJFzPkmMhm589wi1q
rPAxVrXCT61nZ3PSpvthzNVhIFbklo5gRzVpBTdGS3Qv/DVxRphoP2qwB7cw9ctHQwXHtiTvyurC
68ZJrIt0Qm3ZgV0gVMlJcWxt8BS1BBWjLodZHV+UbiybyW4av9QkBQ/e2mmLFAaDVN9OtLIzzg3R
JjWD/Jo0vch3s6LeyKGgYMzn7s7qtOXINCHdFk4hvhjWgMkKordxD4yMQONFk4m4YYtgf+tDe8DV
h+bGy1v8MFnGcNxdUN1aBtZdSDn1dZ8qRJeZ+5TEFd4OKbCvOsXskxaxmrOr6CdFS7bTrKqLt+GS
SeIZyVTwcxNtCxa09hsv7XKnuZirF3PCSd7wIY6G9z+xod6YObZemhnhTTk18nps9WF6Kg051bf0
levss0aoq+118AcCTiIc8LaBCJORZlgzMRWSAzQqG7EBTl9n0HyTtM67XI3h/VSJ+GVBauW7swUo
EmJJ6PdMKG6rWYpvfemqe4Qvkj5cI93HfgndZZfEcfE5zLXo5zRaCV09ZTzVCjsBIJGYNK2xsqY7
EnfUr8Yol1M4lhDR8niq7+ZGsFYstWSBpvBmVTMJVvBr8sKKTdMa/VeL2/2UBrb6wkzVau4d+o/d
NQntytgtwBNwarcO70+ekCpqzAkzNzOcSYjJQzCqcS/m+FgJHkLMOVpAZ9EkY6XLZ0tsspS3V82J
I7yS/fBcEmHNINWoK/CRdhQxODYkfPHKFrzvtpzp3lRrxE5vfMuWMfILgvEeMJr3T5Ij0bYmRe/u
1RnCVDucstarWsc5dzOh7CHPIbQCS39K7Gj8HhZucrTIQ35ImIE/iqo0nZ1F7PI3K8ZaMXTjvB9c
p/wkF8O6Dek1hmQHTsFBYUKt5yo9UlFHl0kqkpaIBTn0XMInVKDDpSs160ZFVbPPNdsXwL4+xXYy
nzr0yV4/9MldoTR15XZGj9fU7XQYSchiNpNTI021M9CNZbM0rDh2cMWQ6jt64p8Ab6fbvtIRRE5r
iN0GbiUjVWtwX3qH9PCoz+O9Ql5OSKGMHhqMSF/HhDcn04rua5KFISoiy7gqQLSf4kzlt2mpXkIV
6Xj2O/euppy9yXIi4qc4rn4xL2LAH47yUIDbvl8GkEUgM/QdcX3jAxZeTIxaGl23wWpZWBqDXjFx
wKRQVt1lIv7UawBeH60wj24HGgCeUcXETjbJWN30nEmf61mq2yjH2DozJ9i0Ttl8GsyR7Eu7/trr
U1x6ExGnlAe50e8wKTpogWaJmbZbniIrmzdi6nW6ZAY1UJfIRxIV5dUw0MXIrNR9jO06+B7ErPmg
Odsj2+pwN4cQUWNqseuiC5fdQkjFFZ5nAtap8tLNSJzrfoE8fSI1oLoKWh75oWW9t+nZfo/jptgF
Sxc/zfRESftzOVKLYrCvHATe4I5n3q6YXYVRaowY0GVPcUZz2CYzZywjSPdEJiZXBQyJh8wx25NZ
BcmDVvJctaiUOQkOhedUc+rlkSFukJLKU2APo6cNfXY/zZW8irS8eFHjFNXYEQsJ0DnprvWcPW+D
p974SdgxJyzkA81ZD1uXhKr/pu7MluNGsmz7RSjD5BgeL2KOYDBIBsVBLzCKSmEeHHCMX98Lqupb
ElNXsuqHNruZaTLLVEoQIgD34+fsvTb44r3Gg2ZsLGLqDcKqs+65k5mK1pVm189qrKXPuWs0rpmY
6ke3Mdu3VIvprbjf0bajL8sXkoPCt0HpYG99QInpqYWBfjez+jG0XMC46XdILikHdrNNM6jXkRo4
X5F0YH3pndJ5QsMyrzJatG/jYJC8Guruc+XQpBGFqm4iKjWosawd/IHSYp2VIKCT3rUfCHMyNobT
iD2fZAu2dRk1ZT1xVUXXn4yFAdyaXrhpqyTfT50FIXhhBbcg0QIy1+qXxtUTBpyF9oDrWKxSUoUD
w10plvhqBaa//FoRBD/eAgiNxV5zZhDGMPfQFg6R8VRy2oDMnOHDJrWa7LFGnzZTOo1OEM5DFMML
mKbnjDPkOoJOSVc4AdfMzSMfIz6UA7WJ9qPYUgU0N5Pex6+mnxiPbor2hi7zzJ9Ba6uHqfLakUZQ
VD7ZhfzWfqctS3cq37BUT98qatBDLDSWoZDJYVzICsOXpjGCTr5kEY0toyJQzZ1gdotprdiaV4NS
FjY0sM8UY08sMtVxatqrHpKVHHWJdooYE/FtAowGmSrWDFwJQKxDqnTvQSWtfQkthG56ZAOzsOyF
P0163EGosjwNGIIPcKt4HGDQi+NcNGRn5rG1bFPFNquUXPtujiXRb3nTtPk0dpN3xksaI7Dxm53h
h/qXmMfnS22QlhdkZVXw63N5cmJdnHtOUFu8kOohnVxG47GxY28eHrJQK8EaG0w+Ok2Qf6hhNmZU
2VzA312WntCr7oSkKxT1YFjrTCvTC5VdES1Cl/SMCc6h29WKGBh+bOPQTDl4QiSdbfpvs1pbY5wj
n3RzJyAh3bmnNMhtXPBZeCGIG1vs4LZ7RargKoUWtbaIpQi8cOK9zEMfDIdRhFuF36hk06uak93Q
S1zZnRk+y4iwP2BD7Ws6WfoZznTWBk5MWGBr9+LeSjp5llxtVUkZ3sV4jM56jQExCP3KPXXki+yt
KkuPJiEXp1rpNbCBxHtgxAOka8BMsjZJi3+Z2l5daK6BVRAWynK0zbBKZa/BG5jtOt1E9vTuz3Je
A0m3iM009a/aHGWHPpzDq8PKFDhuB+BXLnIdZ/aybZR20bYR+nzxoXvsYpPw0sBIC+88Zqq+h2qk
8+hJnZ/SrHLvVMP8Nva5e6xFnX5yhGQVHJk40290APzTvIIKiMLywpnAJHmcDMq1rvfUXK69t1o2
M4WDP3InuCJEoILa0D55Cr1EOg2L2aFYcnyRU2zSMR/v3dDMV7jYtIPKnfqoVTrGFK2Un3UGPmst
qpJ1W6TwEHxG3LPYZUYhL71eqW2TMZ005pGNlH8VB2WD4M1Hd9haaPXcdYl4ecLkEqqNbcW842jf
gAd7U7jrMtks4xmzvwUK1T5BKzeevKGM1nk3pXFA52qOVr1DrLlLtCXn5CGpHzMoQ/o2Ee04rWe3
T8uthuOnOvVxbNKSrSuT55bmB4D1LNKey9Ruj54OxnzVU0Rnqxj+1cM8xU1yqlwnuUI+Idwl9zWa
vTNmuAHfb9J9S13ym+ducD5n5uxgJPYrY+uWucYcMGWEvRVWxbqVytjHRp87ZIKCBrMeWs+mRB78
xFz4CX793IGa+tJr+jQjqWZ2f8AfGDpH/P32IzoaUuutcNhp0CcuI+qBKIiEbO/BsAK8NsH23NW4
3h+s3i4ubDevwmBuF3oEPxqohj9riOm39TTG5KG61rElOeoJS7eqwZSOpM06sbmZSiOnkaIOfArz
ptVrkFEJGNhAMK+8KtUTxhdO8yPtS3H0pOneWROBD+uUiLGbCKgyk2dpeV/pGjiCwagJZ1tvGB0g
tdfsteYOzZ4espxXTVSNL4nnsEHQQp3OOJ7cTRffJ7XbITRmdPyY4Xi4iQiPsTOnwRwPd/8cmuwE
+5ZtpgiSGe66F6ctOZrT2LXBSHBOj6FGE/debaG+rIcp9zHwT2C1lUWnFj2vhzbSsqp0yzZCXLPt
q3sLK/YzjfPhXnM6NO6+ke8Sgit2CnfMJysjzddCN7lJPG3Qt1ViTkRni/RCmBNuTtIVnM+KhPHX
ZHTyk9KM/q7RzEzSggTicZLeyNTFMHJ+jD1DYAqnylopV+tfpnmhxjsU19tYjCmI7GS8jH5jN4GL
2aRcZXwQ91XazBrTWzP6Ghqx26FrN4xrFNLoDVCYFdc0cU34NyEHaGJIBdtpK1aOH3OQGgtL3Db4
7x9kVOkP5mCVFzRQJa5zaL+vMyEOUMEIuUTA4TlnHfMybRwohEQ8K2l8AodkEjXsO9GqkIke40Kn
/0lYRuEeUxLP3pOsmN9qn5dnM8QUbEGvy4XTPsclCnuLY9zc9PkzTxtK1hJfMjV92Y6XVrfCd3zV
ywLHSyQM/ifcMebBMkAa6GbpHuM41HeRLNoTazsbUOvrX1u7a+K1X7HzETKqfXK0pL4fncY9MlqW
N/ag+sNsxd23trMx9PPYymDwfEmqiBrHv5w0LNZN3q05QzDBVo4q90T2ukcku8W6d6v8akPgPmom
NpU5m7qvZSotXEKYBXZ1rpf71HbHcj1GhXwzanJRNlHnVg8ckeh+12X7Kest7x78Sf4+Mx+/zmbD
Dw3rUBv18iVSBiwjtOeMOxK31Y4q04dNx2d4LYdWvbMDFUTMuIP/iCoXHRGyCjPZoFm66wq3faiq
TDA9YG0pA7uz7ZOvK3WHsiM/1Qa/yAirJIgAgdw5iANFoE9F93mmrbZsyL159jq4MKHLqQSQ35A/
kM+DMCD2U7O+hmE13wMu5huhuCH/JMH9zlkT76gRP7SmqMEMjYIED8lRw66aTdMYcTDHQ3gp+sk5
8suiC2+39mWEgA8FoXqJwz7bGEkFcBlpwm3nzvPdNBZfpSHWRQaygXRJEjJSfzo7aiquyWANu6Zy
q1Ua+9cJHj3gpBz5s0Pr8qBaXaSBNYzJJjV1Z4lxpq5wXF6eaaHf57zXQaPh6Ok5vjKh6ehwaEkR
HhRl+2c3rpy7UNcNMA3W2DzYFPScBHKh9YFHRFbQj2N9THphFQhuohb+89hg+/feqyYzM3TkrbjE
kemeB6ey70faGZ9L17NFkJFtoDjuMr6JO56mQY/2rKrhEmTmrSLE9Zus6RA7liHhTK0uu3JlVC3G
KNrujbHOxDChwqJEOHWaWz5bEVtWXPiULDEdzsxY8CM20xYctEb9xDxVHRCxVJtYqmo/xmATdFdH
sTDpHkYZS9jsptHI0Eqp4rNjhe2Z2WGHWnLyvvVt2Z4GLcvpBRveq04wbhNMXe5pK1SC/rELBYWs
mzK3suaOE4xpxMOpNVtaOYUkmoppDu3eWrzVwi7tVUzc1yHUWp5IeiQYYOhjnKHCs8j5Luw2Yl3i
qwAks8WoPjwmkOa+VsM0fkkoWx/xTIJiAjy4rP9h2d04fupV8M/H8bPMmF8GrAqAxlnzOOEhcGOl
SlmM+85zmcNkuFFXUabi86BB+iAh0Cs2Q40hnOELG9dU+s4hJCngxE1pM496MxK7bPWHSaiInQvb
yaFpRW2T+WmWNREC+fQsvcxkbgOYxDRr9vxSgoYi5aEKV1W4KH2Ui3G6S8Il8wNG0BF5UnuMRiK2
A5EhJyEzJaGXpzPxI5qgYrcyke5rgeFP4rYuFgo4jbZM8ZiziwUkwy0Rak5nyRt/HLkM6N2IrEMQ
VqsCwsKnvG+Yo5hlRlCWOwLCCDXtQJO9cNeiaZf/MPDSBWGXmJ+Y2Vo5KRVm4a6KUoivsk/K25oJ
6j2bF7VLznYZhIKt/aD0YmF9QZ55od9sbpos1R6j5XRVeGregj0Z1cpmPrj5TuMaQXGePYzdXzPI
S2xiC6IzzEjtsQE9hVuBioBMdr84zQBejmMpx9tpcRahxKZJvhgrGdMA8wQiwJsF81JLh3tif++s
uB04XbcvwDmb4xSW+cEjyo/EAKNdk3aNahKp8LmjnLg1l9U5msHDYN2FcNxjwA2hoxHqJlQckAyl
v+iaTG5bgLXnrBnMTaX02FuBg2iBjmIuiuFX3TcQym6qDM9dC7JlY5shRnmI3O953RMaUXvNTdFV
8SWcZYrAPRmSNVFp8zvU+3gfGb57IMSK3IaOwKIBAI3Y/u/Kfn5Krfz/KKfS0PnbWTgw/2950P8h
SOntPX7LfyUR+vdv8C/Mu/sPBD8mVmALQQ5hk9jF/4V5N/4BI9iGXG4gTMZE8X9FQiaBlugL+b9N
Ey481u9/i4Scfziwd6kJ+JFUS4RM/y1juvunCOefPP5fp1bai+7pR7EO/mSOk3j2mJqbKHa+u7d/
8Ht1y9sPuq47JEIYBO5UCiVI5ONUdXflkvZSzX3TbnIV+kzAKugxtLph0ahIMmatR5bDxpdVubat
Wb0g8EUrQlsFoE6jPwCgWqdZsSptTpm1mdqrcM5cDk5+SPttAHlQDEZ/Y3iFUnSHobcJyXkAHX+z
F+Nov1ut9kozctqw0JQXOdLsnpiuB6XJ/ubyHrsElq/qzOmuoVxGT1SAJK/Fw8pNdKFBcpAG0J5E
CiZCpJZu56S/iRUE3Cwz+i2HfXfvW/1DLtroxaoM3DyVLaLH3M3KZ0mi/drsmPX0pYU2EeZw90Tk
uXXPChyZQdnoGx9D2dmeIb5lEbWpcgXxUU1FVGHXE6aDUMZ6SjAAFe6wK5GQXdmUUWL0CxOUkPSJ
vEkcA9Cq1LH2RiQ2XS7Unen37RMIgvJTSi4bpuPcDV9bUdXHyOrF2sFFddt6xghLKgxfG3z8Oz7T
MQt8eKeHuTdiWKFlvEYre0rL+owiy9iUnmBmZDvYlkr2Tjzly6cCKarw0vpOmWXzFKWOPJB5FO4k
8o4n6XZfpiEaaIm5yWls/WmxjDUFPueu9/cqKW4ixmIB4R8xsiU//gJyWu2sGZ2NbebhbqR02YWo
FLZN01lr3ygeoty013m7EBD1+J5Tzru50KTIGqgfLYbZt82UJ/u50KDWTra1Ar0M48rptomctdss
QeEAN6eWn1TGx5sxNA/6QdEi9eo+3jpdFwLfEAgmIFq89qaRPGqcRZ5kiskK6I4erypOGyuk1en9
3NIYbTDOnJCyMaVxXbWpnLrGdR67d25spJ+Iusd4n3ES4eDhh0t6kG4TvKOcEJxnXsEMI67FoY4B
AOqn1k1dVFffH2Bp5rYR2PmUFbBR/JJztqTFSTNlqMVKapLBo+UV+rc40StmbcDGqCIZFDyUcWjn
Oz8sohdpo93YeXSd3i1HU3d1it4JtF/ZrfjOhi6wGrt/4xg6HoTHPJ9WmJO8gs9qidujxcHOoOsY
0p1mPRSmc1hSrgOrRL7HKao0yc1DuvPIoGJ6gVPgqYCaIVSIWMhbN4kBBWg4N0T6MLMpxKZuXets
FsZwHsZZO1lFDvtutpP51kIhYFxNxNBG0JDRFG1tv7b8Z4Ir5WGScWtscp/KE2lKZMrdNBrIoghU
UU1ykG0r9AsRjUNN82qmKbRNAe56jy0c4sUzAEYk5Et5MVtYZu3ULx9WfCDit4SwUg8bfhv7REqD
3HuZV0wXA1o1J0Y37o1L5HogTgjGGVbpkMq1ETKGtJk30PTUv6WTnDZlBjxrQFB7qDSKBcyKZtBI
wwQK3SK6IJX1Fu1MHBQWVdU022qbZMaEVA4SKucdZwD26HfuFQfvgWOhAUKf5JejlnfFxk7DK/aH
6JZ2/LNZIy7LHHAbdg2b0RdfDTKLSpphA4E0O/pDDC9an3MzwvUNq2l5jkyrPDpLZxy9mHZwxj5b
pRZysVxKb4eiccncqNGrQLVBQkXDCh7/HHpnvAbt2bMrYGB9IW/yeHD5Vu34q923+c6zy+KZSPLy
trcyse96E4E28XFwWmPa+H0bXTK6YgwRuurB5bh1C7ADEEwmmKIgA1gwYnr4KcrHK11BSQRpFh2m
biDC0nWbY+3E6CH8Kly7IxGGdpV+YdJnXWVl0GEsI1If0GRsnTC3N3ZJtBAULSPoQzxrhurOEhAJ
gXsxlr50Et1jHtd3fd2AUNJp1xNtBguS/LNLGJMuJuZJMVaA4yUIj6yEuetls2KgzwmLmlR3tWtZ
1n91XXKXDYYKCKZDeaOUWpVp6144okQvkaeBZ1si6xiDli/oW+uD5lmPJN2uUIZpgSjCr7kR7wzy
ee6QdOt/NWnCk17Vp5oOKjJMB/2SryG6QpXllurUQepYyUHjm6+tYqUVGZsWE2Hq307B0RFEhlg5
rfYEgxAiuvYmjenslW2Rr3CUjavBdYE+TmJ+0fhzb9M0nLFY2AhKrXQ4e3EGepSWEGOc6upwwjzm
goobzmGP0aNxN5492puMFsh9Q229MVwCjmCOzLc0rDt7PZHCuY+NkLgmHMEdeckIRFe2TVeTPj9n
Uj00pyfGW9TMNP5uSeatNyTAZhs/FuJdyeZbLZFx6p0nj6MTWtuYFsAG91iyQv1b3Amm2UxGWvM4
giD8UtVlueUAjUKXANnyzlY0sfNe9/Y8CayECmbUJpSd+63WEnaUMJQDh3U3OXJ2nA/oqKPbWqnP
ktPQigAEAy+ZNj+NgzyL0kWUJsjkKt0NyZQdXTjwUtQRzz/UeP+qnX4M8nC+4yZ+EDZ7EIegaWDR
cTFe4g364KitqoZ83liPD55J630dGkPhMH+ppksLDfnTUFEM1cymcEBbkmCwsunLR3oSEz6/nDzT
SPrpDX5gg5xJJaDtIMtg91weHzCzDDiDQR9IfYrdkHY10haEF6VnxAfRFd5wGUmaabBdz8NT61jZ
w8QBhMMWe2AvTnUye+d57rI75tSscbIOW6CwlqVWylQkGlrmYiGIneesnSpYjtkEWtElWSPQJb97
ELoAdX20JodhcKddxwZxQqE8bpnUfM8EGynJXP/oT9i8PZOqxMoRRWA1Uk/EjNVrZ9AofbpFA1Ih
hSarkt6JgV1y645sfMqr8IxDwFs5xDhOe89pNBIjewPP2c5FSA57Ckj8npmbKG5cBh4UVw69o67X
/oJFNh3bFv1XHlVLCxdR70OWOTXTBiUuxdRady1BgVeySTaz1eB0SWpBt29ewhxSo0JFVIiVBw31
AnlQPJdaba1pl9GczSUYF1USEa6D9qj1WG2tyLvGwisp3z6X6XRiHP5WKeZSMSxdE/f4bU23vMcq
x0TspjJw4gi6KWvYCe1DjMZnFVd8cDOcr7LTaXDiAdf2pd4lbxhLoI3meO47tz8qraQvitIwDosY
TKnl3PVJvHcpCg/sS9lKV07+RERlFQaUkvIwux2V6FS3hMcyHgyA3pYv9KXbtW7WX1A4ilXT2JC1
Z8IiDJ7Ni3QlVWck3t3KHh+qmFfXGjoEloqad6t5cautPKxF88HrDDs6kp7ml1/zya5fcC7j5vQy
17d3BLLQPZjr3mRVF2JE3j4ai+pDr98mxumv5Cvb81WEtC/587lyogscyVdS1uNbr1bWbRKXzpch
Dd0FRo3vPRKW9gVTEqfiwumHVWkosfM1PQE/4BItUKTO1bI09W7BCQoy0y+uZjl28cYFJbITuYcc
S3bi7NKDOndV5/dQRcrosyAV8UG3lX3OUxYsKQcKBea7a8emeec4mvcosTMGaM6dNwRcmct+RE7h
ftBlfkwGqQF6h/+s057TsoehlMOwAshgJRu9yZJFhLBQ3GwqlnbDalnLLR8lWp8UbyDHDMznR7qs
0W2hIp+P00ypG2g+bjI4NfclQswX9ib7r65yuj21mzJZY5cU3ZqgOlLoTCLcvK7c15M/s3x6YOE3
A3SZJ0dAF2Z+Z/O0OOjLUx89UGsZj0lhY4pswugBIRE1k0V+7XVm7v9ozHTvPZmwt812jr7OGwgN
lLYgysRr3Zs4y/tyxQFOEBBE1RE3FR6Kgn6nZtnLQLK31TVXifuC6PgbI25pris3ZXlt8vIttr1h
M4iUSVs2jZ8bi3zNIBwheAUt8rs3Yhj6K3p0+yUcXZwn9OERikeM8JMggbW+x/9pfZ4zIi/Y1rRX
RyXpQ2KE/lvdyvHRsBeDKv7wDLe5ySwJ56xAkKP3+Qa7NP1TesUcDKzZee9QZe9rrVO4VLF2jxvR
ZR07c4WoZWWPimhcMhFvB72mTVaGqeUHZhlmJ81O5dnu3GGtz2b/VS/IuuWla71nxJqoklPf1KxT
lZmRChJTj17MbphCzpVjUqxqrQHiodgtXnGJFlcxeNlhCKGk2xF4PZDRNlZXOyzJUCK6E11W77eM
LQsyydAIjPm6CiUjSUHv8rNyEYPsR3uIv6AjRsZdIBM91wSQBpLmEOO7zG3nk0eVrht1Fp0mjov1
1hqU+zWKlXETJk53jFOzyXbMMuYnCOcmCdzKAFsYEQDLYCa+Y+bjfalGQ117g61yhL8j+UazMecp
iHgLC4SvvPOSh4RBWenczH1tHBJiNVBqjQV6Q6WiIg88247uQM7Oj0pPtMuUjqz2rh5DdxuZEXxT
nc2gpy1MBkUtvfPb2U+w6sLf6M8SJvvrHFvWF8zEEzj51JR/TYrJtCGdMCNfXkYv5YiNlRO6GxEN
ZtvfzKTv6Usj4eT0lZAJI+nmbkKtz3p0Rpl8MgDzDSutHAns1uhFB+yiw8bPvImUSq0dwVLEszq1
TepfsCT7D3w+5e2gDOpWp21eCzkYRGlaZbkGHWHWK4R99SuCFSUDGpJds0K2IjZGNIyHxtaGHe6E
lDksfRMMwnCVoiCtx+qCmCi50AuN9lKzWi9A0Gftm5JZ8AqxQc+kO82USTC5jYWxbJT/BN+cuQCZ
sp8MzZi+cBKi2Z6OiW0HspyciUeBZPtmGic8oQpc+NQML/jSrr2m5CMiLplsOjBVF0KI9Oquz8Z4
38+meHPIBOWnplzdJpE5HiSKqw2UUjqd0mq/jZHuFWttqLxrpQMYn+2UYMohZyvKejc+FE0RA3x0
vfgUwVHPtpTS2jmqcJ5tO8ZFhxgzJP5hK/7U9I55nEpLNceMPm268zsNcVlEcPJt6cfNxfXA4eax
nInXKcYAaG17cJ3eeyUBbrw21FvjGtVgeOCw5URbY7Qw8VCxNlslp2I9dzydK9OcUNdJ5pm8QDTy
VrPXTzuGftZbP5XNAWVCdasbGTnJPqaKwG7swedEWlOCxfhomdhIbbzTmoERbi6Gd9r76mtU5xoK
oNQrGhj5/VLzsk68cSDuEbWUyl2Bn5XrvtRQJI5icKmL0ukpGtIcOeyskRTt+3XKabyOiaUq+owC
WvJiT6uony1Gz548pHOnHm2RpwbxRUgkAHNZZbSLCJ5hQGvLs6chfYY3sUSddONLXaEhuxRa4fAM
N8u6WSf6ZK1Z0K0T80RV3NWIVPtNz1k62Y3Snigw3GpeRI/1BmaTWW2sBP9Xo+c+setSRe9zM1sn
JJKZvgFPPOMRK6KM+PLGA2tPoDLCtYFM3+OAeiw6kM/WxBtiDqbPtU/dpmPl+TRKX/4lsoEYaLoa
z0Jk8RPdjW4KelMfdoOuGYfKwPvrODQVp5LO90xAwDdMQsj5Qgh/5DQUZT6uZOv168kIW3qNQtux
J6EjyiZOgjrHucJ0aRREExYbhKXi3QbruiDoa/E4MyTflCbH0Mh3ji4Ini0+CGtDetV8JUNbv80H
GnKmllWBH6LAWCVjWj20jh++V3MN2lU08prriOywf2FV6yqlceJUVvIw0yPdtiiDnm1f62/pSY6P
Ve2WoMvmNqWcrXTUncDg/LIOz22OqLznhX+c1NII1fJpH7kjYYg4pL5VnluiVWrEI489pXBqHw0M
2IfRCBXT2N4+4S2YT+5sADtEm3RA+ElkkLJwLKIjaV1xpShv7iGMyhOZQKCqOqvao+J3XnW+uS+h
lUbwhHWx7RO7WYezkd3UXZnctfhjTEymQYwMJQoGk05FG5rRN8+OP4Xw6fa2wHzQ5BZAOH9YVZxU
N5MlmhtVq1e/J0pLZu2w8xlZLR4cAmYY6QeMUZ99Fiyc0PVwEG3ybriY2Ol3kAvapAReWyRcCbM7
mnGY7J1I5afQS801SABk18aYfwZcWZ5nm0Yk4eANf8i83cNaUntwI+5aU1665X7arZvY1hpkHkYI
/08O1e8G1J/PcbZn6TouYOKVDcP5gFrQWH/LgZXkYPaJSeG51GlJ6RMQ3iHA9CIyHbpE7QgVBWs1
4FvKO1Ggthvr9ahER3pi5CX7BHv4J1LIuLX8e0VofK8O/e+VItMnqsakz6Z3sfSJOdl4F5LqqS1R
CFv7cGQRVK30TUBZSwlKC8N5A9CSM8TzvYMWmp+wf3cHbJ4RzE/abxlet0BLkYhBY6HOhbRCyest
1W+x1MFEiPCvS20cxqOKNx5yp2taTTQmjYEqeqmnvaWyjmOGSU1dkAQvGxpjSxsOdyrVOLMnCvNx
qdHTpVr3l7rdXCr4SZvqV0kGz7SigUCJX/uxOV8d0WavwszrN4FAqVuXk7LGZ6DHfEiiysWtmjmT
7AbbiRx+iUShGdZO+VWLnY5qU3TRN2TRlWRHc3Zp36ovOOwGcvx6228vHt4A5y7TibbZEFo2PPQT
YoyAdCgFrKJngYvt/mkYTUGrcTKbaFukmNQICBJIJBwBvXNtt5p4liRm3AHA4dEjI/rFk0xjkZ/y
oRZDj0uuHMtyZXJufqaDpBHdpayr2Q/aexMj9SO3I/rEiLtzySWLkheVYLVhjUfTrSf0Vbxef8Zp
wpuSxOO9rJyU3jWY7s0069mJmKBmbU2VRSVlRZeBiIyVAi324LrFdEKcZJ27PKIeKEW+tcb8xbQq
/Z5x/NEdDBrVS9+X7vT0Xn9vBkNxZovQMAzEm4G15aH+3jmOvneRXZSRdFCW3rJpS/crEkjvbhRZ
8zBHs/Gsj336Vw7TJ2BqghvGN+NDicp7H809nW/S31fITtwDgb/hn2IBPtLIdIDhBrBDT5jYxMAf
/mwKjxF7lCKehoOBiQQktjGleyux/dPvmzQfvOe0aLgMOEHTNzxLWP7y8z+Ms5Dc1EaX6sOBQ0t2
dOZeLkq2tZ/+iQ/zywu5Hn8txn/d+3ChCB5SMdWiP8QEAwLQLuDyBoMjMPS6YijWv7+tD2Z+both
lg3c3FnIhZb3gbdOQnvPcLjpDvHo0ZlvLzjFAtqWAfAuaqPsD7Tkv98clyN4dWlyGdbfvizwUXPE
UtAdwPnIQNnVOe7yQ6Wip9/f1t8fCthjDB3Ziij4PPHhQ+wIqCrjqu8OBb07b2rw2Ux/4DD96laW
i+iu5Xrk4H147gqs6LpFw+OAUTVXa7nMNhORjTqaMv3997fzEUSzfEsgDwyuZnkLJ+7nh8+kYZnb
oYunvVz8UEJo3bbqteyMrFa2G6R13uH3V/zb3S1IbSJfuaLvEMe0PDc/PO7zFE6GkI1zQNcoV1gj
n33X4Btzbe0PPKS/fVXLlUy+qgVPQazDhyfQl30+RwqGdVfZe0Y625Qn4/c388tLEIxlOv6yUnwk
1E+lnXXSj5xD3KgGS6kjmWJ6x//BRWxughLAFmTO/PyJZWHbtkyJnYNY8jO9xLSPUWapP7yvv7oV
5v1AQRxDd3mFfr6KjDlKZSwEB6VMA2Wkga54GTH+5/cC0NrR0XlZrvWRXQscytBqKQRFQm+vEX69
T8tE8/cX+dUj5jnIoxyL7YOV9edbyXLY7fgrxCFO0oLQ90GdmWmoc7mMUf/jS4HshFbJkdnlnw9g
fRIpsV5opXEotNHERGbiS3OIHGQL/MOVfvH90APhGfNNj7nXd0zsD++NV4uqJXTVPNi5X5+9f47z
Eyv80yP9iw+P69igq002Jk98uKPQScZ4qmcDD5v7OHf0NiyGpIjOe/0PG9/fdgiXFY4sDtYdtCHQ
ZX7+msLYMMKcpPMDbLSivh8IqCD+qc/VFpEYbcm4zXQSI3v/jyvD3xQky5VZWB3GIsBg3A/POklW
KteKCuuJ7bVAJL0Kda5/BWCwS1KaQmkhHyXCx83vH5Zf3fBC17GppHj8PvJtGIyzistOP6BlcLDz
pv7tQB9t2uOFiR7TBn/WJi417fn3l13u5qezA3eLZoe1EOmOAdvn5895pEr0xMzAXZv8JoJAQ7sJ
7HarMNY0/c34XdVS9wLp+OwogpnjcfrDov+rO0e04wjHMNnTPhYDZi3I9IWbQWXjzIFbdulx9Hvn
mVL3VbWJ/U5+dLP//W3/4kFGKkS1A9PHWgBFP9/2MM9u3YTZdJCDH2FsXkQ4WQKobK6K9Pr7a/1t
G3UXmpuJJR7YKn99eJQrZ6gABw7TwbGa9pjEE1OByVmVI2MWFIt/CD745Z1xfPUpG/lM7eXT/mEp
aJO6KzjTTQfwy5PYVaKvCcCFtbztVfqHh+cXy45H/gQvKmor1tPlzn+4lhsykMWjPuJxSM5M4lc1
cZ2///B+8XD8dInldn+4BLgGwBYq4+EQUdDk+grQByKA6g8L6K8+tR/v5MOnhgyT7Dy6HIfeP2sd
pxzbu0mSze/v5RcrC/odaN2s0gvu98PWQ9vSYyOXrNL+4rmYCONxJH2WdtFX9T2IotHiLe/Qzf7h
yr+4vZ+u/OERJLHLqpZhx8HorGOvWXuMJr+/t188CiglBABhg97md/Hfj98THitf9UMJPQeCDdBx
11qnNBD+85KKzBMUhuhfXNu2PnxNKBKldIzGOrRKI8VUD+/nnn3hP7+V/6LuvJrjttps/VdOzT1c
yKHqzLno3Oxu5qgbFClS2Agb2Mjh158HtOcbidInjn03VS7bEgMaaYf3XetZ3x/kw5AYWElpJ2Nn
7XOvs7+ME/6sCdn3Jwu3X4wKAcOPDfjZYgzy5wv63YMd9TnSc+ma+84vtCWKIEptgwbRp00EEt/Q
/idn9d3x5kfku+M5rqoQp3O8OvIUjnp9iY9cfPIa/TybgKxEXGZYbFUpSH24Pxo74qKi1bJvZnEf
NqPwKX1X/DlS5Xe9beY3se0jZMmHoboTvW1/sj36+TEkNY04KH8ekSzn4w6MogaZkpay9+2sJGxm
TWEcau74ycX8eVRiGcwiSOdxNwCqfnifVFDYoqbLuHeBALXtxhzsT67kz28sR2AbyRyFcpD36sfb
lTquJIGRExmjKtuYpdzg8lKL2B6rT47086j045E+PIhKaX5b+bm9D50H2jYko3xysX59KhCDbaZB
6gsf5lriydKOfpK9pzd3Yu93QDS/TygK/f61/dV5sH5hAeGQ+GN+VP7Wk6vHlDGcPdaTdperorlJ
8d6tUJgTXTurK/NZZ4nbV3yyVv3FQ0fZdS5GWQCZjY+1oDSkO9/Qx9hPTkUaT1nWghBjK//6+xP8
5WFYIbHED3i6ZxH192+w1whZ5x6HoXIG2WfYQk745Br+8hDzcMTmm2n941M3VrKcCmJq9n5FFHD9
MlRY1P/BWXx3iA+PW6KzEUYUYYNo6fOLoWuLMyeKrn9/kF88CwRF+gxC7Fn1n54FG38wljzGISfY
bJroiRLvPzgN7EqUSZG0I4L/MJzmE97Exq3sPUb6flGhLBaKNtTvT+MXbw57OZbmts5Cx7LNH++4
jrouRZXk7YOIpOEAK2p1VN0n9/yzg3wYafy6RmqbcJCK347d+E7oA/AuRBG/P5mf7wkJLIA3MCP4
JhCdD3tHb6gNP/JTdvdj227jIPKXhLptpa+/tGG8of6kr4UffJbI8vNQzWEpJ8yjDyvUd/bxd/Ne
rbcyA4XEsBCSIgAoANgmoymbg56qrXmDINJf/f5Mf76iPBIuHgTfNincfhwPeld2dUAI135MwuA0
6K66M9+l4LMo/PeH+nkVwaGCWchHDYvt/4extQSYFGM7BDapArLU4hbZYeVuvMThoXTDbvP7w/08
PuAFZM5z32uPMCN/fCCjftSqsBHOnp56tqNoT6oIIvh/cBCqZg7juM5D/+EgrS5QH1WtvUe8szdd
ZVkAI5EmfDLv/ZRbpHtUTOiYzYME5/NuJfnuyUAcrAYSc5lilcqjBd709NwGA35Qo0y3SiOWAZHd
uA5mwT+IuHRrzSaApM9zCskZDTWnFS/1bBbAx+n9g0vNypDFNCVy5pb5Ifvu09mTpvlRgkIQ2eSx
1swXx0/KTy7Br96N72/n/HR9d4wwoMJLE4xXMlzF9ENf32/k30Itn+KvVVEX35r/O//Y10KNVYx8
593j899/ui0k/3z8lh9+AhvQXwee8cY//AF6I8jEq/atGq/fcIr/+dtxDM3f+T/94v95e/8tt6N6
+8//eH6VwO8w0FTx1+Z7YLJB24J7onMl/72fio7jcwNlJHquxL/54X8Rl+Ej2+T8+nM1n1Lxf3mp
fP0PKmzU9z0dbfsMWP5vM5X9h8GUpjOx8eJTVuaz/EVcNrw/GObmOFSeave91PA3zFReMA/J3xWH
bBd1ACupuag410g+5uGQ59BBqO2GjWcXwtwMRl1hLUBbvRyD2Y5pKUQE+ByNHNdKNDuxPU+108oe
zEFb4AgnF4g6/zHvDXBoLarpRRui33c8L7tJ4167dYxQ7CMoe5euzMWhkp4+Azs8uUXgFKw9S6Vo
72rxirZ1EgTSZ74g0wXPIDio7J7klgwGKQlQB6grNoIq5uwlJpDxygVhgPNhuong6qDZ2EHTb32Y
bXRJQTlWB+aafDn4gDw2Y9G26TIcInT0AKzQQuUQ1s9RQuPEbbNJvwmdOHvERxvdFCbmMBjVyUvp
j9EJwSTqsRECywtCIufLIGwPSVlbPfcI1wnHhDoDNYaMUAJJl0Vi4M7A9ZJfDmCJLtSUJutc4+rk
5gBJt0HgJiEEx1ZlboDLRABYIE9McEdeZuEkGuyixdDR+HF6LIWbvvQuwlUwMlnwCg0nujMBJ+KW
8vD2oEmEHLeKwNQBOMUbH1ipvdCteACsGplnCTdgCU/LxrufdIehqO7HOCdWxzMHNN9TnQ/LLMmB
kkxDmdObnlJrRb/DO7VunzzHuS3fdFhIwbbqRmi/Zd4BxdeDsT4iaakXyqk1HHES3z4hN000LN0c
2WFELSJbmADmTgQnB2cD0pMnUYdwHSUUCH0BFwjSgEUcxxJJtXiUmbQjRKCm2Fk1xzFGK++A6vc+
treowb4/OhUDeEE4OLB+cmF2mdDbV1XlvdhYZjHsQAYFWw/GEIiMyB3XpmrRajP8YgPIeKzvGvyE
l7ix7CNS1PpW0MZ7jkgoA5SK5yc4NBGP4hLRl/paMic8QTMujJUTe4ByA1jHX4wW8w7M3DkoPkny
6oZtf3DJ7h+H86T64JikRX0pRVli7coFNPBg8Ksr382H+9rW0EOGUtfeSG9xHOZUo3q08QK+uCD0
t1Av+Dqo7/62znMc9TSufLKdm0RQHjY9QRQ10KtDg2TF7TMTsEkzIFYTfX8fuL26dppi2ltGPr+3
ablDAKd1S1u5OMJ1OmSrEvNPuQx1M32JeLnmHw3RgtlVlpU7Pa5B49md6+87J3YvM2J/8GDb2aA/
ROWoP7o8cuMao+I0u7y4gT5S4GJrjb6z8K2SrOhar3pjQYBatJtqgTI9dN/CzJye+mhYw1lYWrK3
vhYA6xCrpkn14ngDzhHkLsMTPf58VbZiIHINW/PQt+oofCvcpeTVn+Uy60EARw1f9iAilkjHHybQ
ZwIpFKU1k0BWpIfwozyd+vUCxgoa9lHlG/wCJDAOfrgjeQJT3ziti5Kgyw79BaJnUW3bksyeyfTC
+8BMMH02lheQehG4UMvbGpVzU6kS5q4sV2LKQXjaUwwMT/aDLNZmCGdyaYoyfktaJe4meIAHPTUg
7ZYN6wg4O2b/qPGiEO1qWkSRpGXZPkkrwc8eaaBPqEdPvNqTdMpLNcZy3FAZB8ogJ4W0UFMNbVGH
gaVt3fa8LFOoXyNIsH0j6/qx1hEyoUt7TWWXoGOpGKcpMLoHEaQCWSgEKkwQQXmnN2ZC/A1ZslCl
hu7BDqPqaIVCPBndLIzOHTmtW1ND7RkMIVwD6Uk9Xpbl5H1FFJ3tItl81cvYpvlIWfaMqcRJlxHi
u1dbizxAp1WLwSFv+v4Uty28+wC8orOqDbwF4MNaH797n+Cl4DxdbwfOS7BdT6IZgaUH9dto10Wz
7AdvgdaNWcbu5A5EXHlGMypHUIjVhig/YkRWss/SZmvWVi12BWG7UNjdRt9J0Jo1qiALP6uRwXRC
AIMTjLPXbYyaelV+G4hMPtOBMa8M2qnIhaeBwQnG502u8bqRGxIPq6wvyydAI8T5KCp7V42qzPvR
K5AyumVqHnUIfnf0TMpHUrn8Mx9ooUWqT4NNxVeRdaHIFrpwWYrelSN2XIYNl8fHq7vM2oxECMzs
2u40eo1LRtFgR/eB0epyNRSe8U2n4eQf+ITCWuGOwcAi/NF/anCYgLHIzPrEe+vIXWibzhz67ri3
jE3VsZNBct6HhblhR04qZGhiqBg0WM+LTAP2tsymzNhoZREfkzH0HkakJousGORFmgT4oc1SARMr
4kvyHyD+T4ZxSZRpAXBDlPdtpKd3KrDUyhjbJ0VX7bZB6HSZkqu5atPE2pWO1OmVFdqbmRDYtjAj
s10hBrb2Cchw8gZIFrmVeoQ5tYhvi0LXLsNiDFfpOOs0OpGkl1piEgtjqwIswJg7DZJJkszWAASh
CxEJSPLC6CWkMISZP8xPQmapZ1ip4WZ4pwh0gACBDoMWEDNkoJlxA90MHsiEEa+0dxpBPoMJCjer
j3KGFajejb/EDQpqFU3bASPyNoyhjHiujJ/DdrRXhd+n1z6xN1utxPfkANDdlBrwoiVbX+3P6OGx
FRYiLEw+1clzpPySiQ4MHXqLwV/rWWpkG4R0swFIMbjUFIj3rYBFXU59scu1Ck50qkManSlsEkRj
vEgLgjH12ra2NgPQEihhd+swtcB8yKxoWfd9CgAv9d11off188SW6eTXVpisGRHEvqMDcB7pnXmj
2626NNoATkYTOR6YvA5rCrXbcgnA3Nj2tWVuE3/wz1F8Rc0B+De410AX2clNCNlRYxA+UWhNrxt6
Hd+qMrM8ZmWWEjCplWOtDZhZPX9TaQosfZtnl/FAkOYCehfgcvwY4a6qmxgTFWLcB3Mim0alo7pM
FRmpwFk8qk5WbVjP8EF1LGlJJO5duxbVpodpqpFDV4mDHSXTqibONNxawpP5EqE/eqyAzNti14yJ
+9ARPnqXy7i7Jt2+3EIeNy56U5iYpJwapH+rMTwgCYq2rsyaJ8S5xVVFnFewMoEMnqG+npF+Ke/q
BB726I3WeKzcssdVa2ntFQvYvlyUQScehdFU0SLru4ZUj1RYt3oylA+WiRE9qJN0DVVpOvdbF/Mu
05Y9rBww86wJqxhb3Si9V4DztIRI0xzPtS7MzwKV69tqCoZuWfWNtgZL7n6dJr8xiPuzx+dGNADe
SPoFtTGq7iUxswTAo4X6t8fdDUdj6q+6tDHaP8+ytL18qeyyQw3r3VoJJp1+6lES6oSUL8o4V5d+
L2dBoLxz0uya1nu8GrKoPgZSwHOxQowQqQ3qN5d4P5bIJ5tVPrc88Ta6wYMyKmYQUkejdOnaZAIt
UEZY94kbQmEho+06KAr3upMu6gTyIY51NGaPmg9+FQxx7X9N4SRupxRQ+nJA/XQ+ADvsMCw1wxdi
F/TxrBisbtylgdGlZyI3aSG4UTTuUOg6X8Mswn+a6zjJctT/pE8oHGYLE4rseV5G085g5nrTDAIC
YHVW7bpLUrAG7YSHZuVK7vXC6azY3JpFEN/haTE3+LmTR7bg0zXKZOygKDUD5jbR3RtpIK690czO
UYlPl1NsNW/W++RbhckcRDjhRgTEfz2KkQIqbMyTh8/gtsKphEQD3aiQnfssMIXgg7J9Ya11kNIB
ysixXWBzsC5wqOHf6SNIdyIekajCVQIyqyMoSndtmxA83ZU1g0ZJs3qRtabzqEdGiQWvbCAR6HHV
E3qhq6+2VjY7FJrxqSDZ6yrGCPVQBZN4rUsn2EH3M+47Y2bkDeMQ7YOuhShhkNGAgw0R8R5A5aTt
yfzWd6YXD4cUR5SxcEbRfBFskmlXVg2xEcKSapu6PkROADPJkS0BYmlIMTs16GUKXweKouEI1qEj
GEIYnblSEHUlEq8kdCbiAz2NW4fS40zKBPY9zdg4A7NqFJd41oATZ9a8urHaZOvodbLznRxvZg+i
/ppCr73rDTd/8YtJfpl32Q1HwMy/ggGo3eht1RI1YlQPqCtGsj0syVKVCX/pWOFEw7p2+Eqns8TQ
zOJQ66M6FkGUzWg/MTOKsiJ5lkVWiZ3ZxNGFWUhOIU0BPvI+JMlVG8hv8Idci9dFbnvCvPBjxBAF
R9zmy2pynEMkBgOzyKjptwTvBdcA4ae1DTfDXuL8cFMyAjoWJEVn4bSLgT2t3Mm2R5xlrtrVDWAS
pKyxxtYUIiqTciydXdXU3BqW8boMMHQ6fXXWMCM9xwgp0BbEIYEN5EWQGJZjlrZXomnCbmE6JKMh
eUqIXK+JgsFphG9toacuzDtbQKaCjFyl3fQqfcPdTMMgm3kZKdXaa0XlA4xP432Qsi4borQ4RRXW
n4VG6MdVCeznTjrznqLxnYzMZ2bxJTF81YXdGtZRYuvemXqX7zqMX/u8HUWJe14O92CfTX2LnLvY
a2UXfmkqPy7BxE3ZKQeDAMauAkn54LVDwwLQ6+u/unl/lYv+skL/iZH5V8npwx//368rUD+UrP5n
paz/RWwgIMyM0FSW/n0pa9smz9XzDyWwf/3UnzUsz/4DnQn9ePzlSNCAT/1XDcv1/6C2qrMxRxJA
fdqmmvxXaphp/0GfjC4+IghUZO/lrb9qWKb+B700JMEGxXPDQMbyt4BAHypYyEjnV36WeSIu4hH8
scIJ5qRza8Co68YRvNPTBPCYGtHwicD4Qxke/SWzFrFkxCWQSOtYHw5TQ5ZPetyFa9dOuy+drvkb
uhERBMcm7bYRy8rtd3fhF+Z940M35f2I9EppauhoRgz/Q+k2kFPqt2norj1jCORCEZUg4AoLCWHN
s/IVNOv4xm+9ZNeE/nXbg3NgqSKnL/lIAoqOc/+MAcA6M0rAYSa2cozwWX+S0TQdjSFVn/TlPxbb
3z8vtxwpJO0KNGc8C9+XmlntpyMBrcRlhYV87bsxRd5r8G/QnMEq0UKMhRGW/UXsF69VoU+v7eD3
9wTDqq2DRvdbRInuLi+GBjbcVHz7/eU058N/X+mcbyD9zrkfYFFZ8nmIv/94XgC7HnKiu24NZZ9i
nEfDMnYKa+XVvTjgBvUKBlJVHDIMIWtdA0rYRNhy+cxkcg6292COkbwACXswDIUeSrvCgu2wLenY
4bJB7NInWmPEH4Z2dZlRRHxpI4OAjrFU178/l3eZ7MdzQWhG78BCFcx/fzwX1J+93rQWgJs2E0dq
Yz7b58GMVoPyxVlfxdQ6paU7a62o+1dCqDDjZzKHL5vLxtkNbqBdtcPQPLl2B+8EwdVRsjJ7HMCd
ALc5eRWZ9zk+NSYkLbrIrbbbszMV6ypKnpSDWzoOnccASOB5o7VLNmoX/hiTAjTCiU+rzD03ZA5f
VAvZ0BMt5uQQ/YxwA07fhdfpAS8cfXthZr11gp4nXn23ioBGtZY6YFwEiJgA314IRiMKxjqGw8SE
Er8qCEJ5/P21fH9xP1xLWrwOSiODBqzrfnjNlId4wUFHR5XKkheFnuabIun1I016XMnGN5B7w0WL
cKxeyoGgtV1bZf03t8yqF1uVzamM+o5iGXjfPQvTbOVp5cyryj1jqYWWuiwE8cUdhBqqv0qOr0Hb
GzeAzItDkBFdZVhpdFQTS13YZLG+GCN9OPppm2ya1tU/eXAYWX96CWbtK1MCeltsDB/eUeXrbH/n
l6BOy+48kmYbzpfW3iuG9Us0i8GmRA4D+CUD+Ec172Ap6soLRB9qZ0y2f+fUzvhW9dHfdCLMo4c/
/4v0Y/IfffdDMyyLRknKde+se8pLs+b4m+jGvY0ucOUN3SfKrF9cBjS4dG51msDYRuau2XddMTod
bu+PjbMmMd571IuxmN/i5O/pNP88pe+O8uEtzfwkdmurwgdnxfGbTg/tOLZgPBZ2k4+b3z/GH2RZ
78cK6ODMMyo2gY+9RB7JRCkTKEKO7vhA2PL0OlFZPtqVpV+byG6ZNIo+KCiy6/llkId/Ux04f4BZ
sEeblfEfofHHS6r1SG8g7YAq8thC9aUNj3/yPpmF3zvD37+tsyXr3TLFEG7qqPh/vHMmQ64/Zom7
7pzqWoGQX0p93CbEBg30H4P4YqAEbg3967z+b0WmXUxGxjp5KmCyWf24Ctq2XjbCLq7cWvVbj4YQ
NIPr2lTEGI1CX6s4gsLUCjQ4A+5pK4CSwq7qDZDzJ73ZDyICvBw+lQDmSlp587rqgyxjottSti7o
o5Jph6AoQjlccp1Wk1toq98/HvPV/+GyUUSZJz7j3aoCWe3HyyYmOPReq9Fuy9zoLBxTbUe1vDtE
VY6Frw7bHZc6+OSgc5v9w3Fd2pc04ZGCWOzpWZ79eNzebJwZvxZSme6pV6YYvCO/ookw9I8We1t3
QX7xtUbaXhX1Tx5g7I2H6/qZ5hVZIKRSs/YBReJ75JO4l7WCtMrgVm7jipS7uR1Th/FTaNZPRUfo
m04nAKt4DcSBDlqZ4Yv3QB84aUc+O2Xdy7lVspy7eUE8gtbWHIBWeNT1DXlbzskvwmEVVfpRmVoG
AqinXw6/lh6ovIIQEgC2jRQvEBgjSPQdM53t30Ahay8m99lW0yvhzvVFTjl/BUc2eqzBs11oZWJu
+qQm3WZKjIUsfbmoai/ZZrELNkqWWfI0IjVaDW2c0/4c6u7VzMigsIUNvRdvtf00xCaVH13eKtVd
Vv625Txj6udfifTAgRaCN4y1iK2x48QTOQ9OtXHKNF3ncaB2A5ytJfmT8twuqbYasK/ahZmUzRp7
N3Nu1ZpvcOr8kwSZvYmNyFiFcdqHNDa7cD31LqjvkFnqS1rn/TqmZZiTdbAkPO3GITJnBcIew3be
tkjWiHcfD+R02leh6Kh8x+N6QPMT0J8rRD5tzQwfsXvbEp01DvaqGc3g29hbx7Rvb8uufUMM4dzH
ZpFuyOOT68DvHuinndVyqDd123QQ7UsDMmJiUfmqHIDFqpD8rgyUfjAFOLTLKxlM90PU+ic2ofaO
En5FsSCi+pD6bJtJ3O0uqgGnhzFlzmXT+fI1r7ltbYW0EYYbjvOuCbbRFNY7vfTVVZ35xmNequyh
j61tDmAMnl4y+JdFgWsFMHRbLcBSUHWXZgnrPunGuyyamisrHNs7Ba0bdmI1AnUM1VYVWnqOA4ou
2VDBg2Khdd6SdbBMdFNfGaX0OLKrzsNJa9dpP+hrIluNZy00qj0dN+fcpCG1Ety93ZTI5gqT40vV
eRA45jPsdagEVdhdkoqCzeFWR9O4nAGDZTieQrLFtxTle2AHafE1BI5/W+g8kqXVkuLYEnHll6lx
pnkZ8RtN2aymgGp2MUTOlVf24jyl/bfSFUSPAl3zN1+vB9w59ngmVSUvSLN8E6XzlOvUuhY1VrWQ
bIx4eKCuWezsqNcW4whZRVgDvIhaAG/qqVG0VfRQqfpBBT3cq8YxqpesMJp7ZGTuTgal3AY4kdcq
zPEby74mmbhyVhWcrR092WxTIaFZOxStlobukk5T5dop5lOt8CnwzWl+zQg77EpQKXuDGs6a74q2
pjfnkXZvlhMd6IW4dKMC4NS5bg3UmAXfQNrOTTcE/robOm2TouGdDazQ2QvNv0GC/IKkrrjOqt69
wBKuaO3miCKsuEM35VxOSreuWiG5JyY8jhW05vbMNuqel6oRGxHgtG8DazmYhTp6yVxusqCJkT9D
mG84ibuGyhR/p6aDrpecYFHWy5EcApDRNfEcbgl8xRDJc93CAO8ipz+PpzC7ckC1nRqat2tNVc1K
ZFTT7PipRFa6iVy6rPQR8Frq1Srtgm41aDI5J5fXQt0wmF+tHiJI75fJqgyEvoqJNr00NRlEi5Ct
nbuxpH2P4cxhDIzoFwsyCwwvvaDEDtopHA8GIc+tVe9RPNyG1NQ5Y5VeWfpgUASLzVd9GrJr1SWs
9P1+srdJjRQW/UaekOXpXlSmC4hdiWlXDtaNgZ/bgcJL85Oqlue123xSLWARk/Di8iBA4tPJeMlj
yKBx3tkEHLjmttL0myJVEKqH7pQ7XXjs2yIpFw4ht4/NJI2VAq4VfonYnuEwC6W3IS2pYXc9VYfG
aCKIT+AE6jQ6b6faB0TXG0vRW5O59ApotVpZkUcSByQlOnVuE+ELPpDQP9jdVrEtkiQ9FJbWXWpG
XG7mDtZRFMjkHbcurm23vBK4yBcFoSjP4C+K56nS060RevF9mPv2uhns+BiHlfXIpy7WdZs6lKBj
0KqDP22FqwQhk1pyVvo6sUAuM2dl0tERUgW7jtbrUqEXOI7kbCCJLuReWU7M0O+Arq9S/ZT1ipDr
ksE7iauryvgGqsgiUEMb61u/oXtQG4ArzT4br0kU9g+qykZYH15y0G3a/zZE5Yd8CsbHNkvhliN4
vB7mrkvu2MyFwky2NmzZL/BvqbrC39/gt/QeFXb9fSwCPHZWxHQrxkvdTcVqSMkmpLLTrHXO9tjT
Mj40Xe0cQ6t11kQh6LcmpqOrLG4smPO9f7SDqF3rQRKdOunzf3XQkfScvCpZJrf0RvVlbEf6jkd0
Xbb1iy8dscmJjxwXXjWPLoEQyHAyxbp/8txxT59tbWnQP9sLR49pobn5RZ/FaCPU4DdLQ7nhWmt9
72TREL1upth5deJSPnpm7iw1zb4fQ9tZFQL5Q1423dbpu4qYpakhmsQOcvr/riSyoiT12yJ3zEbY
vYp1euKeVpU3mtPZ+kyeCrqNpxyxLy1PEcQFQikzCNCabMmDHzZ02FZD7tr7BDTPPvf1B99uvEuf
n1+02EmuyAnMTlNcvrq1aax1SvisgDN4annVnmu1tfNqgqj9CtfwFF3C6nBXw9ilZKuLZN9ZXGd0
FQB+LUKYKEed6kitkXotWaiFmyqUvaJAMIo18WzBRW8ELQzSOrpji0lUEhklxiawc1cs6HNX57YV
hPde5RnXUjb6yWx6dWZF0XAahqF+rZ1YB6BYCnHb53wYDavJmzXowVcf1h4cJjLmTcHPGegQVhX5
awb9XqVv6CJZEIoGa3w2AyhwyG9HbRFZRQ7L28uvVQ7wRpRJ95b1g9suEktTFOX9blsXyiKz0IiN
Oy1kTZIIYCWEOTJfd5R/ioWEaLm1e2UzVbZleGsrhD7LOThpUZMDvR1LywEIFpauwhppEjpYm9l9
4QTDY+VNGThmelgkR5G/Eq6T1hLuoiywdkLqhmyaav3KYjM0MNhozlNUMgV5KsyeXLP1SIPX4Dil
iCMWfS+DUwCbjw+PQFeynkmsdTejMWDnatPFQNuXJVNVqws1ivqUdMm1dKcX20seWmmTiSNG86yK
QgLk2+mxBVRAV1yWy1Gk5AhZE4oV2eVglJludHMGBAfVVM4lomGFTalcqcxvjwhVjI0IW7HxrCQ8
IyAS3VUFWGbfiX4TSkxfkhgDZle0FpZEY1WPeQIVJFb3+TAd2vB1sr1rvzdvK797NkrYoyOIw7R+
FKjgdzLS5FU5c1RrPSd9TJfeMev8tFllRSxXhY4CER3IFJzDaaxW6F+mncy01qAUZbJOojF0Cpyq
udHqNF0ZhW/VC1uZ7Xmax5G9qNEcPw99jsyIj9BelqETXWXBcBMO0toVdp4/DZM+wb3tdWtHaal/
65KwuZnkDG8aClr7Snl058eIHCemvde2BaqlpBEuItsNF2FuqS1v8szhrIorBLz9rtON6CkHt7mo
jJaQziJCVwehx8pTdeXCKwKYFcTwuLBu7j3i2+/JZWDS8f0OJRakSwij2NRfBx0RLPpJN/7Gz+Tr
rEIJtCpHjVg4ljHCXk4TKTigrJI16//6gkCJWCDcGtN1BW3y2NlCI7fPLbwNsSPeFoVHw5BrFxbM
MzAx8Kb8G22glb7wKBreCUC+T2zY9QMlimJbIRLl5W6DrRZpBMKE09Usyu4CVEboEafNYDX6M++w
CXqJDj+YmelS63TiL70gYxlMC3Jv5b520gWihIU+VOkJglp4UbH4IEU4zZeFkRXbNvTjVWzZxkFG
Pmkd+pkpa3Lj2yjeQuwRN7Shi5sJwM+yVeiCY8lwWsvAvYJfoH8RThZct6lpnkyPuER+ZfR1Hgq/
yKgQN20vS4e/TI1DNbu5VaIFd97UNLdeSl9r1TbxVwaW7FwgBLvr9TFOSL1Ki41BPugXJCgl5yDS
nYj86QiUJTo3pqi86qqhOCsSZe1V1EKnM2SxIEo4esCOG14QN5XzAlF76QlFP0gWbA8yAPQ482Wz
LWseIO1lZ2trXw7Bruy8DioicpALKoPdPUqy8XXQRnlWANIPFsTU1VfkJXmUU6YKThrrtYObNe5b
b5RmuZiSPL6yeFSvSj8BWQbp3zT3jsf+WGTsJncpiP1xkcd9tikTP9+JvE8e6lpWT2UCy3Nt6TQO
FoBp9WDF4jy5aw0HUYQ/GmtbalW98NDSVgs/kjoq1E6ca8Sz0OIt1K4LiTrXLIP0l1FUl0yTyaay
psziLYEhKUZ/vNeMPL9DfpQtfaJEV8T1hWwO8+Y89eZQPN/j4e/Sdqc4BW2hfJV/44+2u+ztjKVl
OtLoJIavpNcxRL5zrYkIyGqVsAoJzZT8PwKH7gBFUjDVddZ3fLkkhyQc1t3UmRdGJxFrkBfNTqrS
umdHhMlT7pCVsg4Np+mWRU7m3bUlRAPAzmKxq01jWx4KlGgLMg6uOVFK6KpC49zr0toyqY9biKBy
l1qabt3LMKy/wUlFmmxSOczPTFu6AFHb0ekPwRi7SO9CwxtX0PSrnqSFUtMucJQ0/sEY3axfA6R9
bHHi79TkW9fZZAW7WIvLcSG7gi47K/wEUe4E+WjNPrO/aMq+ZCiYpnZYhGkciI3MgXs1BchCQFY+
/Ly6Gs0j5b1QX7qxQ6PKL2AIORC89kPpFKfUCuo78poS+uDElvWlxz5N84dvE6w8SRnY7s8mUJ8v
jqG6Ta0ypkgwrwz/et/R3SW478Ek6O2bCByyzyZHe+XUy6c2JLKSnEnVnDEVMgxwb+x8PUKArs4d
PxrP68L1gf+0U7bpnE4/Ug2LGM87lJ2rzsriVRkW6iJGCXRegNz+wtaS7aLXl/5LklQp1XUG7ofS
8IN07Vv9IWmEXyz7niBFtGuuIgo7IN9T2eEjLSXeqy6DfOvGxU3ehf4xrJwo3cBHf8lmwmBfo0ds
bJon1DNBeE1naYrgB+kNmay4vqLrePSy24Fm9MbSVXT4/+ydyZLjRtplX6hdhtEBLJsApyBjHjM3
sMiISMAxz4M//X8olawkVXdVy+zfdFtvZKVKRTBJAo5vuPfchiC629zNBYOPbuy8zTiRj75Wejiu
ZWttAYB3wxYIevdqZ3I6ZDy+XqAUkkvg+6lEMj+b/VWns/y9plzazmC3D9yqCWl3o3nX9JlAQAjh
jYAN4pJEOCyE+YXLssagREALIxac9HVmmjQGdMM/LLf1j0xXk5M1LV+9OX11vXg2aAE2RabMo22C
pvSR/eycmSO0dqvxpWuS5IrcRGTKTqK+Jq9ELKlrtd4w2eLJUFJYw2eygMO3+BW2TaeIT18a8dUH
80UA6dk/e8ud+4/LS5BeJecBnUPqpO5WWhMhm3pStPaSdSaRlfaKhtKc4Mrizd2g+KMF1y9u15EH
AA78hxJNlYeTvwy3S+zdTengXg+cwS5vC6fKgHZ+E+T2eJqGVh+72QFm267f8HVpuUGr6kQ0Jvle
DuuCSCXxl6hb9Xd/ZA6X7IPS+ebB8bw1Ws9+I9aUd85jeMN8cYBlyBSS6ZL9wtMpdASkQ2KsVvdG
mMscUssgOylyPyKG5TqtyvYUyA5O89A2n2uxXIBPo9jHDb2uWLImtNt5iMO4QsNX+yP3gQA8Q6A8
XXPDw4o89YVH8pBbyx6FmNjXRl+Ar0QJs0lGq7npLQFn3um8Y+1ZibHhpDMfG7+TH4wysiCaUekZ
oYDAoM3+oYy79M60mAsGoi/oAUf7Oo7HcMi4DuGugjf3/Xo98I0TIIH8hKWrT5LCmKKbn4K3Wdje
S6qlvMrXrglzX5uMZkvUajx7r0bQxdf+NMrIp1x5m0ySlEuEjSHFQbO1FmC7amrrDQFB8/UC0QN5
nwGoNLBTtnVAU9N7MoG56iaUUJ0XqI+kw0PSFHEX2i5rNJIuq+cSAf1TQv7lg0A+/MK+vqYlUoSu
kHPREsuW4EcoZIY82KkG/8UXIAbtprAehxW0orWqOKQFauCyEc/X2PYleLvL0ErlkKFhqwybwFlK
BdnT7Pc8pjNEo54BaDd3Y9IQL8m6sl6n7xyjLWpTeO/BLqhnSvtYq+HIFtrX4dq3TbnrlTc+DKZv
4Dcg8Y/T1G9JdFgs1D+BO4t7VazZTVvXMQGf5bBP666IZsS5Z9SQ7WHGN7PzW50Rh9zTA/WFjNCQ
NYgl0T2Vtv2Mbg3ovvVd1fI9KALSKGvMESQWTe1WprrsEXbLcFjRZZI0d0AwZjyQBG+HbWX7VyXo
22vV508VcS9In6f0Zwvt69HrHOcJsWZ8VJQgWzQ3j7FFbIUfy/lhLmcDvZWb3yw8SauxrLY9uK+H
mKTdR6lLjDkDBkOrZMrMQNe+nitn3EMXGHYjHAsCkDjz/c4gwrsQ+4UUMNj58CcdLiNSLn4OdCuf
yErBg4slHFcwxAtgQwwMDYL3pjwaVo2Mn1zuvZf2zIZibyBmmukAHHydPg247QFHbu224jtm17U1
1v7D6Ut9SuYZ7dw4dC4SJocsesFJWjF/2juxAbksN6CiNoPlby33tkVtTo5l3iCwdFFNktXcwFVm
tdygDytOPuhv3YhtkJEqogTKfAJORl8k+1EsJiBYwtEGv5D3o9GFdS/Plh4OoqG/AyvnnEhWuGX2
W7M7KPd1mt3XwiU0utEzRxPtsDWXmGyXaT0xAHvOA4exguGFLB5CSymGfdPYoHtSgIpJmRq6pfi0
h1iFud191zo5myZdxSZRdQ013EpArDfIxlxPuLvGpQXSrjp61gpVrw7aEpJpxSaL0sM7uWIhcETT
IJNCj6jedqstHk5CaS7thGsGy/eKnK4T2F+SYGpJ0z4uOwwWIPkh1U9RodwfdVk5j0QqVeM2SS0c
C4jn5I5YneFQrGvjMGup0ytXoEa7YKXdb91kiuQd4HTO7dk1kr43MJ9AyyCCnSembfk6AZQfSJKh
l95q31/h2gUNo4xOrfexcOLHtrHHjRoDMKqY5I9AQqLEb60rEggUC8xpntfD5Gk02l7MU9EjxGHT
KbPOnoQilpWsIjsN3hMVcxADYPLwAaciPsG0Qn2Z5NKcvwVBlt8H8Hnx8jso+MN1ZD/CgjY7F+6k
Q50vZJng19iswN03hNVtWkkW7eU8DSTOgk49ZPOUP44om5OQc6Pa2xmwys0cg4vcgLr1vjVVMb6v
teV+EkCSg3MOxhLAM3UziVRIxuul2GkNUttvV3M4IBmswsLgq6YZJDsMlS3qEl90bwyKu22GzYwV
5uBdQQNihk/siuMMLqdVcUPKInrkpr21M7gfZfOeGkBq2XPdujzfk7q6tUUCKXkQj44549xxiLO5
dylIrrni0m9xm7V0xMS+9omB/tn87NyFSOHVag4F6fVsl1Zg4lmwx2jwfUqmB7dd3hwYxcSfxZQZ
mSbjYcl5LSi0e6fq6psAdEgoOy70UjFsTFzrIrIxxwee3RVPyJwpWVY05ZY2gE51ACONslpP5ZfG
+BB2jk1KDjDvqkptHDAxPZMzGahMJFupJujnRxi7w3NCKOFmUTZD6sJtbzIEDIjur3tbxFtz8czI
JCkCinAdx2/0C6WxRZXWRl5ua5Ty9vBdmRkS206uy0kPvUEktptnFL6KtXA78NAtiRZnVUHYBIDt
LAkOq0GABJ59G9thXgLuLir3Eb6USaHF/FSBkqbayr71iTD3pI4wMF4591XtdmhdF/22enRtZcgq
i8mG5GK5lV35Ns+mfQ/uFBNyP9iwqw2FCpjq+JrAZfm2thpxactaj5JIu1gM18C4XkDGtxvP42NA
Dyayfdkn8a3NaOiD3pQuRGfxjZqSikEFnx+fpEg9cxu7ZvFMC0fweNft85UkqdI0TrCj2Rf0U/5c
Du2hG5t555bzy9CXYJ3r5JkF8r6B5ngo2CVtR931obESnhC5ncuMOxO3dsJKkXNFPQ+1R2qbT8yS
O3GhbQppdD8rrW6a1ssJsSCqBXIrO7WrIW22qWVPJIT55Dg5VpPsgrW06OlRv8jIcdUPC/Fzg4ix
mQ8l/eabUQXMUqXTXlyX7WeVM3+NFosLYlZdrDYlcv3HAoYRvG5zyA95DJkaR4l3JqKrfLbg82H8
YjgXhIaT6KiaL0aUSib3AF9vBo8IsX5qFHFYLSsGqywOSxcU5CAbI55Fp5z1g15UdUBoBjrdQiZ9
gE4O2QnfJuuDNcveMk7BD212Jgkh8AdkQ9IcdWCjTq52OLJcb7obctZkkxXTuNWWOBXKamiRWhgq
nTXhxJGA729m6pYrAr3wVI49TJBNCputJ5Kp5uYeYDFEM0gmhEbW+JL3OqXf0P5Wyanbz+STUcZZ
R+k1PPaIWdm7PRXThibUuqZjqzdAKw96ijB6kfHx2YOQ+qrzRYSgLsQ5v1S4s7YUqR1NfWMjHQ/r
EulzprU8cOvYdwHjnxcntQChBgJLIxBu+jsMPJYmS9vNCYVCPs05VVn5GV3Txa46USuTlHTihF3C
idptN3Iq7wkHYs9fd5dNWBubrwXjhauYrU/UIMaPKmXLh5E8huvcrN0PbD5evGGKx8MizxYbHThE
qpQ0n7BIxzliZmRHRoozosnF8Nap1H00uR7v08bkUkpIGJodXT+4SLM2NXsnHGt2H2UcqgykJudo
tEbO9CRfVQRXgqDlssn3Yy+H1zbmbKvBUGT7uULJtlmNjHdcipHcgaKCrtMk3tBvvTr9cNDNfnMn
X92uVt9GrA9FSKSltakzYnhh1RMPYCSST4pUvqyy11MqfB4xCXcHA+G69d/FLL5V/vqVTJ597Qb2
HRcU03mmRyF+luwuFWY5RmNGQkQ0O2m53ASaVfW+ocsd9zWHZRqmMPcPXNYt5aLNiHQu/fRoZip5
hgxAYBwPnsmAXE7ObSj4ZJEI6OBcTWZ8cL2y+7Cgn9jM2GPPHm5bUa7Hylg84ijFRGTSnCGXSQcV
3ycMhx65utRrXjXm22zZRSS9Ptkmwk12cR3rW1nVRdh6I/1kTCxeNBSm8YbKcnjOtcUgygcLTiiN
6QNUxcODTCz5ChKAwU1sEOQl9foIzL85V+jVdzwdiq30AO5Vi4GJXGN8Yt1i/toVj+FiV+1JZHRb
VlIUV+6amEcxBAOOUMWGRBf+uuudSd8wWBmOOs3FO4GY8sXIy+7A4yC4VS5KE76KyBzktrCW8VME
aNXVjG0B88ssC1K71TnW83LHtVhQPDvdt1pO2YcdQNnu0kQ/ep41zZuVzqaJVhbFaBUi5sMblIz8
M2ce8rQirh9JfyYDOzSmoX80l7K/cfK6dW8MLJdXw2pWqJTEPG6BWapDq3AtDzo37lY79ekZZWke
AjMtto0cUKOYDfO7IPOe4sm2btKmpuQwPcYzGIe5k7npmqRnXenr4jntSsQiArGU7utrUYtnrxLY
XbriqWxE+1CPToxXZlGX+rXGU6zUiyG66XYdE2xGSz49iHWqoyy7nxmq7iwnG9/yWvZ3rmkvbyIm
CxqP0Hiya+WHMLvGNw6UN5kX9jWoESqBucxvsK1bp6rojX2RQK9PQGGHsTvln9NE2kI7kx3XlZOi
KTE4F5BSHegCFYHojTWkIUIPeCVez7fV+fpbmbQdzsFVWx8lLi42FA2etIKK+ETOdBJB32QCS6Ig
GZ6eDpNmtMIWF/6ertnnUEqaI6mUTHjksO9sb7xq8FeGqTTNNzcoak5Z/lYllqrSvGesqk6THuwd
09mM3+otu7ox8mOCo+Wu8YAol4AcI8zb/mk0GV5k1c+ZyQxZEyg+4xHkKE8CIsVth0AHstrCuM+q
QyuZD0s/+ean6Sd6pC+fuWqYsK8mGWm3eIjR2l5m+6atv3J5iY2QGLdUV2zKlez1HAsjJqRz0iXn
2atflpEDZ9H4Q0lP2hDZYrAhTrfcrOFoOtGkPPNYTM3j2psHtEGhZ0zpYc2qInRnhdaA/c+wmRdW
Vv7IYKfsjU1iiYM22qvCdg5jtp6dljn3Clfm4ZLKdej9Jds5Q4LyuNGKthFX03cPdshOYHW8Jo48
f7TYdD25Fb1hrRVD77I29/9D17B8Opb0Wy8fkneRps41za6x0yQF7Kte9c+/auP+u70h/xe5Pi5k
rz/oAy+MlH+wT27eS9gn/7Pv38s/Ykt++4Hf3B6B/MUwbQtI6wXk5AUSqelv6c9+8AvrNn433CNo
p7/+ye9uD+8XbBi0jp7kh1GgoqL+3e0BzMQKLsQ++Gn0XFDb/gaxRF7MJn+QMiLbxQ3BK4EsATfH
a/1Fylin3oz2nrV2nOL5ZcckcLuPiLfZugP5qMjf1cWdrzC4hyhmicSbknXAxAg7oQxT1Kn9Bpal
18HcGMwdC3XtbmxAP/VhEWCq9vVK8p1Ps7bFvOJ80aDZeNxRw18RhjNiPRx9wAXBpEAEJdvMrfo7
R1XWfdCb8iax4L6WzPTOixWoIyX5cj1azqPvNH3IJ0j2D0bKqK6t4TrrCW7xG+qOOdu60r5i5xJ6
zThGupt1iBYU2fzQsDnp/HrnrTkKo3y0trY7rmHdBtcxbcbNJPpk7+j0e2UqdcK1iNBVTDLU6CN2
TIo+G8KPkCv2H1WZ+/u8QWY69K5mihUD6QOid6+Z57F8R4cfcO4g1mFcTbbdu7cInzrX6HbZ2FBr
BrymrwA7TJ55M7TLpx5Hd0cqDeV+JiCdciNn+kfAzlckdjSU8evS2qehLc706sj9xqvSQaeZGmys
vFZ8ONisd/FifxZFs++JXd3kcmU2RdyjNdtPSYB/rVZY6dxcxRHbvXrTmtkrm4lLkLT3JjPjnHUm
M04vmntgLGpc2i0hfn7kk+Z0okLvkOabV2VZr/tVOftFoLMai+Eu7xpWRHrpybxNSuuAAIDkaPHr
bNa417a0eMK5Vlh0zvi97K0S3Y6ckg8rZgmcwpu4y0ebI9ecnY+uYyRcjK1/S3aNd7IXuf7sgKVu
RhL72g0Ldn2inp7PXZrfGmajfjrdXCM3buyNedm0svxEUKSK4bPJ2TsJXzyYbXCVj0MZIsjMi40W
nX1rxSxd4ePc5TWcilnqBz+t73PPYF87e3e6VPPRZfdxUu0gazx/sXUXTIQUKXf9KNxs2fmi+F7i
5rjGbHwUFtwbepA+f6DSdtEltNlpMVh3t9Lf2XRc22qxdcjyZT0NuXdrCsd9GJK+J8Xcw/IZGmll
tkSoCGWHpZOXyIvKYlQhm7cER3NArMomm3izl+UM910mR7J7JLwr8vA0OJQ9QBbJG4YB8ND5PvrA
zC77iQcSu/OIWF3DCIklJzipYZmcbHsPMQGJUqmSoWfWsRfFRUxZlGSm021GUaXLpkq6KTkLR5XD
YSQZdwhTK+9ZcOWOal4F8BGmb6LyBx3lJT5GMuBqUksmKq0bN80Ggj6rvFtPcZsW885fXDgpSdV1
/iMCT7c+5qiG658N7I6A180C7oA+LZgvWSKTmzWOK4cdfoAucQ1QYZGoZbj1PrXlSuXvYg7ZDpah
iB8HS9d/1taUlmzF4ROjZlipLoDRuN8NK1lfifwZr4Ihi+/IavHXKIuRlaERX9L6wDy3MGAdCWzx
MluockivSVzGGwUflpeLTUc0/Mhf4znPDO6QwedWUPSIeVaVZDwnw9dMAr0DFgyTe5iz1cnvZJ2V
2U6ThOdvS9RYyQ07e759HOjpPpkWa7hgT7oiNKRPThhO+obBw8hg4Sjbbig+2k6Mahd4eZsjpfNj
xBmTqd+rwKNgIQrzAaqUsXUBJeWcKXk0IBrkjTapR/RWvDDYbcmbK2p9JYVlfc+lSi8W0eF9pr1G
GZUuLcmZyB7BY+jsWC5Sv/uuCN20B3wk+6ds8J7SYXnzq2yJ+oqdke/O7U7naXFP+gDHnkokrtRq
eCQ9vYbr1vvfiPhmGGwPjv5u4kubmbVf+v3qJRZd1ARVJJD1bspuGk6S30ugzwDRCx3rggz8PLDU
siF+x3yiE0LrUCYzycqFL9rbtSvMrUiXeNwnM5PpiOTCbt5aVVXMJ07tl2lwFm8n03Z4zEqvsB/i
AofsrvA8H0l4LzHsXsAzazcYy4NbKOQwhCon0cSsK30sPDP9FLIwSbFSJVBSv3PUU8d4bELjqIfu
iqguT+/SSfUMw7GbmyrHZD8vP5Y0YzkkuZZN1vySxUrS6IuuJws7ROh3w7CqW0cQTD5Bxbr27fF+
ZUV/jNloAjVi3N4XmiW/NryzwMr0rV/c5r4RBsCaaQ2Cpx4I7P0ad2VxN8EG+FFh5D+MLP+O8VR6
LNZHAjdlrMx70VMAe9YQ3C4D2YCbwcz8H4nlj68F/X0bdRVUok1nX9IIyDzzf/qFbs9AJuef6Mzn
MSS6m41tL1oPy6GAn2vZEreah765+Kku5rIwE6lxk0+TfKhrU76WDAv2ijAtD/UaG/mzWeGuFxU6
N8GA6alO2gbgRj5XX4hU65+TJ+Y3hhYjS3gnBRLkll1NQNrA5FMxP70l0s6+TopeEOucN84T+4y2
PFfN4jOCMusL8B9dcrYNjNQHH5Owtcp6uCMZTjDrSpq581nTViEXsvwno66Kc6UGhYRliL3nojPd
73rkCcJqmkPSK9fkTU7CuLcWkzayYDN5Xa8M0nzLk4d4DiB0JK55Sumtj5NjkTiZMPmNXGyigjOi
Jm/Y7zrUYVqsiGxFoPvnJTXFTVwhOmKj2tOJy6TQRHUJxaAFPkY1c0q2xbrpDLhqo6HXgoRvwEv9
sIzWTtt279532VS8MYrkoquTxJ62Jc2SzfQz8DCgVghFjn48DvFRIEjqDoZj8PxrEyhZ95NrifXW
lXFq3Qt2PkQX1tkw7bDRsRrvbY/0uyblrbNhKxJS9ggaJ7bdN/N5n3RAh86qAgRNUvQ83ZsW/eEV
rgzXOM9ZpmECBKLxQ9KuIVUsjYeGRqxsvVrlNi+klYVLSZpUVmQ4FgNMC1XOLc9KMwhhD0zXuWf6
+3logyeUZPIenNGM9yjm3JdLqw7C0fYhcNlDN5ayDjzPyls0MSW+mh5LqJOitqNNLiImEvrcxw4y
hYpR9UnZjFhxU7QNuWYoKD/gYsA7W1Y2JqNt3PQr0WcMNh8MbviQaPR4O0gSc3uSz958E9EKQNfk
OevbISQAD1SS0cjkyXGTNEHIzNMBTQfL49VnbtLVtQ/j0nGy4CBRt/O1ooa1Q/pOZ7izrMK4JWPX
vi5Eaj87M4gxbCqCqXtNRPqCGUXKPGqyrDwC9rCfV3NCFFavq5dsg3UcHxebJNCjufoQPCydfPKY
47CMoRUtm2lmSXwolMF0nv7jvTHL4LSSinunnfquxeiz79VoEgbZFJuu0u657ho/qkb31KIEIz5x
eEqkylGEVvFpFq5+54GRPSaeVXw2I/7rNm/NdofiIT+aQxdXG1qZ9jNhAr6pazc+JoUxs9QoeUA1
S+qhYVBdhmK2px1HfIumWtk8CPbzQtl+7abYQHrWwgGN76Jvcwc0Yjus9UfTrx8sOXObwHCUaYwD
EWTsIE4FcWQWJQKCPzRn/wsn+J/div/a8fzFoWovI4S+eliOTl2wsLbdvruqCpE9/f2XwRUaYHMH
LGm5f3G4T7qsWJWI+egttN8b4huzsF2ZaPyHt/NnX/vl7Vy+X8xotkFHyL/+2RNmBsIa/MAdj3qs
xvfs8oSXg6YjSFYfh/sicvVVTDolDHUorf+E/rcun9Y/rXC/vbyHA9wJcFAH8q9vU8GvwRxhD0en
I4w4vRQCll+y2rwUB9PcF/d+a7e7vHbWb/la4wijmpiM4ElTXcCEp8wwk6i4FB6VpO7Xyx3W8Zro
j3ZprgxoSgjjNNnIaPJUccuWhaOq9jRzkAx5wMYNzv/+e/vXN0QnbGDq5YPFPuv+xWaqbSf1ippl
slY9gZ8tIgsgGrWaMQ9BV+IZnxS+ffy7L2ob0iCL0qcylcTo/PlL7OIYTBuQEF400WebLIi8HL4Z
XXKlvLV9//cv9mej5OUr48V+xaGa/CbHuYwE/mDXTdCLVYVfDsdZK7F1O+tzycWuNJbhP7yrf73T
bC5LF38kkb0YpC9//ocXQoSKExNU0lGNpTXc4l+JeXCS4T0e/v07Mv/1S7PdwKGLpEyE7+z95UtL
cuVkrPCL4+CYIPvQ50TMAtPkzPTDHqMcB3e/D7Siz7tE9N7ikLOdO990GXZS8o2/Vn8IrBIU4WOs
2VFd6sPu11rx3/9V/+UzYUXFpRUw2OFjcf/KGkiEkyB09hUOj9Twjg3yi7ulXmiW/vbrkAZ1gUdc
Jkk4mf/82cs27WEn4butYpqBqMNloaIkZnT/6+v8d4/7/p9DwSAXwYkb/NvB4BNHHtzaP44G//lj
/xgPWr8AgWHWbcDe53HhcbP+Nh4MzF9MMmAsGBf8OeUQ1/Tv40HnF9eVkjBIfoRotksG1e/jQesX
JnkGUYrQLEhRgkD8N8aDjrw4iv95vHs+3gjuXH6hlGRccyT++TJCVYilwjHHgxM7LDV+hRfN/qFE
bIoIn75QosybiEsOCYJdcUkOX0CUXjPff6P9MqgH/XZLl/5J++Nt8qEcsWXJMRLCFGgw2uoxb4z+
5E0J8ml/rSI9seIGMngvG5FHM+38oUJWu0mS5sZrcmvTI/lhyeu+1UHT7uS4PtSO8VU2xZ25XoYc
CeBNPDzOBjjaJ8nrN5h3LLp50X5P6zZhYTst0O5WNKIArXjVZPquetjsuj7DomJlOly4bqVM7hIR
B5GyXLE12hXZkJ1V5wZ+CNxYR181opHntEK1wYCARTaB3utLHCRPyA3eZ1bruTGwx57YnFwLVirb
bFliJMYIuFJkXBsUwmg41myPm8w5N9JcjlbuItaK1zpK2oC8ntYk7X3jjesybzLXHH+aY0AJm8it
ySblnrW9EQZNuk3bPt+vPcobEkOqay+rAfcvffzDbhNxkMghr1Is+ViAWgt/HVjHvGMjDC5Z/hjk
+r1bAiJ0LnixhslmSCgz/wtnxo8RtMl1LCfjGGAI3Cj2kxFGX+da592IpKH+yswBem7QeredgfBv
TuBhjRnMC/MyBspJGdjmaYURMmi7q7ZcrAe/159NgzSL7XiLQ2zM3+x6fUPhkIYzO2JEPUgM2Ymw
A8nHbUNyTIT6CqHrRPdZ0QB6dfA9GIocsif/Oelza7qb2chtp9K4qj3JBeDnxQHDS3pSdLJKyie2
yNmVbyBCK5NFPfVx10e5Z+VbdI7JddYmxcOMDjpkgJKjWqLjm1UK2qBxnj2cO1uPtes1W99Xrtfg
azEqjHaiKm80OuWoHNISc1H/FIv4KV0XPCuQp7Gvv2TayRkuTNS+lQ3DQTjfCvarh2zoH0y3Wbb5
pbSBB9zvSlLIXyBLQueV/gM9/xNLzbsKwdHG5X4PpxRvZj+VNsZsCqg9DjDq6uzXGrvUA2kxsUKy
nKBEvXPkAhgbO1SUdnlxC6Cv2NYYE46lMpud5Bq8TYZ+uqLsUIckT1dGQSnHWdDv9dBcj0YWo9Mp
OvvkVnX20GeOv7ca+A1gbV/MpF8ey6BMrjBnGAdsnlU4OPLZNDKLCeRUvhRZrkK+qmk7Q7AbmJGB
eQxGEX/r6mbaxrnVnhWutyu9zsw0GYA7jG6pRKIx7r5qONQRWivUX6zOb2TpLPcJkrOoWRzIkDy6
w6GXV3Cs7FujQ9QNFVFvZDCr+9mEWbXyUL016FFHVrn6Y1gxAwxosiSru4NvMGRgh2bex/mwRKNA
erqmS70bjICE+x4h3CSTNMqHmTRt2ZDzDQK2KrZAteFmI/WPglmMr2sfyGfkbN4Bqnn8WlzwwcLw
sBRPBqMQB8FV5rXrqfVc9Ryopj0ndUtwc+pqC4MCo4Gg7PS+DIrsVVbWq4F8ZFeTu5T0SXVo+uWu
GSbra6IoeVAz8j9BOao39iQ9JiQM9EBSs5Xumx+KKcQXJLzy1kOnAJVKzocBpSVa8QZjpVfkOxw3
2ByL5kZ0/ikWpRV5EpKpEYQBSvUQIUMdMl47LVNscecqO4vKJY+jZkq9k0MPdjfruDnH5pDdpoDD
6NHG8yjVtC+doX2tjBEGQl12bDHWEctKZ0SjMi08oOi4p0xnMCL5axTzqh/YM90vLttii3DvqKYf
PzbZeM9zSBAtG7c713CTH11d6oNZiKdkaQ2ErNWyqREl3dY5/hdkOSpiiAGm2VJntE75Q5uAIHHx
429K5YwYx4DlUpVC3AdYHa3aRLkp2MYdhSvGaBCIkWLll3vjkuGyCNAWomTfEhN9EiEO4RRW7pdp
4skOGAeynwruUZl/QI5Yae+ZkxBPzljBaOwtWU0zVpVeb6cx5niBYx3VVfxi0F/+9ndAUGczr5rp
bYfAevUn7ubCtZhhxTq4zi9eX0ZBrtPjUU/mHyIZUZdm1dw9WY3/0+2z63IeOX3Ngz9fWNSWfwvd
P9gsDEoF3MB0frDmdNzh+2PvIbIHbzGba7qM7KVhkbhtMRpsoVi+wIvao3tASMIzgUG3CL4hP9K7
Nmg+64ULCvTb09SSRp8t6xxVhXGjsUoADlhDnnbZM1Jm6zgKEYTd5ZuGWBjv7CmxNn7J0TME1Wdl
6R+jV3+fPAuBt9B2itbDY3jYs45ycRVeLXFyp9K2u/YNpDCJbd0rUwJajycfI9FksWuiK8THzkQh
8+wDKrruCRg1BIU+afEoDOXBXup3Q3AKyTKPYitm9e7+WCv2To77WY4YiuPBREFou5//v9z9P4nx
IPKZNvF/jz3EaP7e/bHQ/e0Hfityff8X26APpGA2mFT4Ds3IP3bgNuUv/7eUZM8Rk+PS2P1e5Hq/
uJbhEQXNblpa8pLk/nuR6/zCT0ifuSFJUh6t7N8pcimY/1zkOhTKZMaxfb6glviVf2mI2wmSdRXg
S2ti03nKCLSNgG1WV4vn9dHENmg/teW3lKhXHEW+D9O8LM+wVUZm6/zD2VeBKa/T2slfszRVQAa0
vDaDyouPix4g3fRWhx5TdVLCbp51vpmrQp7jHKUnNXFbHXNO7X2C5O81sGX9U9fe8Jpqj1m0Y9M5
S08sd4aPNCzoDRE6LUiX2fCtq6WbrIexn9uT01f1FZtmqomLLSeZVtTEpiXsV56BlnNqqH9OWQHw
mBGvUz2xAdbGkb5ZnCCL8wR3nQy/RyrZdWP+j58ZFrcE9gj3JIN6+t6qZmCdKHye7K23qpcYlPpz
7K5zwKwu4XfbNc4au8iAxzDotj6DS7e5kWlZY2RbEh6MMqdcyjpnk/WjOhtl5jlhV+MMR7fM4C+V
dncvmjoPNgwV1/uApn7HbqO6hubAyN3I0Zmyo8MyRPWyUg0zTX2I7SJmxaXimRmoW5obJOoAcXqx
tjfpkrvrpjX8stnFniNkmKT/xd55LUeOnFv3VfQCmIA3ESfORXnLIln0NwiyyYZLuIRJAE//L/TM
/OqZkXSke0XoYhTdNF1VSPPtvdfus7uGkMzeVU656UaLGp+CIQ+x8czaVCxdJyaCzj41DNysua1b
m9xjvkvbMOWcg/U9bgUOVzd2Uo24vi13qQZ3alEGOm6nodV5d+MuMDHQsSa+NSDZ96MNxnFs9WrT
QNy8OqXubTBrys+xFYinKcAoQhKp9a3KDPVqtL17QAiMjqhwcLX80aQIspBnMnOpw+6qe9rGqfRU
Ww9E5/IFVN2IyE/qOocuQvAX2RBcJHGPdc2CGy2d0s4PuB+8k12k6uC0LYq8U6Gsp5paG27nvOVx
j0ENWvwVq0qsdiVeorsEag4mWkabdDg7Q3Cju0F8qVwwEgsv89szmWfr5NSeudcNjcMhkZ5uz0Zo
0rqieEmJXWX5ztCC9C6JOjbNLOiHE/nGa65P4VtAZuWgZfacLsvdI0oT5QimNHmZSiO4kR0vFObe
wqcZpUcqXhbYO9gjA8QnIr0NmogRqjmD30zWvkFehS8GtWGdjL2810o2Nn9M4WEk2gqa2ltV5eEq
dMt8Vbe99lTbclhKQBr60GkbXJTlyhntS0sMa8C4s8kDLguhtJ/DGJpFZzabsvSku5i8+GTrvvoU
ef3NgD1xk7vyWsvqe5A0+HGtbC2Crl1UWFTayVYXYrwrzyHjYRBnXDAN2JQJ1N9LSBYMvcPzBnej
TDOjtQOy9yKxB+x2ZQNJX6fcgE2wcw7c3JZE7Bkk2zmVBsHU5ie6S901j2H/iKRbnDVw8xx8AKcI
m9DPXesyVWR/FZIArK7F7LXa4L91cIYLkjgtKOShjeJvWcGauGI1gc4JRrQNDv40xPHW6nhxCLYL
bcDWAwdiwxc5OgGYCBT8YClszcppJbc238s+sRh0m85ItY3vpg4fixYoVO7YWx0wB6aQ2tgbEB6W
vdJhF0c2xHOoUOGjx0s7O/jBmVYOMlrEuXiVxcpMuFBH9RpEVAdVJp0g8ST61U8lwURjPkqbieyP
uWkSkvfC7DY0/XCjp2XyncgBYVHyabSGTK0+btSYUWtqaWpYUE/CA2/19C/YQt/VGbU6QMSzZDdS
gLjpyoxJRN545lnCqF1YGQbRoI5olzFR00M5SuK1KtrkOH3Wwi76qy4M+aJxjcVwxIB/ZeJj3jYd
0gKvf3ObpnrXE96yu49o4B7B4Hk3Rc7RyLLx1OqZeJFm1ByBeuw6RhZXpJdsn3KBvR+TOrq4jT5d
TC3Ltz5NNrc1EwhCdaiA463eJsnK9Kz+EWPWHDGmTZiDm1eDDKq0G70p9Opo8Wm6KNgzJ0SptF9m
XWAcbCVewyBoX4HMZk910pVnXubsLs8m+611CmSpWuoDcDfRh5eIccUJfCS6uRlNGLu7ltux3wbL
BvT2mc55YE0K4N6aYM5RjJNN8UVPbQgdT0fy4j5VCAhV10llYiNoDr+GhHXkMsyj7NkPBms9VgRX
webj2RJzIpUGqWqJHzP9rLO42xt9x5uUa05yFXbEp2z+2R5ZvNu2SMxNlKPBm0blfjMUXeFuGLH0
+bk5Lq1CMHoQxjC3DFiFdsI/PacOIrHtFdt9JeuNkcLtHqdM3cdBQ2V2q0UUCPl+tg+mMdqGdlwt
kzAUz1rRTY8tZWenCSd6tiD9Yh4ISdcQW2PL2Ee69dmMerbSDZV9ODH4r/VUptXjYPTYl22OHtwm
aumdiJ6lZ9NvRmRY1lYnzt+tpkj4GGfpTWrL6GJVDRFQsrsRfVAqyN6oqkjSJeEMS1uPUVHeATo2
mODXyfRAzxG3Ntq7uoPeSPdpTm4+DinZI7BH0xayOTfFSFgXrovRl9e10QbATMtt1iRhPDa2bS9s
FTC1IInzlEpPPXgsNe8hUHkWXZMuWlJGwPQXtCRWj96Yii9hIZ929FKt8jjBIZO3xmucmqa7k2lt
ka/H7TSwiA6R5q9BGKWHqXL6lyCMPsiz73i0fOLaAU0bJjj1Xot2RW1cdbpBiQaV6jDW4Q22lnoB
jiCFJKNg9aTVaF4zyUOy64LEOQ5F6l77gg4Preno3yiCdu/HKYcOZ8qajyrNbxDxeaNGU+7NSnO2
sBtwDWGqSQnlpQKuoKnuuIQ1nPd0tlZmKxtIZ+oR55Dg1iy5FheGvBWePTxm1aTNbUbOIhOFi/It
bCwRjvbgQ8sebCZRUjf9O7Ig+Q1E11n+TNJnYxxprJbMPWVPLKSQabZVWVPgdYLsPnhF8OJaMOVC
wy0/+8YcNqqZFKFp1x2vuE9q3MDYoSuzgfqmx4SDunGT9XH9FgDaOw5G6X73QFQsq9ABm0EAMtfY
7gtselyI0MhBG/pmuBz6xmI00mvJUVDPaHOSzIbvYair00QYi+6KXHNvRsLZm4ZCg4+8l+ZaaY1/
jEKt3ZJyTW7dkXOUgb1+47WgjafUY1QUBrNTmhQWDdx4YprhE4xOc8vE46bzrXZn6FWzGg2N4wA2
9IU3utmpbuk2wW9y4tCZrNKgsC+iN8UurFjWaTyxySFnW91LTmMbf+Ao+ayAJXlRxJSsbLGpkrn3
7suqqkjuVjqEnVojf4kWDQQ5jR9yAiew9sahoB5LdYwTnaCejp7bqo01ttq9r4+W/qqgRXgHLPHD
1nOJl28YjdvfOWSVBHRJYT6xSdXbQbXGl+eoqD7A/+HsJ/0s+Owh/BmbCdD+G7EHMnTC8Vb21E1n
vdHI1aTOPYfJ8ZAGKVYovclODeM1TnNdCqwDkwGe08igc0BJx3qg3Sba5U1L+cAse6s2PVpO5d6w
IrSMz6P85EZmL5ldWslLxVeczJwsHNSwbLqRrT+b1PXaexWcrK9EcOSJ5xWZDT7juOGq3t9lWk3m
c/Rc/0wZTqsvKpdCwnXICZcLd4aJdjAKcZ0M16zXlaog8GRxfrKajOixkZvOjQXabpVltRnhDEyp
Cowjt7zNYJK6yyZvaKGgWyaZllkNfHodTTomzIzo5bOexRhvqqpNF7Fua4fI44hhd82+zER+g53P
FSuScWeT2RYEIOhoHMCshCEEuZRPSNjGB6EC/+wGmffakUPaY23U8NNgXyiXeRRTaRQW6H1LG2U2
wOMwYDErK6NeEybxHxqCdS0JQwk+ExF7QT7a39i1swVfwyiEcWNGoICpFu2zcsuq9d4nc/jX7MpV
7NvxVvhYnYeEPLoZ3WJaJBXeR7uwKEGBpGGzzHJtr1fxjnzdDSZqgmhula8EnsCrriQMJPhE29AR
9DTpoTVXBm21+YrheRha7G5aqnJTlJwN+U0OrlN8p/JZrBJG94D3dYJTHLi5ImeLBNTdKijj50Aq
sVRx9NDCHCKpHj1qHDsWXAfVRqbthds5bCDln9E96xU9eTsLCMSGy8gH9p9T5qSEwBx/SQaMvUGP
3qjyok2RqxluCHPVdp67mhT8lKyM272XUWmWK1KTuIkmBmdgq6yixyFjd/ye4DuWTF9BiAi5yYW5
0sXwjvFs1XTxrsW+vMLyepk6L7tVIK4I4uvTmWfP3tKSQ0yJwCe8rlFiAAxM65AWTXQfVjhrfgww
I0im65oJ45x1dOUC0oW1IcmfcSglKrMdDCfEF+cY5KQFHXWErjq/XnhQxE7u2KVEMgSvry+FtyWO
h1HJsvudrdFS1xlm90I8pEopKBVcWNLWTY4DQ0saJM2+vxN6msdrN6qCJ0Ee/721ovDYuPQA7SSh
Kw40zgs+xC5atwwX06UxccE56JaR3LtVNORr17KmudRlWLBx0P5XNOLa6lGFA17aLkbjTDQHz/Na
zqA+QUrd66tn226vFk6/rd76D22bOUcWGPxZSeWDn63fpyqx8BTPztchJWvXBOvK0Psvc+xik9Op
7t9EnYXVfArJOcV6JV5Hn6qtAbohehdE0zeeLAb0AGcJI+fxNncHdzuMbNUO5rS9GQfRIZ1MdDKf
KcHCpwlsncBKPRoRaz6rkK6eInJ2r7AXk21CSqpY55BJH30OLiSb3FzA1Umt7FdDwX/F5od/XaLL
LClgaPXPx2+Xz6SJ/yA0//Ylvw3gvF/4NOk2YvGvOvPfB3DGL9zo4QIaOg4eZF7iKb8P4MxfMCj8
XKn7/wdw1OZSu2bgWAkMbBd4L/6TARwNvH8awFGbi/HFcnXLt2hu/xFS+ckoQuVI7dtlO20qUdYQ
dnJHFAtoUfo59iQ1CR7Zi46D2TrIOSyvTU4wJxqMxCYUQ33MUmxn4aBzu6eUKiAMCVJsYZqtRzFh
qDy5hTApz4ORxN4iwPm1hlLukyZO6AAqgrF+YdhP+xEcjX1iiXiXY2onMN4jKM5LWA224YKiAwml
jto+WDmWjYibZ4jTHDLsTlHuKWWxN31hH5MhIYrcVTbF4kQazgrkEsdYQAdcYYJB+wqbTnIEAP34
kQRUTeg66zQn5ORQdthZF1zCyhPatPvccCmn7pN6b6KNFb566AyyJyVtdTiW0yJ9SlvxqiY9OScy
eQhpKaQ9Lu+Jcrvy3XUnOt/MOr4PZevOaUpx1hMkuoGMy5rDFbUTsM72/ahpC4gA+1aTYoPuNq0D
Xjocr2m8hNBKNLhAYZA4Buke8eF6D+JokilcRk32aUaVs+jcMrkPfSfdF0YlSFX24xuMeORxBzrg
PH0g+pZgemSC6FvWIZtTKMtGtybU3q4iZVAKxz9qbZRU2DQJGyyEMAzgI4PiuJTHnv/IOE7nBNoM
9wG9nMHe5+rXcD2I6ktmDSNwtdxs3ksvVvUeQEZ3pAPCpNsLnOyl9MnCEWUnaYjtnCXsqCpDWHNk
JLYXiPPkkKYqCm4btAxr6bbcrjYFY7tDM2DgDivBcUcP/RoLTZcnyca1G0y4iutahLYKF0BL37Qe
127YALAoUjyi/JN6gS4V+I/MXp210/rDieBEf2npl+KthEw3LuzBJ+9sKtlffToiZ/nKMp87R7lP
HGCkQpCXxh15MJcmTJo8AQSE5a5zPLHLAxv8uuow/LfkGz5qJ0nvGsrF1hbUo3rNEXMkrsg/qd90
wijXzihkuCw4Nt1jCfJ3rZfR5pdFw2amEollmPXlrq688ixM0W6i/sp1oiOyCFFVi59KVQ9o9mN/
A7yj3jNqTl8ZNnS3TgnRybFjenplcWkH44byMWOVdcN0l1F1iLqu8ZJp3KaAu9RgOTlcbwXRdp5q
0hdbJeV8NqXKkJskh1f6U6kInpCcBmdla7r68tLwtWWSdeJyWZxVHQx7NlGsoenkcUNqcvvEab88
FFCGG0aWRnhJm0aTQE7C4kiZMexV2MOcKaWeeHdFIpCxM46FS6wr3rkJGOEM5pxhNWSFPoxH3T06
FWfKvfLNptvDqneBoCG7jW9ANhPr2oAuWjXI45+Cs48bLZlJuRVDOZR7uTBqBNBnsNfDsI9TAngY
QHusMFDEMv2bxWiOTHhZZ6CMGEHzVsxTb9V5fn5INL79Ujf68ZE0Mp3JxJaeDXPgVjd34MHlz7J0
OaE8pBscvqYBn8kiz+05nXimd1Vtu0BqDjgG96mrA3UyrLa50ZReYHzHrEeyxgUc4VNH/Ol5KbOq
IRRnOWPie2bnm56EDI0r42RdSmMYPyizNF4FeJOlJ+e2G54iVljQEn7aVg8qMY2G0PvkkHcnSlF+
Rn1b3k22G34hBRCO8LrpU6qhx3Ks840NIgrRWliTPWyHiFn7Q6KhGYGfafyIKonSH+6hRXk9kmHD
0NGr+av7KLWMVVvIEGY+OVpM+eYsUOfQKSk9y73K3Oed1eXrGW3TLWgNnh7SzmYSDT6/Ra7FKxOv
Gt+W7tZ0iqhf+k2QnQd8QWwvERdsI2aSPJG1XZhkCLZjUE5LPcBhyun6IppcnKRP8EGzQe/CIoZQ
Y7HxMJ1pqkPnpqAgusBVQE+H/BwRSnkEbhyd2jIAXjSB4njrUEEo6OYGhd1cDRXhIvhcx0jTfBRY
j9kDEIKK/qksKhQd7RQYf9MpGRgXfTYGH1xxZxwCHeQFfqN4YnJTA+/Ykrm2YDrl4ziSJndowUNW
EvcN2hUCvEi9+Bi6Vpys3K6LAnawskguRDnkUeWxKvfpVNl7VZm2Ogub1lfLcXkKCF4cy1EkO0X0
KlgATAPlTigfeGHcoi93LXkVqb/X7XRv9zgxwCiG3VUfMrtgztxoOiWkcuYqFD2VeuaUue+QIHWx
yqrBfWa23wVL20Xl2GXt1MfrrnYZ/DXwdmjXI6ew1EcFqIGeskcHi9G1DaI2W5X92F5dSw+ONc8w
dhrTvjea2n4m85Jjfy/sQ+MQFnJSOccaxvMUCBtqlsv023cyatang9nywC4aKnk+c1Ey1MQKOo4z
ZcN1bpI4b6hs5q0kRlHnEqiBBIy4tYVtfefgNHabSvPz8c5iGPPoxFY/f3fdP2YGjrFtYpXWYzqk
rHfI7211qMuglWuSIe1F8zqqU7TeDJ4rEaCLAKqCSm/rtbVzNNohlriHqMxwY85rHMtlRukzGBIy
GXA/8ksz9IT//b4Rr3WY6ReZcrlfED8kYyr7seAMEcCw1D3RvdbcnC+dycCqZLxlLSNccdcGWso7
SigxTKdrvGTdRRELjc7gdRnTXFwvTW45F/7VdEXHms6YrtLVwNSxa74aGuItMqMKkG84d9fsynFG
LMrO8rAKMV1olrEes2C7mFuoj25zdfYwSBB4LFoX8cExqk8c15Rde3PvdRPXFMTbqv6Gi1Hsqpp+
7A6ABKThH7XZrTlXaLMzTVjAaoq1GaRHr87ctu3oaf8Mxo4CVXIt6bk3ykdfQbVaiCaJjDUXKueY
zw3e6Y8yb3qyPklgh2xloXyZ5s5v+aP+u+9oAqe7LUi4JuUM7LGksabMpeHCxdywKbKuvk1/1IqT
R6NiXPyoG09rmsdpBaOEHBMNcyCgTOpljHMEh4zZT7TWfDs6arYfPXaDG38RkbV4pHslynXZlTR4
Jj8K0Ie5C51cGW05ND1TkV43UFs9w3IxMM8d6j28/qd+7lWHqyq3EtrMoppb1wGHTOuJInYOpLuM
Pkpi2GlabEhfUSyuz9Xt2UCYyJr73BX0MYIZHktgkmcN1RugPzEiD0v2fdYT2CPmIZo74ttIUOfZ
R+qhDn21hFGfryzDHl6JMguxbKRef0Qyhwc9xbH1bci59Yezo6ucXmNK6nt4+7iuaHtrQrMnCje6
E7Pvudk+6EpK7sNwLrzPknjajmNsjmutlfqLYbMbPcd1qeWEiC3nFp+TPzvwoddaUoh6Rw6A4KgK
OnC9XVBkH1XkDOStWCBAtZQENl0cUTi2sIXu6FXDI8YesB8SUd1TZKSeQuI3C0fB7Ng2hJI6EBLH
HjGIlj8w/+NOa3KfJnBEFtRLM1APWAgL8gXA6reM4fIPovjyxUwyIPV4BLUvaWs5p066r2YtXN6x
AukoWboFqSnLyuZWr1SAUkgkeVZpgluSovKqG/AatyHAjmoxw5Hf3AR2w6KpUtxQHNAIWPpD9Q0a
CE+H15JePfLgcTCkzqZ8D9yueXAAgZ462zJv88FouHP7WbW2qg54uIX+yz4L/B8cuxZsbdhoOz49
CsBtrHefNma4ZDfjIY6uBbOUpdarZg6r8okfjwx1VmkD4xofR7wTIrfB/jZe9GJi4VhSd0j2h8w+
b2AL8asF76kZ74HfdAcDGe2sTHpfF8waOIL1bcR5IJ/QeYRuhdaCMyHG3mBsTmMIupNg6lhpyHEh
Vsa4sPMvFon0PVXKOwtMeqRhh7pY85qBr0RCAm/UGnG2ghUVkgsKyyf0IeS/Dtpfkiht2VeWcTCs
ZFj44E/w2XVqzapKW4inmQZI6iAEaIfTMl5GCDuPgHaCzyioJt702M0+YHqkJ1k5kB+9xMe+2TfS
+LC6hL4APY6WiZaZm2rk3ogYX61LczhKmp8WNf0cM7JTwIybilvsp6m5RNCAgtQwHVlUZbpXkrCT
wyIJlFIn1e8juSdZPH0wzsFIXZHCPo9BkX5UJvUm9HpE1y43sheTTPeViA33PyTy+qbHN6u2plE0
Lbqx2WZLHizdxLtI1q5NpDyC/HLWQ66AHjP0o5VtBPR2HcnOzfPaCVMFTnMi6BXhxs4LvCNiEtRl
4LziqYmpeh8mDhcr6YopXsqiiT9dCxgQXU4+bgIv386RQ7wceREfozbobl0jjPeCN+AhICt/Zb3A
6Wjxz+BkRD1EP3tLW8WGO05j/2Aq7QBjjxuVIV69lNV2COzoShXO40/jj38Q8vpzQ5eLN94KHOxD
M9/CnccaP0dPfIsX1qraCXO1kd5VampvbJAzq4ly30MyMQs0iiFe/esfOqdMfjLLMzxBFyML5c/d
mKbx5wYyE3TiFHrZsGUyK06cMtrbKFTlytLRJKoJxzRXMnffEBD/+tc/+Y/5F3R+fjJjEwNSlu0F
gf2nEFjlOArlFMsAFUvgNXAG9AiCrnaUCGATIcCw+K8R7uvfMcL9CHAQm/rp/fkLEGb1/inf//Ze
fP7t5j16l3/bvVOUkfzsjvv7d/l1QOdZv5Ch5jZnMEZyySTx0frVIecR6DDQhj2iIdRCmj6zs98H
dDrmOeZzzIJm59xcUvi7QU7/RcdHwsQPxZFAlPWfQWL+9LF25rY7niRSSwa/iP6nD1eatujEgCHW
quLCnUJetuON0ZirbLC3P71O/+CxNf7y3KL2cGDi+eGQQ0Xyn35WlOP/qpwmXHOx3sBluwcJvmsy
D33E2UxB/Zqj07YKmxzgo+kS5ahTsfUisKDSjnUcBO52bKD/x2/FK/nHB3v+rSzT5mzMf+A8/ONq
ElLMFrh5Ha6reFxTQbMX4LqXirS7Ecn1xInL0+AUgPmdvTVB1K/osqHKNqq2Trvk8nf3r38h88dr
/oelRsdaQdkmY0DeE4eYzx/WNyZilRboUbhupi7emik3ZHqD7pnXhhfMO8h7jiYuleg7eiTc6QAy
KseN5BA7ob4PPlvxpsEBuMMmK45W54dH28aI7RVkeTuJuqPevOGbIJDTI4W5ZXFGnkoy+gO4/Y9g
R80OZLOrra1GX6IXLBqOhHOjGaWVWAacs16jVFXpprKLVSrsc5Dh24gTOBT3yizvoZUAkrNXds3o
yOcUqHcr1dEJqHMQdcNtV5enxjV3VKmj17+MKGygxZdT/6EVR5ebFI4F61CRWzDtXRY89V3/3HcZ
/NoRRl81eHu7fQJlQlsKBJ6eIxwFXnmDLNFGDCeIVaY3VCmA9ZmWvjOiXoQHIsqrzA5pKRSUAKsr
9S4HVvvNAB2JMRm7ZN7O9Q/jRlNA9E1vhWt1ORurOlue+9jdNNb3wVMr+KBLQSsBgLcNtYzoos+Y
WQ8pqXivIE0tmJhSX28kPZhgsURv3knKzMAd8PLwYwL61mp1X0rnjvcT06W161qXk7GaOacDdYOS
cruP2LuY1AIDzl8kwOCUBqpfD7Ck8GT2/hrtaqkl10yVO03ejBVYjCB+p55lbdsf9VC+NTCMYOiC
BF5kUXBpaDoIxttEFjvf4OLuA0eDuRwxr77RA6e6Ji1NX16unUfc9gwv6CqrUqzn01C2YGkZubdh
cIuiXH6LrBp2KEOifJn3BHUXOJ++aLaJ78ixc4xF3cVb5cwPDSMhuozjvafsq2d05iPIhp49Mupe
8faV3M6DaMupEE6DK/ToCXYkdN/RCpkkFaQ6zMxgXBw6XX7lxtZtDLfxVi1seAsT4jwXrip3eHck
5sIC5yjmvrqPznFfJSersy6ObNw7OfXefWvm9ebHc/pfver/0KvY3vj422xV/1yyWr3n78WPTXKV
dH/aG3/74t/2xnkH5GhjkJFzdeeHRPXb3qj/Qtrup20TWevveyN/4lGaRXzSMP2A3+Xvm6OF7hqw
ajquAS3Z/k/Eq2A2h/+8ElM7axHxN/ifTaT3LwlJqdVcCAx7DQP0O7r5jSedbeUGD2nIwZlGyDXU
cHgNJMOSyLyrJhe7K1D04C1WLGNQvo9EYp6yzt1WibMxNG2dnqZUHloFRMMThET6c6z0p9q0tiD8
NjA4tukkd3q1LGMeZoEsK6FA+RtX8bU4BOl82dm12GeudedK58Zxra2q7Ts7NG4YOZlu9DFE8Was
grUv6quvVddpCNeMCZd2DEgr1xei/ZjEdZxlhHzaOvMclgGhV/n7DjOKUdk3hT08VZZNSV5xCxZg
XY3jVuQAGVloRzN8AGcCNiy0Hxo32kmVXvKQ0aAXBwAkHbmbcO4yExd3beTtUI1T5Oj+rZXBg+7L
l9TmJYt0e0tP7R42BHa+9psGhpYWgZOdivVPn7x/dOzg0/DXN5HUPwcvPme0ef9xOx1zaTJ61Oy1
qOtVRKt67uWnSNUXZxwvnsTSHsdz04a31kA/9rwz//oXsP987pnPWIQddNdxPTzlznzA/1kBrQO/
DExoJLSiTBVrk9/JzYC1dNGPDpXXsXmxw8yl6mm6TevpqYfhe+JUqO1z18KOvfgarVZuJs4gS1JB
jB+NMF+H5XQaBFom9bVL8JfYVBA38ok9G/hevtqCxApgsBO59ZVYKwtY+iAg8peUI4SBdawHiWnH
C2EfNOa3UYUj9I4JhH+ynZqEijfTeLZq80gI9uyn3bGo6ZctYf0c//OF9N+LkP/TvzUv2t9KiJhJ
FLfN//7Pb4v4fHj/w/9Z/7gF3HVfcrz/ahjM/Z6fnv/mv/uHv/Eh/61l0uKz8M+XyfN7MYfI/7pA
zl/26wIZ2L+Qj5y7123nj/GagKWT+D8FQo4NYNKf0+W/L5DOL9yNSbCzav3I3rCu/b5AWr/MWrzD
d+SDGFjQJ39/DX57lnj5eDWjr/IfPFtk2P/wcJFQD1gaXVZIbqf4q/4MZ3DoAYNjlQW7UmDdhNRt
0cMQHOyW0XYFrpiEQjQ8ZH7KmJ3SejIa0/CIGU67wmB8jnhillUS+J+uDoLItHL7tentO4MymQXE
6wv1B9RD5GG6M4dSZzRBSgwYd/hkm35OC462n5q62iC3wsvJmnutyDhUlXyPtYOITvJO3KY+iXXa
flD+F407toTHC+CGobvSPBhhq4rU+EMwwowdQszvkxqrs0xtJgi9QZx80kMyn1Xm7aBd2c4uAEV1
FV0ev1C3+JVN4C7hnlg11R1J+paY6QddodMazt05se2btAAviOP0nWBnvlGsdSsgOnSV2ON3YDmC
iwSbBI0ocEg6FDjUYfItYX7P+omcmjm7kVY0prwGSKPEGZaThGJuu9JYhnaCYbtlZLwAuOKRx6Vw
zecsj7RJUxi57VXqBQhLOnD+2KYLxnaYIy9Um1f33O/kHk0iXFrxKHAb9vmryk2gRvpbDlWZ1yos
+u1ozj058xwHcnbCUdwTd70AoCsUTQwrLNI6FQmeX2HbVJACmMHQP5ABN5gWiFeE7fFNzCl4AiKo
DAXOOmq+KeHRCG2KGkqGrGndksqdeZEVG9i8C8Zud5LMNUkzORug7oozoDrN6ZWjoxdHM83iI/l+
NACTU2xmwj0HJwmXrQjcRd9Z91NutIu0dpuTW4R4g2sTe3bfOkuj5DXLh3BrFYV5sDqv/TL8sniE
g1iuGcMLfZ01KCzbJjMADqd9CW/anQDxN5QNI7TpKcDkgNt8ubQrI82uCSBgdcR9lS9FqhyGk4O5
HgJX0qih5asgiIqnuA6mW07DlC7q+U1SypTZnGHfAg9kROljan8dDRuptSb34pSMlbxykgD66Ta7
9PgjP6PW6dZJkd5JMTPQ9KRA/clT4wx4JruhPs/D3Q7YBKx7m0/JKWd2fYyxxF0KP9e2HgHzb37Y
a1tDg+gZanNvAJ7bbzC9wHUOSd29jUwbmcbSCceBm4QQyblVaRgftgiNnT5A/2xgMkY8jpim+Tgt
EsfkVAAt1AAbqiv4od5MEvUjmKLuIOu1ihmNMktIZu5o3Y4nCFovTCoHPG2gSWdGqT3TSsso4Jbo
xz3yrPFANodzSjfs5A/KKbhTYgSfEc77jQsItYbUQMoDOGoVtwfo8qvYoJDENI5U2T9jqqebO96X
vfogegognmhTjzcF5pazGabuM48xMWS19UVmPjhnHbRWw4Pb6s8E1xKUq+M3zYEes56UQhZ/wudT
BxSL5i4vTZpwZx5sOpNh85kRCxPxG0sx92Lwsb1N3SfCgbuEO+Cv8pkyC+31FUBTtEUaMW4Y+Z9x
P5BemOm0Bd2ZKzKQ5caa2bV1xyy4dzBHuDPZtugFnSnmIZuZty3wW567TVk17XnCPULumUOZN7Ny
AS9cKTMdzthqkr2Zm8UJbLWLCj5Tdqn3uMtm8i7K+JpuggS0OwHySEGwoG8AVi/xTMq3TE3YX00o
YPl2RvU96xEDs8wtN5hYS67XKHBWbvKnMxcc+1+6rRVg9qXozPF1wBbUEOkfzWdv7MA64YrXXxIn
aZ/q1sbcVCRp+h29U982Fh3ELDp9/KgM6QDKcwRTzYxATipcLps2NLbetyj8xRSyqGtZQ3dEORbC
cxbQTkNYxadgRo3WJCf2Ru7f9yp4qYus2VVAjbUkDk9FV3xEU3CtNEYmyt2ZwbYy+2gpR9IRy0a3
27suD/f1EH1nnV2VPqOdXr81W/JkxeDf6TrbSkmmiJmUviFtNKyUXn1Y0x2sT7wGfI1hVC851ty7
htbmymVxUBIgA19RPlayx71Zh9VHUGnhwtWaW98dmYr4/b6n6G8nHArjacB9oOcKNrvGw55l3tyn
BvmtploIBzQPZjBq6YJeLirNJ2CgsdQQ0WpvOxRlTHIet3zuRYexc+1tXVIdY6NeLtPAKlehUZQc
26rgJekNisedacVEvd/C+iiuPfaSDEP1CogUajz52HPb9s6tmJx7b1TxwTTTYWGF/4+9M1mOG0mz
9au03T3SMA+LexeBmCM4z9zASFF0zDPcATz9/SCpqiRVZ1bXss3KrBaVmaIYZCDc/+Gc7/gEeBJV
xT7qcqz4NTveXdfMQ9hpKt1rLmOivnA2eEaA2WMM2HeNtR5ZWfsg1wge0T9yT+AYzYw7x7RfLSQJ
oUQ9srU7/16DBvNV9d4zd4p/N8zi898vK++rgv99Kwf/Xh5+K2/+8U9/WlP+XFL+v/9FRPMf/TnD
1T8vPNdf8/j3mfXSl/NFP/pyj/FzsEyeUZX+8G7/6Mtd5KFQg9glIdj+dWbt/+HTs6NXM6g89V+G
1j5SVJOvgjkEDwkZwr9Tdi728F9aOrSRVLc2vC/LdhZt628dVemQMhyY6KXaRSPfqKa/H1hsP8ey
l1fWqO4HrdVuS8RROHbzuEY+EoBaqQ2RrR2V5i9F1sq3tqmSQ5QFwwbVEfPCOWBwZ/f9NiHW62Z0
wYTx18erDlTjtYDE/DV13Xc1dO5azYG2afDV4TGAyVgT/HiPe4IAssbonixcuW+Vj9UO66ykksqy
a7BGtxm6wVMOa4izjdUyEZg6ozx4dyIOhnWQ9dVdVQXPo8bi01CCYzNrsG5pmtrpJXhI8EuEEXU1
/OapuSNtFTxQN1YrtmHBbQ0OcD0MfXNnF4TnElRXbIRCd+Av0q6EbJ8dHBT1ZE6js+/MKP8Moro8
E+IQv/tMwNnnd/37gCUXdZVZ7NIoopa0XVwXtrQ8vDzFiEqicSPjNWOrHro2NYmO0+usyIOcQnNm
TR1C1xxfLUwwNasphzKhQX/6UhlEqOoRuj4IugY82FY6F04vybyZ8BuTXJh3p7gxgHBa/lxLtskV
2tv/HAn/k72WBxXQNf/yRNhVbz+3oX//ih/HAVCGhf9oGHy46Tn/EXTAcstFEm16hrl8wO1lufWj
CzWc5aRgtcTQhRUXY7m/d6GGzUkBkYUu1OaNd+Gf/dZ1/lUX+k8LUl4Ypw3wQ9pFw/p9Smd6zJKp
IdQGDme1GlU8byP2WiGIlwX9ko7fsXh/2vX+fvosvwgdqoUPUgLY3+/751xgnGJcrTazDURytsWn
nNmeTUobvz+wf/qdTGs5yX6eQPK9HJ/ZFaedhWL/913Q4DLjJHsZDLahZ4SaOASgw6Y2Dvgx64ss
EvJimMlzyM0erlLTBh9uXsnrrhyzAyJipDNM2KjOJ4UgIwO+kuGxF+2TjXhQQYtAFue6wjgOutkB
9Z+dKOwMj7l9CnoHUfucj95KWdVXDcE7MpyM+pzzhN2HlzTGqbdb/TrJzQ4AdEIabQ/24WvvxtWm
8xWOZL/Lh0+60fgrElssUiX0yyrK52vSgbADghQSu4ZqhHq/lzepO2unRg90STrMwLYtiwNeCkk4
0ZOP7gmnFBG0MJIEdQW7jclD4C00b1fPFkcKgkitYcOixLjqbESvK8uT7WeRau3R69yDJ3geDJTc
G80rz+Xk3gPLzup1llrRcRbafIIHV17TlJ/HGHw7va0MUa0/a0WMT1U3b0DDoQB3vPPEIm2VBGa8
avAZh1agteeJiybEy0QCLnR1nMlBHq81l8oyge6wMYiaPOLre06CAWnpCDtsapJq5XoQ8EbpXfbk
6W7zDlZGnBGWi7F542jBBpHztMuYLhvUiJ2p3U6NXDsGwkvXQF/NXMhe50VwMDGuhRnajzBqGewh
TfosU6JikBLzf1BqeDrboi7HXi1zr1xVcaevXZtvbroFYCRfv1EDw8IBi2FolOJNmNlFUXJhLjNl
Bex8ZXSUjHap7QCm3lRZu/aX32hGkOQaK/UdLHIR6qP54QxYODLv0FSERuZkfuqwvVdoXerQ7Kwb
KAqIzQvjI3WLrZXpDZrMfoeQ4lM33WyToeNDBfhJHvWlZaWfuPTPRS+OAoIGnLiICLq4uROIfRER
cmnJUxxlu97SznHeJpsaeDQyQ5+M2ibC3nFOLVvpJIdE3VXTowLVqudSpqjrLZsaV+UnPRi/ukOd
svNmy5sVvHntiF4sEAH9GAKXzWAh45r9ErlmgM1qsP1Lc4rFpRWN73HUPY3IrlEnqwXyBEPFjbT7
yBLnKfX0EEsavbYGPcL0qvWUAVseXYHzNquIOTafMwSvBOai6Yn4drlK3iPACmnJxi9HxxUiHye1
kjipQudbu8rUDl1FD9LiyAx5Y2/iYgrCqFIA3PK8A3PFBxUn53zfax2zoM67Vzo/acnUW9LarGz6
GNIWqu9z9v/sw/7FoJdzipyevyi2r4eP4Uv8tW2nn2/YH1/2/X71Te5XKlk0HQ5ywW+36I9y2/nD
Yf6LV+v7Ouvn+9VlNLzU1CZleuCbC+v3x5TXYHmGmgRjmUVZ75Ae++/cr4ue6pc7iMfMp1tDx8j6
Ar33r9W2wydKH+qhYUTjvEQj7Z+PrlSIwQvzBdECIodM3MA749788tNv6vr7N/kvcpOvq6Tsu//7
f/7pav/tW/+2uzFTg1BYvSOohjgfquSlnE9xXWbRu2oYKv31dzOXn+TnnxSGFQXEIpPWCW4iYPDX
nzSNZOr2djltJQkoR9FEfRjgKFpzmmRb8oOfdVJMdrzTzSbPB38TeJJ0v1p31tIdnmWFhNKexSOj
5mtylC6cdAQehyKg16OnpolMflU9c7MqPRlW2X3/AP5pscBo/59ePsUWhRXbWQcQsb28kT8tmswW
tokrG2bfdBJ7j8OTzEacX+gx7UWMSyCqQuW4njFVXXMLJXc2YAETCt9agqxgTtw8ZzPziNTXXzS7
PMeWvcM78i48yWCzSA49eloqLP6sWVDKl/48r4Tyd24VE57qT81BNKZ+r5U6GTMR26mKmKBJCmbB
N1Olhym4HenEt7aT7sWk3rsM4oKKoesV6zHCdSyS7MaLs9s6n+7s5mMiUmhFWfU6khyx84htXyO2
9i4q8DXcRzUgD39YTK0uE9uOgaXj88OMpfVoQ8vZmbkp7t1Mvym1HNtZwHe2GpmfTTFOb2nRe7sq
QPM0xj3qyhQBid2UaDjpb9s1YFzSKAFmrOxcNXvdy5BGemj4HcixRxvU/xmQyAwsMO2ulYzsPcbl
8th3lf8KQ8QLRZlUV77DTG8IFtMi5qxXfC3BxlGx+V47s/xaDz2hpcZJmbG6VPpM6IjO9HHLeK3a
ogqbjyUpICvdnUNblsaWXUP9Qf7yRyIq96Bwb5CS2ShGLcaNtrSF1RQfI7y7iR8fGzt4ENJF8spb
42CU3xsdX1CnEc4PVipUDV1zgWof1FR178G7+Re0dZMD6JePExtzvDf06DyS+I4WEdvPzyOXjEFg
5ETmWJ6XgmilmXjFuulZt5Y++qkFbn2fJOZ4nuNBe40xemML9BturQSNELOGh9GUCIPwealh8L+O
BHzeUTHku87Bm+9CTLuNYRc8dc0w4EiI9P8Mkf6nSkgujiWa7s+HSIv+MUcI+fOt9n34tHzdj/Wl
84dp0jMyWvIAxPDI/k37GCx0QNO1GSIhMEJbyx36t/WlC+d6GesE2B6XppJT/2/rS+cPRP/cdjAF
XR4q0/t3Ljbb+LW9WtaXQLgtj7+PToeR1m9XW5ZRXVndLA6+EPllbbeVPBAt0l1iRSwB1uqElBgK
gbNJmjXoH1hI0seINmpiA4jrwZWdts0tyFDSS0nQ7jsD0phIdGKKAkwzdiJe+mgAYpdUwrl2Sz09
9ayA6LCI+F22QrVrwP2K/PxiEksQaoPzKGKk09Lt7rEFYRMxOg7fyblvW6JRBlxxV0xe/XRN5FV0
Xysqwl3gkHxNoM/coIkv+YuxncYwb11iJHflHEdc2kkkx50OUiOlp7CrF82I8bwimMI9OhvlA14f
/6UzxZEeYd5qpn87eAv+pS/DyXLXdYnxoOm9cp3oubtDvHfWyMjdT8uqbRgs5k/9Oa7bu6j1yI6p
9H4lR4dsaOT9M/jiTUae0oqQ0Tn0VDqFRlyccC3JU9RWZy+p+RUlE9u+TmwV9t8wHWB6YBEix25Z
DsbSUcdSKnuriYXOR747BKAUjX5AlKqb6MFL1MoGDOKyZRz9arpMkra4jO0pOif54KzHJZ1dL85V
nblrJyOPotHH/G20He8iZVeyGjt/lzouosQZS3NhBmGmEZpiF8E6bwNEKwN2jnCCSKIyW97I1iGp
3rTaNZSI/M5vCEBorOxpyOIj4ApUhHhR9qZFTpljF++9jG4GrjK3LKxN2kefhTWyLK+K4FpIbCVp
7FUvXmKAr8oCVm0mFN85HS9g2iW44l2JtsafwcwGuXHF/plG2pQsPCImD8WYbNTcbpWW7QmLW646
RfQw/tKoPMAnqkIMEHx91l+nZRRmifOu1AOQaLnT4iidV2rGQ51mps74UtxHs5ivqqSotpVlis1M
Ut+qk/21H5tMKfvaOqcTKPHEyi7tEnIK5/ZakwKdUNno4ZhinarNab5kTc9W7yJuhiNJMzb5yqrQ
8YmVnz1mMOi76dbA+kmMz6qc0nvi2MRxGAIavLpesdgUa21mzzANN5rpyI3AM/owJLNzMKW3rbD2
ARejl8aoDGCnEvFdWbTcB5IOiu2y6Ox8O47s9cE95xcB++TIkK/fNi8TJteQSLZ05/d2BLDX5y+F
CXYPw+TWysitWhmAABh5xhMQOFa/q67r612vpeJqdC8iNT02vtbu5tQtr+HAaGEvST7C6Od3iENL
/yXTbFSf0yUpSVPYD8ipU9WeyQC7xRZ9r4RqT7xrqR5n2wrHS1be6Xi/OEcCLINenYcT/PhNDxI4
gf7C44/OU+rgXdBWzXK6qJrpMHb6wzRkPoRKELrg8m5Fmx4anUS7vNYfgOjhuJuo3UZUFB0x0NBc
CugEO0Aiq9Ix3mzi10963s1h7J0LAJBZfpzt+VDMpCSbAwda37gvstX580kFBI6UvLvALbeCDEeN
T6xLhztBvC9DPWrpmbs5cPiosx/otn6QsaQzHS9VWy8hgAiF1+guMY1WO+0LOy7kZemlUBKcxkHD
AMJsXpsBkJ69oYIoXRzfon5iuNjyYXIy4gmJ/s76fSVY15+JYGLQU3UJpebQ+5BkrLycFEdoQiOt
E/hpQzeJycAKsBuJTTE7Mw+LA7YgBNACXLguU3BwTW9dWZjkLnwxMvXXPGO7oFQ3aECM225uMTVa
3wIY0aLk+UZjma3gRFfBqspqMPwALpAFfwtwhIEYa5vhW7AjaOwBW7WU+vOc57i+0WUb3BPgDoNw
bNmZn1urN29hxPJ7KZsbL5rmcE5ThZtvqsPeLPcw+PRt6vUPvTy7s9WgF9QvsKjUFzbJoGgltCic
EthfECiiUPcY9xkRqq86EHgdK1A0lk0Bq8v0lXB4BWpRfTFKi0q9tVB1TOZ1pDfqsuo5b92ufU+8
97zRgiMaP6YY3mSiEMdkblUNXFeyMz0yNJGh36YVxPaRdE14atE+Ljzgq0WLkKyxvVMPcGafV1GB
d8s6RgR0VktSp5sY1lnjidzoc/0lX2I8eY/EKl2iPdtYXfOQPcxL4qdjq/jQDbNkG1rNpzTrkaYr
APqGr5PsaDTTZ1AZmLAGUQEJ677LHr5JIL7VM/8ZafyLkYaxyMn+qvS7ePuIp7f/um7fPr528S8F
4Pcv/ftYA/iLzVBeJ7hH9xZ/y4+xhr0kJ+uYWL7ZXpbO4B/FHwYRg+LPZrjOcoAX8rfiz/gDGaWJ
6s1ly7hkqvw7xR/Jyr+K1zy6Isb4QM9M9gb/nTATeu04Z3O3HfMhttdEMsU7o2vjK0JW9cfY6Y0n
n7y9PGxnLz8n1qSMo1/WkAhVkt6VtpmA4pUo0ho12R/Mkol1KPug3kUVA8FzVA5D/MhOAmWlplX+
o4xSrCy1aa5HDX1Dp8MQsa3xwXMqjC/xIK/qUn9EH7zIt0p1n7DmvBfA0j+AgliEcBTo4OzaP7rE
uh5aUQzXRTYy88NfNFYhdVvBdiDWZg6PiXvZmRCDln05n1DGKk69wcckOERyWqUJe4Kj2Ta3JUfy
fCuDrrIObjwXd7Xuz1hFk1beFQblCReCMpAi6LlNroptxvJgilw2K0tG9QeEg2FaTU0Z5ehDiPQ6
Q2gLAsh7pgcYWdlmezNNWf1hI+dJdiIYM/moGSL4qOZ5fJ8NVZGj3gZNQUyxxYojVZq7TYKgJQAQ
u0Bx5fheqY6z5shPAh776nKMi+Y1R6VyX7kmvtg28m9Me3J2QEMOgKYtjfyWuNZ3Ve6774hGbXmw
XNSjDIRbBEx57AKuiUeUP65sKyihJGWEkWFnS/Kgfm93VfIyQCP94I4jZVDvvMvCI06SpUbTb6JY
CTt0ilqd2Ir1uxIfIFIZp4V7wvDFCHuHoIq8ayREhqSe947MMIAQpXG2cq3IXmcejltc/wxmer3U
jwQ3EHum5SYmHoHWr47YObNEJ7i+HrAhk+QSrwcL5bJjZ+YCw1TeN4j02S6zLwNbWSwYKI7wf1dD
SMpYeud3UMc6yKdLcA3Xox+5xHrOBv5Ye8HrV2NE2M5gIX4p/Ccb03ceGoAMrde4xr2RYC4KvWF8
twwwzXietH06IvsJEG3uWFj38bpHc3Zy++K2tlJ8uWUbnx1ncm6w5wcvbZsnF0IRpIpAfo53tA3+
l7YwXRY9upY/y3YcmOuYzoj/KBGjCJl0Ag0eoBFlyOjykaIgpnI6kqyCes2fSRydctGdMaSziC7L
Wz8ltC2pDLvZ2Sz7VrUV3Oe2LV9a26MYqSXPe6B8Jw6RaGX+dnG5Wns9KuY3pyBE7GnQqxhOGumG
+aokqBW9kaEpddC9HiGaYquGl7ZAaHfAggDfqQ5k/NypBKd5YYh+qY09iNdssLRgHWeqUSGyBSve
2hmYxTDWlEGiXWJ40Bhb98WakZqj9ROeFu2Y0dtPtmU32iXJEHG7RSlFxsOIVQIoDqTQCQmlshzg
xuPE7mLkjca3XToZn3VTlOOljUZouIgkWzbgNKle3CUBf+o29lWGicuLDPUECxyIA8yIbNySf45i
MVEQ48JyChAf1TProD5O+nuSX50D61rR3GVdNfmbROuD9KvCxH2WedXxwXYgSuLyNfLHlhdqhijz
sq+56gMs/FHU1qs6a8CCCNhFHQ/SDJm3ozzOw5K4eblmjfjZBimLHtdSYhOlddYdeDJHGgVyZUmb
au2bViblZVk6zoerjfj8sCsGyXFAs/puBXmrgYrKmnWEvhK3Gv+JQ2I0H0rXNh4aG68gHC7D3uaZ
LfaOXjcijP3aC4loaQAaGGjc1kC5CSrFmw0ykgPS68IhxYwW8iOCRUnqiBUp46RilY8ZeAAs/epF
ytK/kAjoniovnWj4HDVdDsrMjrilA/zlNUE/nEOAAMYuUHvX6NWFJP4dkaWfU36ncbBNNXe8cUay
6O24NG8xn4HlUL3DvgyIe3WIGhNSfp2PcLSbKTn1PWgOB/z4vVGa1lOBfX5LKtS0mhG4HgY2aT1w
EIdJBBw1HcMHUkFLM8d0Sc5dAJ3+POx0hMNnSNZaWGqdxd4XiPAqxt+OGqwa3nSiil8TZdh4w43s
4A4y3eqtjG65LRN/17BhvK+MdHxnZG1/oDVX96ot1FY65V3AsTSuVEPFvolldQeNZ0QwPMdAURrm
4Tvf8MQeHhRUkU46O1myigQj1UsrdNKARG+f2MqWZFb3RWCba9ZIH7sTifb+Z4AOGrlgZdNRBEuY
Ul+8AtPUxLpydFPtdXOwNuC3/DUkq2pfFLLasPBUlw7qM4YFFWvI7WTwAwNjNL7WVaKdaZJBA5il
MOrzVFhzve7auXpocpWTCzOSTbsqJaic2h7kicwWmqmKlQjaFDjcr46m2TdymBbYVRZclW22EKJd
/wtXcwt2RnQvqQR7tULPXR/rMROnwihSXsvEQeVYY3tboAuvVnS9wRWvpX8tVKA/ZkYHO2VQ1Xxr
emhWE2eqeyD23hb81le8T/kDAKB0o6Ii6S9598oXHU/jenR6bYcVx9lVpp2uk6r+kN48X8fB7F9S
uSAqJ/rneTJyUlgD5JCHsqKhLY2hpTOrJJ83b7TWhp64N3oNgm4FE2e6MQZtru+gWGpH067aV1AE
PGAC+ScWvKopfPSNyGpXvotMyGWl8AqyX96MeeBaBycus+dKCSGuJrsnbl1P7fK9Ul3/hRAHlkTI
lFrt2HXRxLyCNDHSH4T07uD/MiC3nNw71n4P+z+C2gTLOHY0YFZCcJjpmuex7mSDFDpmw3/Mot65
sVOzgvkCE2aBURqPo9YR2wX7b65CvrpY1xRmTJOdMdlNs+o/nSqoMENK/hnmxvDpqF4eULHXZ+WS
oeZoSX2TVRXE6o5Yznjt5DJ9yMum3MWg+0+ISvWdjob7GLQefxHb+PwpNXJ2/oHbcdlM/HJIasgk
r1DG/McANk4AMrvocMpCaXhroEDYm2a0prdk0qIvfTeSoNZ1EmGu8O2GHn2c4uza0Jz2xBvPutfk
y8uwKehUUXp25VWT+fMthWkMLENApLETBulr4E0zD6sWiZ0ZpNUrhtyCzxtO3+2ozYkBwEnWq95p
6pey6lnwJFNbvmW4j042FoA3axg6hoItogbf1qKTqBpi0mvDyQ4eL2kjODOnZStUPfXIu7/A/4Uf
a1XeAlVypPaN/3Ibg2k7t11d3iOa57W1bcWMzic6nLVT0sFZm4W1MW2BXi4xp3XbekS0U+xUTHv0
SDxEDL84d5CS2Z0ZwHspFvdCS6gVWokqxeUMDLB5ZSDCVeMTxH0FOAP5Qz2Mw1vfV87Gi9MObDCW
qCsLqClU82/GiXiydR3YF06mvjUGmw2mPj+IuQ/ug6bOSIbjL7skfFDfl0te53r0RvuZubWM77Jx
CK4ZCFn5hgPG/+ipLfvVOOrEI3XczNclRJZjTMPLiKTo/T2YKA2aIvQZAr/4ne31JJA7kjnsbuUY
rUf2Rgqq1i+Veedy66xrVwyP8dwnkGFN/1pNYskZwVpzg6rHkVs9mB02+QRWMyAgQIRUcSmgo7tB
cpXK2aXIwx175VhN9oUAPOsWTUrBTWQxElslmoM0QTraBydeuuV+drfm5KdfvQmgFKWQ8xCMtNNb
wmfcW31Q7msF/DsJg9hiBtCYLYk2E8ERsVt5L5kn5+tCb7V3sIvpnT7FQMnNri9OJaE0nyg1k/o8
i67CRwMr/QOJRf84q5Hgkhnpo0cKRLImPw2fgu5h0GFM3k7TOik5hfYwudw9RgrtwRUTOvS8q7ud
3jv9qYhbQgGmRNfDxiGWy5iGFjK/SeKpnhUqBg4NKXH2o34DZ5F5mzd5uF/YWI5bEuVrUG2ZhxhT
JO1GlQIOsOh0lOPD86j3i5e/StZ4PAZeiNm8RhUUE66m+jjGln9I2npJ0BH2TaLIIXQmUwjomqCX
dA4vJtrxIz5ldBWtiQO9J4zc7ILPyrP3nWu1h1FEYtP4fb61tXjckfIFKCmZoq+RVndXQHw4/6YA
mXc70h1qvb2rih5uIiWCvTZHiYQ/qKrrsXTiQ5PW3daYtJJVnspOjfCGLyrr6xvyVSIfBhWlEYKt
6t7m7tu6vur2Kg8Ea0cGf1UQ3ybEfkHl5IVOswefHEjhypNVdKodmezqAHbPKIbuPJjQwxwyHtYq
URhH3P5gkIeer7iJsw2p8f1HxqoUyZ3K/QNYdv81bUwGtmXj9kfFAxKSLdqe2gawqF1l5Nl3mXyb
/eZjrjVqq9yOluuUbqwmZvPgTm17nDRz3tECCViFMV1tAsf9gjCAchOzKAybUpOrVkhzyyzRvekL
ndFuM47tyW2y/gykuz5MWt2ka99p9StndjAnaKnL+Cq657G/ccF2yXF4tGZlX9uoTsHG5XNIWEe9
wsMTgLLqZBgQEkLjNqcMrjVY9mE6DfljZY3AzgVMALpPd+CCbR5cvR/fcIaN16QwLZEmbp9eTLPr
7V1T2Qd8loG1wzhjc7yl4/yCRPMqq7v2KitsZgRdvx8Mq6UCHIhD03NreKXqBOKZOc5zN1XyvZ67
iyLOm1OHe23dGAs/Dz63eDeDSH8XlBukJxBvyAAWymyPgA27UneZQoa4I0mGe84nC0/QKm+bHJsD
j6jmMNstzMvKJQmi96jNJ7YC0LlzrQc95zvH3sDkURYDWamT1b2DYhXMQ73x5ASRuouEk9Pn9PpW
sVzbt65rby3NcJ98rC3ZqqwFgAzZSswKVCPXOU9js4EXDhGrGoxi05DOJxmcDmXP6hrzgaOMJg5d
uja6Yc2qX/uC4mkda4P89PKo9+49gRgrNMyypDPpzZhxfp18tKamgLzmxbhP56R8HQUzXRwVJhw+
T0trcV2ktf4YJbKi/M5QoKSW+WrGmnvFpt/46FKNlQcmCJxuNe/DYaC72bpeTiPhzWPyiPIaN5fm
12ZyR9xPyVIJY9OmFm5PAknezM8yrp2DxwToMOKgpV8YrfLayHITuwkDkjfhaMZGYiyGbi4XW4Rl
9wupo8T9aJAmAjtJ2iH3S30HqLR/M/OEA6Azir3pJK9tWmFyY+tQbvIBFR5ZB2j4uCKNtRtVzn3j
Tf2+K2fLvBDjBKfTIn+i3ZidOXsIvQtL21oIyXvcv0XpP6ZNYuq7mlvTQo+eLyUjAFlVbxPVpvwi
4D3NiMX0uVulMtA/a5KTLv3Zjp70sQCsH0NlGPhjXvqclEl7ZIIDxcVPGxzKZj3mR81LreKecJ75
ruwN6Z4LZBXdqSKna1zP8VRsAEmpcGIqgVjPewmKpgg2De3bDm605XEiJTphi4YzX9B0tmRgcGNt
lUqQiAgQGrRm2n3tR/6Z1DMghEFK4uZAfBkfuaS95Mh37VNDvOKVEVn2lzwd/CcmMzoS0a6ikq6d
XQmZ7dIJ6uYLQSxQPpNAWOexGYytEcT5R6ph1tk3PrJJxg+ECqyM2UIxlxFb5FDxMTBAam+2ALpq
xc6LiGh1kWbEc9IWDuy/kpyw3hWMt56YyK5EwA4mA0O51VWefsrjga1gYo983DsUmUQOASYkBJFO
LN0W3uSz+/OkvoYO2Xuh3dbDsxU1S6ncVS13Tpfn9xnjQBIQmVhelbQv/NsClBfxJjyYK+7pzD02
TmG/Ca0jaHGIIbVlRCRR4XBFTZ6j4dSMi/Gogtp9Zz9TP7mF4T/PbkkMp2hj7bryWWiHnW37HRrJ
biJoq6eEZYfaHqjE8y1q5wyi8DTASS7Y+JEnjAvVJ+vGF692M9W70h3cyzwi2o2mq/C1Lcxpb+0k
vvMFuWtErqWZZyfXztH4JtQ8z2mnQcg33IEFbuNa14WjW/u8WKI7SUjJb9HvNOBKF5dtTFyWDE0W
XgAWWrc8E/IDIQjTJh+SAjxcvZFF1Ta7iBgNlEcKbFl9SIM2GtjMGEQySw85JMyj8UW6NFj8JH73
OEwe3G93GFnbKw+wYWgCL62JYZ0YoMmMKnnIY+Pe9/Apsvv3XeqETFgnt0O8BAFTpm/AhGfmFgk2
iS3+TtL8Cmn37TEAk/uUEl1hrXk8XX8Nl3nBBtv6KJ6TpO92RWm6RDZPXkLygVXumNbmH2VTmBcw
zAOIldlgDUt0VeteJYPoH5vASZ8apZOGN8Dc48ecwRqzsPYAT5OSSkAmagXkSFMESbNvF1ENDpng
vkhauvnR5PiZXCN9jybVMwdBRmSeOScAr+K0BBuIMqswDv4IYJDwwkBaIGXlMK8TQqi+tM7QPuSu
iR4hS9jRrzKTkR4R0t6Ew9tl9kgvANkhG1pkWlVlWOKNwCHvNJrQCPnYpf5lOiYEvnmcnxzYkL4x
znH+z2jEycJZO2U/Iy8sDQY2bjwsCrVE1pcp4QOKIW02vrhRGq0hRA8vfJJa89zq+rATteiGc62b
7DyVhqBxrVmd+IiMJI23o7nks0SLAxn4RsO5MpZjXjyklrSP+E1mOODYZ9yQfa6Dspzci53twl/U
zM6pWErr0xkqIltRukhNhHW7rBXnvMrTjRkn840Ju7Xe+VRGLS1T0K0bnc/8RiZ2dKFwnKuw7dN5
0+iprlaKyEkOVD3o7RWnqiWBnI9brVL6cJ6Ug2ZLa7hlwOEQ8BUmrc4wCXkf58AcB/5lN5Pvtsq5
2WjBXFhO2KGxAwLHQxhd+cS3rHQlGBZNFS+YdLguuuiG0om2eWF8wrj0b1ufVWcCT95d2VpFYLIe
Y2jiY5zXOVpikpo3HcemWLl9o92QaTT7j2YyTxvhyoQGJu3xDClDalvaejv5tFFOvuYUZMShJ2Zy
yxQXKgiFa7OOlZfcZrk/7T2fBcI2zkbvsU6G+gQ5cBFMxlTSpV+n13mTP9eaFW2qxPMIS+MSgbVv
9ivRoKBYD2NUvrHQ0T6qpJ7uCb0cyMEmnZLSlGN3IqKMDQ4kK9Jn6CFHf9+oZZadyeALxVz7rqd+
8TDrI5tx9qPdhmYtPmrwypAJVMtPhFzHImrQNTlUccQaGvo6phbWdmSgcGKkY4ep5QzXnT6hhtCK
yjJYXat5b/Hg3vaNqm+jeeQTkCJ4WZMqgzkXSgILntnvISGYxojRaai3aG58sZ0V3uyw0DomUUZN
/sg2spGbkwbMhcrHSFrMLZNYER5mEIGynWdDzueaiGAXeRDS3yPTTB8xUWYah36K7+IGyiyTxOlN
R3Tz/9k7s93IsXNLv4qv+o7G5rRJou8iGPOgWSnphpCUEueZm9PTn49ZdWyXYbvbQDdwDnBuCjaq
UilFKDb/vf61vgVvv/QrkVCkWM/ZAObDqrkJ1MYLM9lo82xLIvmQcjWBP5AS46fINHxsDN19ZBYN
F0w2jM21YBWlMbbV9Q82/uU3/i1mUbNBB8DwIPIvvC5uunbNpXhLjoj9MNJBegGXW1k5Bz0TZSPz
3f/sZ/9v8lw60u6/tObt35vpvfhDouv3P/N7nsv5M243IVjGkND629Jex6JNBECI0PkrfqU4/7KZ
NcWfXdp6YeTB+cCj7rC0/c/NrPNnaYIQ/MVy8pZ/82/EuWzn7w3nOrtaE0Wev0W4RMcWX+nf+JhT
3YgMVNgC/ILm3oD2GZwtRYT5tsAe8cIArl5tt8oOhczoziFmTc/eaJkbkdb9vgHCfUiqpkNb5Gv4
GPO851K55osxFM6VGLX1FOMehWgrzANqcPKBRGxeVROOh4J/7mWOX5G8j0ePV6131s90nA0WGrXq
ruS+jEfLSSjXgeVffE9TZVwaV2aPRqYvNhBhHJfGwFu0ItKYNLP6XSRzGg1cztEqSJ5zLMHHRnMp
Ea+i5MIeEHIonV1M5v0a7gltPD10AciMxHMcMlg2Z8baROM8sM+Ecx0i42EmLsOrFzMqxG1c+taY
Zr5Zq3RjgreF5tY4uO+S7qp01/O9AFpTZFerKZbibFlWdSFTph3HTFhbJKD+ahm9te3x2j/0nei4
S7JESBxZXGvDag/A6wBvs9C8zwoqo/CECEzRgqeXsq+BarKrrMd+V6OUveqNhdVFK3qqwAyLR2ed
3mSZ2eztpWysaxasn+rmdy+32CvFCSn7rFS+gQ6E3w0kFoUmVKLiC33iYfpdFB0w/aLD1LMe83R4
5c4dPndL1nciefPoYa780rEsOSvLXXKjpNJQTCcM2PFBCpW3W/wx4jX/FUW1fsVS3dkZ35IJtNc2
5bl1W7g9FkGevicPhWbTVKB1qXub3Rhh1fP8qckmQMSaiSStWRnQv0rNxRnHUf6tL2HaoNdxzolS
pzqqLYszGBuN0hq7fsgm3herzgX2S+d7GpPijuO6PGqjNC9pFoZ+rhXdjzGRIctlT/1AFIufackL
/bbW7lmYVqekH4xvbWRcyUWCcsPKSpXgtabxjpj+zwjtxcaYfqkaNir96AQnIzNtXw3F0niZgPCg
MN2kYsvhCnTpSduh1LpQk+d2Oo7k6W7yytuVWvo04lCKVoMT9uceYsp7wzy7n2gP2IcYys/NhN/e
BtCFfT7A2d8SqTZnU95hRC9vhm6YtpOU45F8ov0amY10N+ncay8O283nsMrSQ5EOw1vuSfHOHneE
u7W4GFvXPQ1m3fqxN/iptO/iUa/vge/na09xjU7Mun62RzPaNaUyX6u+Cg+z6tmGcSV19FWJzehi
5ZQ9+/yn1TVsMSRTCYraY/L8XLN4rW5YA9Bb6FbVj4AUKcivXKg9M6+GEAl1cJuwAgp6MVEIk2P7
CjV2vFTI5OaNYdp0ZY3MGAtHnjh1b+jDs8xj50gF5+Q7s1Ze8CXQG90lxk08u+2lYu256UgVHNve
aSClU66JmFpV8sJyKYapntE7GADn+nIhEn0R86wvBlsZvKR5DUHeBlyEzFZUtV+0LV3GgxTDE2n3
ouaW5AoWq7ZKHZxtuufjE6RMMzAT+1SbHqsLVRCuNgp6fsrMFFsV1JyDpQNJGmBP4bpLbKzacAnv
4+1M/PBKY1I901rjmK8s4pd9z7iMlIunYeZeHmq0L7EqoWgvpu7p2MxDdO4AGr2YwDpyuvVChXGu
L362NLyOFPaFxpvV2KONINRGr2MJZm/xxqKIO0XicGlBk3JemaWwdkWaSQOQoIUwrfXhpRYG9xZ2
u6ZkhC+nA+0mdrHrctfUCXfG2kdYjmQ7O7tyXhSbHmI4mdvcCjA5F7OclkMblhkHI1zKeI2EN26V
0U9q5xpixPZoeNqrjEag2Wk5spJnYByx2UonF3vCCFWzNoVWX4csqaPNOHYmnVKGjvS+UC+a3UR9
L5K4YZcPsewpYRtYOWkrOt3aD9HMXNaUkjI6xb1tdA8V5LmT08z5VuUVbREON3LcN3WOrTRMKaez
jJS6gSaEP5BT/wEBRA0WDsp2igjFaqD+BVmHlPuqnlD4bKKecXfWj0A35EHXO+5QLWD070aTxQ+u
Wy3Dfztla8Oi1ZKagDq7j1Mn+KEGr71knvVdT1rzbsfePWUngFlQSS3KBbNSbpXA7KNsNb5Nbs/t
mmWofLOUaNnEUcN7EDJEM44d3N+hDlQzYBfl3oZpANdusnKd7ZrTDFsv8fgBGifqdmm23G4wEsqB
/pg8eaIIfTwxTYfPwopJS+GyaXHYi+U+JJvhC4efWpneMCKx4HDckHy2L1ratw7L02Ww73JlHzQt
43Pf8EF4qSiSfZw6mXI9dQw8AjrjJ+xECywRDdT9LtBD/UlR9XVJcxuBOtVEEm8KWSQvMGv4np2M
Xh5ptbBs5znGO93i3D+W9BL8oOw6tw7gZLFjBk6+CDmeicGhEa15TumPeNXMDPs+dRp8g3YfZj9r
rcf8M9bJfEWu5hPTodhx98/UiTNUfxd6N/0YhItoDgGMWnX2fJy9BbDFgS9NqrkcFYUMyXzX9jQo
riJ8mzvigdprjdZ5YnUjnvKi46GHu55FQuE9A1TSnkTlZXeYycLWH0a79yNyUhcMsVQ2lAGvLIdu
d5MEFkWPtJZ2z31vTR1LD7N809KyOpAypC6F2g7zAS+KS5dWlWofRd1NMxtf0WCP8QoszUbgMip4
qoNoFlVztdP6Htkx6Sbk3wS0Vb0DyiVeurxRD2Uhii8nslxKjoaA5pNmGpz7hJ6NcMuaj1dyccmu
urRMb71Ix2XdBcvFywrt4RR0ucklk4TrgE2FVhd3CPxmiH09mbMP3isKEufRrZ5ZMvMU6EnWQQyZ
71NErIogbol1Kqy5U9GvRqmy5qS0m7JAFs8Vmh1GKWU55z6age+OgYNfAci+p84OzWITyoXEBIDZ
pLsRdcrfPjhGG6MJRcFLIMeMcD2VLZR28qriYq2eFQVAdx3lG34G6hP4GKrcrU5JwmUel+S6cK32
Xuk0VgxuAGekE7D9obi5fOJBixziaJLnBJBDTdSr4owI8LDvtWTRJktdEQjvU+zis+iYaHWEF+oz
khtCo4FOEr4w3mfdKZ+12sO+ostWXGUz8op4WVqfhRh5hSqrivf6GLrvaZyZn6jvfFuhl3TPnj6S
cWmjKfJB0IefFEpme5kp7zkWcbmLZnr7Wq0zrimogUs2EVDxNS6AONoTe8+TtkqpmdQxcOWJmAjV
Ja13Drh8n0aro/qIXvYOn0IctW9DRoPRKiugKWeVl38FKjGPdqCFHzOeRdQjDORnbo3XCALUYZqR
In8Lef6Pqff/ZOpFRP+XCBB42++f0Xv2p39k6/3tD/9+e/T+LARgerAehuX+1iv517Qy7DtyVr+D
PbjZ/e7rNaHg2zaeX0ci8ZAF4wL7++2Ri6XpOFCy4Z0vmS7+1b9xfSQI9nexQ6JmAIiEbS2EIrgk
uI7/9vposMNhhO/cHW0ipJVQROtV69EcVWkTyn9nclyJyHseapvk6sL7zq2g80klBQeDjfdPHuPF
noeOQcSmu1G5l++svEvesgZYfTnLikZ2SPGfdScqurZrwH0s7a9a0I73rhdp21IViHM617CfXhFM
BExb556S8njYYMCzPoOszC0YdjLa9lq+nTx1iRMrOy2OaAZ3tq1YJQ6U+VlMJ4XYxpV3IxBU9hj7
1YsMa+9nCn6L/Uc0BbsGNsfWLHQMi4t18meI3vim7EAd5zYxfFuO3W5uy2hP5m6C6CjIyrL08PGP
XLwpdm/MjOq1CYfSvowIDdXwxFgNW4xDqp1vByh4Gw8hjpZFU067ICtIDJEyqp76uSy/8NfJSyc0
81i76hH+rPfDmFv31nQww64I7sCkkyVgUDcuW6BAHb4PTLTsgQguJf2OHpMR7c1IX1qa2ik1Grtj
kRqfTZD3lyCN4zMCJ9c4x20fsqqKDubUOmuN8lobtJgTw0oftR9GENI6H7fWOXTb4KMaOURJdNna
dz/J7pIz0ryUPJkuvOH8nKCHVkFdgDYX1hWUZVv4jmtjHeLBvwmE+w2fo/CZ4xBPs77Pj9jacLRw
btKWTrfOnLk0fpj0TvELb/FCaQXYJQOAx0ztceQq8YJcyANVsrjAR4IIp1J9uXYDqTPi2h9A8e3c
EPMjVdJw7Xobh044mMmJfPGzy4jNvkTPHy2REaTDCcHtODJfR+5ge2Xg5ewtJ7+JMzgu68aNhpWk
lWfVGEPuO0G7GVLH8A1mKiJ00Rfh7oDJrajsq673yUHV7oo3XQBkJBCHAc37aVdW+DT2OkHlwcyf
p9HIji6tT49DwYoHv4tXc+PVFFYeYdyhbghIe56GhbrEPsxmWVU/W6u98dgxr3UVVluIGsZ1Nqd8
mwxyvDJxs1OWuPdWhPWypwzoDWQ/uWQNc14zL9GFT2+BepvtqDxprlvdMzM7p5lu5O2Ep2BljsnP
GheNZBLcVZPjPFM4B4AkZyhuYG3bzUQq0k6j3chg9KS7k3eFOTezZcbKsBHBwPW2jpLw2pUivDVn
3UKdga/DpwwbH0z5ZuETErCyAzGt1ZToaye3i093TuGyeLZW7/FmWVsM+u5mbNJbiFefrT4e3TRI
1poYfEN02rYph0vem9XerWkVJM/6GNGYEOLlPGDkkimlClLz/yaA8Q9ICUte9g9ha049g7g1QVpb
pyXG/bvwf0Db41C2HAdcJuDS9HbJJruqiiLi17GoYEWXxhrC68Zsi5dszGCHlXXTXK1Zp3I6JKxw
6uZ++A5wR/skxbITSx8ud7GhpecyNIuXsqYDvHWG2KT7OrIw7HdkdrAJzOm99+vznP76bJsRhNsD
CU1LHnAVmcfBxqGwHnrTKjbK0tK3f/2jO0sg+A8/u24u+AxvQSQtoQ7xdyf+hGsGC1QodrodPnhZ
vsKlYj5o7vgmLAEnAL/B2nbC+uw0yqHnkfd46/ZjxW8D5h6HDbHd6KRgKVfkuhvAfTXswW8wUnwx
KYaPUT5OB6ce9haTH52VlKUaqnnDZb8tIyZe8JpHWAPuOk3jz5r+BRJjen47Krc56MKr/WzK1NHT
W8iKdZ7jP0v7erNQcQ9F35hyLVLRbXgdjXVA8Sw0Cdw4tjfmt8oZvDecN8Ub4b9+O8is+DDoBbza
4VRfMxa222iAsFN2g/NSUoV6kLkZ3E553N/zf51tM6v4JdHN6Dj2A5lLr3MJdErCEqqadyUu87Ph
DtMhjLBfrgarC+itMMKHCesMnjO8XGu+bfbyMHdhRnr6rhlsKDk8ZCn6BNvEM0hx3WuD5rkzWIqH
plc9M+J7fs0V55tCHIIJXZqe1JC0q7GyE8xGRBrWeCbsZ8CUxg1OEe3BbAdjHwYea/kZo+FXnZTj
s9RK+Ww7ZXEbBXVz66Z2fxTAfff01kXnoBbNHuXykDeu3/WRCzaX5XzttuQKHKUjkA3DcDcOeXrt
h0KBjs4IMESwFHhH1OgjAjYPWBVZ9xszg26pGx9WZQaPJQFpoDrZU9Ql2EwgZwwz4e45f8sFO39M
F915brBp0d88norQxe7gpuaWwTk+O+RumlUDSGVLQdUE3S93IUM1fXV2KhqL0RGqO/w3Tk3BfTjt
7XwBV1hmgY95UBuvn9NbhU3sIse58ymI5jIWmrjRILPdRcspktUB44pz0CTZpLK4mYzogU3Yil1X
vtPC6TK2IJoT1xnW0PYRaDiq2uXMCjHabIPlHDNDPbrLZ037dpcTrl/OOlLO63JojJXVx90KJ7C9
m38djOrXIclJYflqOTmb5Qx1m4hzBs/KzEEQCfw8y3k7LSfvuJzBjWGNx4J4T7SqjHp6KUgrbI1h
4kTXy/q+d+ryNAtdvdmIW36ZOQ6X88bACLE8GJLlGeEsTwscLx175uUZUodprO0dBKJ43f16BAmv
QiL3tKlDO9Rr53ESpX3TVvjL/HF5rqGZmXhgSj21d3RuN0etr6ptuzwnVZPM9NcsT1B8S+4HFUg0
+pAMxw8ljbg6UQ3dc4Z2eb0vg3TYBRHWkKU/jUf6LFre2ElrIx+KWL/F7I6DaW55i5xfU8O0DBAa
k8S8jBRQWxguCHUkRCIc24+WuUMwPgYe1Tcyj7oCicd1N4GmxlOOL8PPPG08BHaRr3AN5buK0QdK
V54cErXsQ5VLZE3vPWtdjKWCVpWl6cVmD3cwu7K7JGFu/IhKaV0pqHbvi4nOgFXTRu0Wqd37qufK
uB3R9D77TPW3cTvFT5pKuocAMan1Q6GcAwtmzdcCYit+jlzDZZNADZnfyLxKzVR72jHSCzPdFHNu
GBL8M4vZ25ze7WMVVPm1U/3SkUdJ+8fY9C8C/dP3XG0Rtkxhb/PA1Xcut2gcXvzgCbeGQ6Phl2F1
KvvHkO7BaVW1Np3X7CdvgYeYB0eO1gPWenk7Up21Jo/P70cel49VqcJ4RfNtdjC1OCEMHUfYbKIe
TgKuf7XOvDFpL7LCay3BBe8ZLAlOeLP6NMui4jWeU6zkEx80LEezLVZg8Zx6Feq8jNgy7F2Knyhi
sSrjoyMr9KbG1Y5e3Q97CIPjMXEQ4LBjN55f1TK8i0NNvOqjezuH3fjIVj5fj2S8dlQcxsdoRnPk
RXPlXTQZ6VtiSrwMQthsnpu8+8BNEr4Bh1mq3NmdemUKsFwGHyJugg3fkb3p8kJSCOjxy685Xcaj
XMR3i2FgVZi4p1YlG4EW4660bmN+jICuxbVN/MotKyogkvlLGBraZ1dCoONMNLVlSYyfK+7qjU3r
2EvZQkDqp1ZdbBP5I9RRk4cYu2iZOPPBMdjgr4aC1muXgX3DekYCHcAcL6xvwg0f01iacLspPaZy
qSywydEBP4uBobxI6vAe5X/acfIwWNN3+4wZxJcEVJ51qzJerFpX+15l1Y/BxuaCK635IiZt+thk
233fzW8F8QlTZnJpjrXlwbbKiyGHmwQFm6EfRJUaR7lJcXlj+MiitqTee/RM9ONSilODFHJwZcdz
N0jtI5qeuZ+7KtnojT29xhq/p4Ja59M4aMoHRh98Gk1s7UJJ6GyN+Z+xfi4wbwwjMIsxsn6S8wx2
nlVrW6lPxjlu8vhU4ROeTqrQynup9cZjxP1lXMfl2H315MZBYKeteyZfwGnThyZ50mpgMTEP5K0A
SOVbJ8El2pSscryE8BmfRII5vuM1kq/ax+9Z3Fvoh1VzNOIi5/PT8rP3WXAYlJucCn3o1i4/KHag
RMs2FteRm1S20b4gpb4ZvKzdVRgVuDiZ5gpIJDQBYCm72Obvx07hvORMgvEmmCfvknswsTBeAyrX
lfMGN0TfGX2c0BaspfiSsolPbTMJyTU0wnJYle0hydpXtnOX2RHfy9J70+uB/t71IOnZ2PJ4rB7b
1KGE1MAmeG+EzZTvhjiefybslGj2dp9ziIhrTfFsnw0KVIe+GXauqFvSISYkE4q5/ZgV5jNtpDVe
uomjuG76hiOp7/zQMqq7yglySCJ08ml+VmC/QJ6YH6GrQ39IhavWumOfRRqxN1wsJLdZURqXhCv7
iiiFvLBCMu7UEHfSx8blFjsSadoDVFDz1tSL4dtKPwKQBcUA1mBlhHMkbzQ5WfsmThmLtOKSo+5Z
opZ+02aBsyqyZCdjVXOKGNwxxlbzc/vnJAFXbpe0yLDSpgzjFqAa4ivBuRuQkRkIT53RX22hXtwU
c/495EHkfRS9ujCS78QOr2maF1u3qcSdYwf1K79fPLxYLN0MsxPiOywgl/U9+wAac2mP13jO7she
q1eCBcMTMQvzNRCp/UOySFp3orUOlHwnR54E0VlmgbZ2IzyiKsjyDVkyhookPHRNgryIqWtF+iK6
Y5Mr7ycRTG82sjC+2TA/NNhHIRpIa6lGs7O96zbA86vOGV+Q/eQaWVY316Wgjza07JyqUcBqFvIu
C2RKNgwV0LGnlbQJZ461xdee7K3S5iIbMclOWTBhrdLHPTOkwGILbxmB2RTBrZ0V1cH6RaXLlLXB
GRM9kcSMdz15ijUib713rcbbh6R3aGyNJ30VB0Jt+R4Mv6Z3cNNXXfJCi+2yQR3DcF3E+X1YcIiu
4BbM23554LoyYhmnp0+ZNlVQ+lu1SwO4HQ1hma1yqI7w8V48egjBm1lV5THhzAAGPWXVxo5Lh7hv
pg1ynRO7hdhYCA5syj2IvSg+WXwr5brzcv5E3+XU8QZAzaYibllB06ZdhYW5jzA77gIzb/22kxMf
lTjfFwYqd1dgsdfdNKFgruQ0GwbSqSGd48BCWA/rQXAp2FsUXvRhI8wkqTiEJX8iCk5NzrLJSEdz
o8oIFR8LZ+QQtQWbMh1R+OALNd4993IsmNTgEdAeYdVTWHKJUrz++dA7PjrBvIlHO+KaFDvczUkO
nCLXdngJAv1AjEz/yQaX6IHRFt9RMEDFGdz44JqTBgs/0CvY82zJSQ2mPwn5pa8FkI9sVadGcG9p
vXcpGLRvuat0Jyu21UFMEmWJva75nGgU9HVQW1/JmuZro8rKU6LBb4WpkuwrVi97YcbZzuqb+lxA
4du38bCuRjLDY0IU2LC8maVoou/4hJlPHde1W6gvxOfY5G7iHO0jwv6gixB8bZKeSsM+ju2e7mA4
b4X3iktkzeLQvTeK3kMgd5JnSXL+UKdZBuaodYm8YsIPhuQ2NOWgflO3/ykE0PhHV2Ebby7bYuEZ
AkbCH8TPISmMIAAwudOmqd3YViI/yUxIMNx24Xorwmvh2szG8DHE8ZuuGtZLpR9FlXaHl2b6wA9b
NZvMsqPNFCczu4VFr0TToXlWeULpcJtmC/7SL4VTSIUx0h0RCKdSusfYpn141XJD1Na/7vj/r1X7
/06cfrx54Mb+OV/t+J7n6k//6z2v/vefTu8tYaXmD6SN3/7875I8LFAXzZ35RrcsG9X7L6QNOGse
WrjrUEJmWwtq+y+SPDC1BfLv0j/LncpbQNb/KckDJAW1oSPlQx8lxPFvAUQtuZD+/grWpIPbQphZ
fi3/+NtY0CSqky2cd3nABlHDAqvjorCgL6i4h7dGv8jGCyihWZG9j+aVAlC9Yften6axDw5lGNbb
ifTPVS6NzmIaHR9H7bjP2O4BtAzQpyotpEBF2XrvMyiymQ/MdkkBT4ccwh0chmj6MS7TDrl+QYSP
oBmbwfpGV0b6I2wClgFOGe3yZV6itC89gf31DsU8MIQscxVt2M0ROcVasXWI391l/nIIrcc4bpex
DG6G7bvLrJYuU1s/UTaDs5RRblimuvLXgAcaxT3PKsRugpGk+wp/DYOoksZjt0yI3VTH06mu+/g0
Na5xroxR2wYwC3YT46WVzHTCuJKRE7cQIzgBZBBERkVWbJlOMzvtWV4zsdZJD62UVMgrS/Nkg35g
7vVlxiWOOD2qFFPgqQ3bwFwDp16mYgURjX1hbl+KBbUZGXSXlrAtTzbc0w8L/w6yR6VBetb0NfZY
ZvBlGieMmf5A56h+0Pal9mKZ2sF2js5akAQ+xst0P6NIdOuKreon5vWAsiVQLDvG4BSkRNTah0Hr
MSAYSaw9UmtCNnO2YCDtwCZ53wiy8z7Dd7fMLBoRLxFW71oFSZsTuqeZNe+6TSwy4QdzwleJSX+F
a2U23Qa7jLZfcjEbdru0gmdAQ6PlvzSlMaXUkynjHhk6/64H3gXfaMzqOSWVQXCDMGj4hDjoQlvu
DSwxS68WuojI2SVbqRve5KBpDkRXolubop21XjVBxNtdDgYvW1PiPVHRdBvQxsMxiFXK4ksatw3f
4rtKRlxBtoavr5hqm+uy1o3MU0O5DTC+GStu+c0hsrRpm0d68D1Vku+pxbmGFUiPPGR1flWiTTDU
xr0j2+Cd85gQG9tT/gE7Al0PN7cfkRhgEK/14hyQLfC7OGgemxjxilKFSo+3Clr92sDmcx9bWfiN
nTCi+qysWAHFOB3sUufmnDVNx6NqmLlVeG6m1D5xNfET7Wh6n7m/Ppn8tbZfYp3+plWCuq8otEv4
VnPeDivHdIXG56etglXVZ12PHk6wwYfOQFDEzYyy9MfetliN5H2wNTTS9rdY6CvSoX0TFnTKjDS/
1ZGKog3uHvvBjJ0UnFWl5dzVgaoaG0BQLs/rUYmvYapLao1inUxVPocNQ1wB4lwTgX3Up6WDRs88
D0P6+GkI9MJJL+1PureyvWC9cj+GpMDHJWQ16zXRwCxEVdHdanwmQBW+8zSND7ls0kM1BR26liLr
n8nOu3FSz2An1eb8rHNkmMv4w/s0Yu86McbyZLXBz8DjkJ6qNgNa7J71IBK1UWF57CvvC0q9nvpj
p7GFd+Log2zw8BEGSb+VdTBdZ+SQ27hoNYIcdn6beDbWgrAhJbCy9Mmi53kyucU7JlXKIDDKc8ab
hIesDN/4Ivk+iYS4bRMdd4nlES8kzMBsLM9zzz2DGkobs6mbnUn62W+uFeI4LxYdxWmpGl3jhAen
DllgjdMj7QlK6pireobAA2as8ojlrsp8l4kh9jvHCM5J4oz7CXoERUXopJuRtNbZbsldrxsNuh1q
u9NWi/lNvLNv8p6kqXJoZ613X87ZHbQEplQYCqvecostBICJ+ICtqkdp994ph48BvsaKP0sjsjAq
kUQQvRI7QsbZoU/MeGO3sYv0XqZ7g9yzn9kUJ9g1eDY+6s2mXM70YsI2V3eWdpThaL3ClMm4IUdW
s7NZyWH5y+Krxrl3yYXUb7xWa9DqiEmKsmnvbc752zokh1A0JaFEWqnrnRwi61YqK33UW4oOdIex
Gqdt2m+Ua3inOR+TvfBEvCd9MewICYAn8iJ8E4NRlFwF2cX61ZAnl9DOB3oCzGH+gCnT7pM0j+9z
ZtcDfqg7b4b86HNa4pvFYmW88tz2TmWTcl+37UnezYIlIfjMoYb6IPKj21HKTLNoNyKvlNF3kqTh
Pfeu4NGAUUHCQ6DTUBDDHbttrCshquZ9yHP5g+tH42Nacdc4oPO9RZmjQ+BV17YFHC3uSv3g3OWj
6ZyzZpZ+Rp723DeahQs4chCPEz04hiG8i1mEA8aiON5S+2geOuJY2Jl1CnYcLcnubYdOuTgOWCzP
VdR8IX/F0dUgYv6uYfZj44llmExOCh0rISN3jmKAKeEEpmXCTnOe3bx/pXoCbokl8PPwFNv1Xl4u
Z7wbEWUIAnJvulWwvDWr6wx3rOIIrI0vE1Q3DhOOX3x2CP0Qr2gLUG77GRCjIvVXGNt+qLXjDEjl
iwDbtC31tn9oQh5DK7qM052JaAkhPEzfjZidJ3cpI7yBkyBQ26kh2NY2kWVKCgiWKou8WVs56uQM
un7qc/aEnkZaqQKdtJuskpNO488cYuqJzmUdjHRWRpIoNHfwVro1r2ZXPwVD0YA2qAzI0lOwT8ey
vR9oi9viJXce28Trb6N+QMnKJ57XSC4nV5NXFvrFoe2pvx3nlmW2k0jn7PFc/fj/MqD/07qt5Sbw
WQLh+q9T4crvsknjBNcoU/I/KFr5l1C88/vP9/QPMLx/+AV+G9hdPC+GS9JCl6wtTXaXfxnYjT8z
vzNzQ8BbBvm/ovFMB/4dLoTfvTWu89cAhmlAU+YZCRWMWwUK1L/FRXbtZS7/R/M614i/tc5YGaAE
Pe2ifTY4WFb55mmCqQaqNd0qJ0JoesDkHK1wd4xa7RE4g3MsDTdSqx7383WoZmorgHTDX3HGrHnG
y6CuredOeO6oo0FHYRW9bZiUM/pA6kVISNo7J6WgYu0kOWFd05lLwhXkyLVmXaEZbloknRK7W83v
LPWUWnXoy9K6sD00j+Schvcet+9HFaU2zE4rqeAnFDgSZjyuAAD6Voo9Orh8a6aUeiCz9EZMMKID
CAI/oq9p0yCRuq4ZtBNfUUxZHxNXxndj5QAQoIy7frQBaz4o1xnRqBWIV5rn5SuzJBteclY873uD
xyPbpKUHD3aMXJk2mYM6mag9RXska0a3l3M/FqTRVzZZv8/E1sajh730iFcivLc1KAe1GxsPhp2o
H7BUWaRoUX7PIpuek87y9nSBz7tejAUrIukE596WJlQUu96YoRwpaRk0d9urBshTaKjoczHRRntq
tSJvQyS9R6ZNh/lUadL8Xtz34GbD+SvmxMcJE1b162yk1o23mB42UZsEnDVWEj6xf8Cpr1Te3UaV
J67gS5cE5khT+UqFU4/HF4AbJpZ+eHJ0qZFMjaMMPccRT67S6Z3xZD2lMMUyQQdiZHwk+lDvGlAQ
a+h5KSYdEba3rDMwaJVVkTubvAq8Ewj87kzTZwNd0WyKvUOAvT1Y5GOaVaoXIJQsVEzWpqr9CvNg
fMRjs5gYEYXw23dENZwAQ3hZNbJdh2WRZX7nWcYurTEn3tgkC+pNNyHJrW2vh440aVkZX9BLR1yM
jJPWJukLzdzmqG1fBU9Ny4fEQD1SlRTVvMEmlukYYBbMU2c31dtsZdGLMCoKfaCOFDe5jQt3xaeG
YKNkLTvsbQz5EGz/g7zzWJIcSZP0q+wDLEZADOzqBE6C84i8QCIjM8CJmYE//Xzwbtntzu6Zktnr
Xkokpaoywh2AwUx/1U9jxXgiE2zVN/3Q83s6/KAJOP6cProguRXfvpe8V9qJvxFV/fmsSjv+XcDg
OBK3760v4Hwc2shBW8PBqeKFWwokVBP5irzD/UAV6nUfQtVg8gGcIx1H/dVjeN8binrMnZlV/Fnb
2ri2jKyB5tHTVy+gMeb3kO9gW4gpdk/5OFcvskvEr9ldso8Jm3dAQoB5ww4xdKUFNm6Um2CdtwIt
/NSmPsZOJnc+GBwDRWFn17IE49cUnbUd8K1hczPndgNJKPgdDsqzd5hqwBv7pZuTW+n8B7OP9Qnv
A7CbsuqnJ6MM9c9QufoNF7B5K6aFdtxed9SRppMXbFoVDg/AufTbqFx3o9yRiTJb+IiCI9PbT9Rf
wjIc4mFf2SFmWE5PYm+3dcl3wRY52ywcl99mBFjGJQWSF/o3xx1c0s2pZqpgQ9N1lo3LXTluKPyC
5J2C0tkMRKP2nm6GL0B68ACtvPfDLT6Y7qYsyvnRC5c0WKnObYxuOk8HmRjuwWpL8+S3Bd0pNpfx
Q4XF8ouOnsTb250538ACMG56El83oWZ+vrEb4T+OVZs9DfiuOHEMnnUyR285CswWj1kwDncalCQs
u7HGXtT0WHSa1N8PxDOIrMbxM9hpJuVOlSxRXoxsdGEfZOgmJrzmRQT5jzobm7u85BygZRJu8nCa
Tn2sll/QzpoAkBaWiENRgDrEXzZz7fuiTYl0UuX00QJS//DZNo5M0CwHGtfEBJw1vHvh6kCiMcnA
3znVqCmc6uR8NtxpRBVhTkXcKMjpKM0MwMCY6Ufm4GXe/Cxdx3vuRM9NKM0+tDHEyfyHhaj47soR
QgttsFh07F50biSgrqRb2DJABDoiFtnBbs32ldNOXjzikEM051zDopOYQu4cOknsqzSf2XwNfP3L
3s86JqBeO1PybZcjliVlztq5a2WrbpJLFGAkfV/scISHt0r65c8pTdLvlHP+rtVm9syOmc13SLoN
x1FJG3Au45wZcdJgcJwthkwcQ7OjqCng3hmNnM5ikKC4nTkuz/04UOvhDrRwbMsGrCnhrkHvrEQn
jPnZA44tTqOdMRvFYahScEWcx/B+E5kgCWe5UyQpeLl2FLiwrd0g9JgtGalhulP9tKwJfA1XS2nS
wnPetrAPqtrdmNg6i630qvynL4t6D3bmapwydOi8pIN10/AbPrSNr9+cMhjPncGOgy1352I4L+BI
b8inZ/Sd+xz/QAQ0bwRDmIeKTh9x+B46XS5gKKzyg0N7CAq6Yv9QyFBs0josz6kzWgmPi5LFLtMx
U3aWHQgOhmsclPXIJPnBtgBrB+aw/Cp5G/Cizrrnsi6Dq2RpJpjoYI5ErbvHOgYQI3j5HJykc85O
6H0SPvF2C23pRw56ydHutH5xiEgfsQ35PLplWW5IOonfAMLjYUsXZ3jfW5YTFeXYU1JAi/nZInWw
9+asP8ahtcC4zTJFKCvL6ShxZHcNrdGkSTwubkqXhRz+UU0aE1c90o8ILANjv4fgtk0HwzrofGU3
LJksTkumm0cbjy+hSyxXQdDlV0uYias+7QOypG2v30Pus51Gpv/y5tiuaQoQ8k5UJe6NyvSPkBBr
mt9bnJyog/avkBsGydOqH2RO9kKWSyb2VZGIo+l27Qtk2QyTF5efuHf6DjzTB1NigzveZF7CBAPD
4G1dhN4XPmXX3CsGAXB4Ogg8KqQMtaNTVdpaf034J+4Zlk9IhDnIJQxqya12KZx3Gh9QlWtmesUF
YLNZaLf6US0O9Q4g6aYXTzC32bgYZn/HqUzvqtigO6BvsSRhrZFM0NvO4gXa9P0HeRR/7w8yeDKE
g+1GQoT78BnOYsLIhumH4aXGj6IXtODlXT69tmHuHVIQn3cYLJ1zOI3FN7+vukfumX9i7MDZsLSz
ZnuWQcOnkZr5bziTr9vkekQng68b2BvPneeHIFFB5M/u+Eo7sRf5sq4+iUKz1Wh1wdi00/HYbUim
cgKzpZMcuFTjtcWxjNUBee0hw8Qn2b54GCQ6cvb0byDzlvu2TxV+kdzom0OPOTI+EUw2E3LCk1dG
pZVat7ptxZtNhyWTcPTrOcqGaqCMQgVMmGDYBVdZ4i/VthGTJvsxhirdBou5YGawJTwqAB7qY0Rl
zXewWSGXZUsZ32QUqKA+UcV44g4Jl21jZ91nglXa3oxuYD1CQeH7ZxwlMHdUOWFIzBqvQqTysZUl
FBvFeegxn0W4GyyKsw3b9K8yrER31qq4ZRfxjbsAIY73LiYlvFr0eBerVofZMUv34PR46kY8RzVY
0lUksi4yX3CR/MZV/UP1RAgsLqIgkEgEwuYiFtoX4ZCrwOgVOJ1/8KwueCxLmzzkchEb0ULENwjl
kHBwaFgveHOhKq4KZXARK5uLcFlcREycPwiaspdTi0E+RwLTHV0Uq/ZpQ357BPOSb+eLNMoeE5lU
BNl+wUr40Ae13ilfsUTVOvAibJXcOGLVWsM0QMi8CLDeRYtdVVnzItCy60UEVBfhdrqIuHFSGt90
dizs0aDohBe5dxlkExlxjXvGd3hMxKoMc2cjEgP0bT6JciId56TK9vHgTRv+NN03Zgnerr4IzuZF
fOauwjW6KtIx6urJWVXq4iJYMxRdxeuLkK0uorZ/EbiRkBCWrVX3xpyFBC5DyoAbnHyPyiGxzFaH
hpQyJiJgAI3eAYLmIq+qOtGJbu/FDlJ7bLID3MyJAsVYo8X3i8m9eBHo3VWrT1fVfg3Os8FftXyj
s1D1LwI/PEfEfmvV/YfLCCBYpwGMRBgM2JchAXHl+EwrgfqaL0OEhS4QzAWre8hBbrkKVksR3vWi
xZiO0cg0dL8dpA/fcHUjJcqWe+g0WJRImy4nkac5chcOprCBIdevriZ+aXEWq9OJfQD9ckVYgwpc
jVBuVzYbf4ypZQ6BZGxzP8l2U170j43oDU0IYjVYxRev1eq68s2l3FtIemhbQehemas/ix1cvLex
bLFPDQ8mz+S+Wf1cIgTHR1Fb93O+2L2MzIp3yeoBA1LlPyQXYxing/w8rm6xBbmbnhIcZNOEqzft
rA8ocOmDu/rMBntC5I49F//56kMTbZlceas3rVhdakFahgj7q3etKUz7TUKxZ43KGm/doVdOhDaM
5Q239Wp/A+/yFa6eOHd1x2VsS2HFrpa5kewiN5HD4VgNyMz2xV6XOEt5ai6mO3P134GaDCK2cN49
CXDxJP5m1tPQpFYD3+jhEgSGia1PXhx+rLz2yVttf/5qAGQqEX+k9J2xtMV9y/KYACLS/eofLGv6
kurVVOjEqXc/XJyGMghmWFyeieVxtSKmqykRJyqwrpga1TtVymTeuWYFHGa1MsZVMusdYbPuaQaz
9tKvpscQ2/cXz651b10skas5UoU5PkkGRamxMUZhvdmrmbK0ivzkSi+/AarRTRtztV3C+nR22d+9
mNgyy7pfo9dYNeNAgkRa7Zt267W7uBTTlbGaOwufv2RDXlayZU0awJxQ/94UrzoUwFGWEdZ2/k6z
K59iuwye6QQwis3ctzZ06HT0IniN7TZ17OmmYfJCHSo7F3cLULN+tmBbRZ4Y8vtG2N8+h0HeyrLQ
ejf1Rnc9C4g76+sTIl0R1MxCBCl2XspYpRbZBFE/NEAdxTRv/zeH87LFb1IendllR1OqCTiQlwNm
pg7dvVt4pfT4U3NT/38/5kfhs9Dp/usx/9tv3f2vzW8Kdct/HO///f/7m1oYmv9hemvUDv3PIl+3
toD+LXEXULINLIXUfYhYyT/REf+euLP9/7Dxs5mh6buh7fMO+T/jfduiVdSEW++bPs5jX9j/k8Td
n3k76ticdTfkuJhOfITLfxYNfWFA76Jh7aDSvoigW4UYGrEqUogRYEWaT//w9dz/ayeotZay/V9x
EiNBiNBJrg8t1KQFTaylbv+Ah4GBEa8wGv9gFTo5UFOc/15Z+g+DVTNzmodxhyiiCZfzX2Gpmgd8
L3nq9q+LiktiKLbzQlFTMOz+4vf6M4Gz/l52wOSBElcbes0f4mmoqSICER8cRrv80dFVtrPQ5KBJ
upxFxDlkgkMlhaOiOCunXTrfuKo3/6KbnGv6L98NCSCb9LBHKsb943coAunFE07lQ5tNIPAKHZ8D
i/X5v/+o/+aKCz4qzRsOlkfOVv98BWBCD3m65MHBaVzALuNbIDjnjrgLiSDo8S++2H/zmVxa3R2u
uEvg9M/7S9nKwpvFazQkUxQBA8Ugy5L4Fz/lny0ql7sKfBGFgCThuYftP+4qOyY+QBDQP7iwFLGa
0STFm+9xqLKv//GXB1jJs/yQzxN43h8/yDUWvtH19o0zNOjKyL/HbJF44ut7Qja3/w8/jMoTULPC
NV3zjx829aLhMC/IZDvC3JacfvHE24ASF6IjYGeO//2PuzTk/vFsQgoIHKxItsc69cdakOEoWrCY
+QfJEBVOdRNej35sPnLU8U4Nh1BKt6QXpR1hH3jUlK+YVfzTK50aN/kkH3MOEAenroadU3gouVSD
0WLoBARkXBD3nd1WbA8QE+Spzy/aVhWAJWmXFAvv6nJsu4UILVA79Kfce1B4Kh7++89o/ZvnPHRD
j/SzyVr8L/fj2k44unPmH5I6tU8o+cGJjjWTri/3xZjriIZVfapV8u07YFYAfNjUvYngL77qf3e/
hqzcRK58JqN/Wqs4igtofmV4oIlYnCaR3dYMhDeAtL2/vZT/S0/hv/6kcEWFMa9yAoYKf17TtE31
yMQ5OPhxRoqh5+CjmuqHTk17/xdfLQOwf1nAQGRxdlhrPx3/b//+HxZ3WVmOgS3UP4hwsPfFYGQg
9Dn42KY3YaTnRrARJpJiwvHed6hzHZbwbezhnl95LuMxJPxzIBtKHEr3rveE0cz9dNEVjqOXd/Rk
yH5+CnUnrrtuaK4KfHcH2muo9mgtLDpRyR4eF48lAQP5WEvDOTi2qfAijLzzwZBa7pSSxChdFVr8
hyYdd26CLfkwdvS+JJUV3/Rp7t7Rrwehgk2lt0+GiSo1P8juIL7mnyhm1QkXE01vJQT8mcMr/Arp
n6iH9t8zZxF3I9vs46IFdt8YtqGL6+wcmHbMsWneMUyiAoOIzSnlILDV1DThX+/bZ8qW2ne7r9tP
RM+Avmwc4pt0lkClG1iHPpD2qA7r8sgWM38yaEm5C8wK/WkimLYr1ARBahod+U58Or5RQxq/piHC
6lBJRKmRDgeQtQ7VhvlbXYJg3RRG413lnbpzQuXc+hUOfIwOjjAwIg+Wg/44JPajZQWcmJzUC65M
4ei7ZZjNDSNt76ClKg58nHYbDEhlcUkjqV7Qjs5DkwHrYZWar0MgXD2Aw77qd70dUzveGzI7lHIc
frNl4jsZHbqqcblvmrK3bmUXQ3MixdKfmOPoN4sE3SsOyVxit281G3Blhq9s2+Zu49Zh9wIsUjCm
N4ftKEFdKJyM13LwqjVVgyk7S4I23kpSieASCQRhqi4FzLJiCDJIz6GC2cr1tpFaAXAZ2v2MvWKE
ux3injMHi9rE1oWI1drzFT5M8eGk0mQ2hLZ1RyqDGHsAX1Zvggtqh8WD07kSzBg3sO3D11FzIn11
YLlsBtPMv6Sb8xn82OWOD4ecULxgI8RIZGxxvKkYYVZtSxyZ39QtzPkGcADly2bnxLRd2i3Zfc6y
87VdVPK8oOs1uwx8AY8QomAK+Olgk6ynNdqxq58evKEQJg3I3lAoeVJh5W+cpCCeE5vTjbeA1N/k
IkHQxxevyLFWFd6D+LboJ2p4nAZGylTTc7JJR0U7C54LL6NalXZc3KDZcm2PipOHJc9pSOlFQtLt
idYK6hOyOWICmz5jcZ4wibQdE43JO0KESqJQUqzBnLzi+k7VjvEn90e5FPyqadmj3zWJ9To4gX9F
M+9vsGxyn/UqY38q5Y8wDj1rTdzIk2EphXc9t7fwa/FGWMQ8DwYxAqKrBd8+meKbAFP3NqUE45TW
CiyfIBLgaFAapkpgchKzOQY0kP0qnIVkQpGTNx1yk/Qel/gp9h0abBh97sd5SA8GWgVFiqn6Gtyq
e6DzZz6Go1EdAK0Fe+bbVoTJF4iRHUIbZYM4kbi8iu0RJ6cPTFr1udgM7TmBpHxFz7jEb7+MHBR0
Avw/j1+Yx4LAVlZyR57HvkL9ChHFPOfFXtxuD27OYUpGzQe7chUfbdNtjmnVZfvJJe/pBkZyzgp8
tF7L5hgVI71K2uGd1IY+Bw1jA95682bs8QIqqMI3HbWp/bYVhDEaDPqbxMPxiKuxhGrVM96ZKjbe
jrvcageSFkOz5cmWvr5pidr9nLAWUe1i51te89mB2qDpXjPCPeW2Eb+3GG02VJ9jEZNiIWqPpaWe
/eUmCfP3HlfCodHVtCWpw3DXQ/mqHk2zgMoDnJ/8E+U/JN442A7DoewDgByON/6ux5qisKItgJoF
vWG9wzSAHFeicYCj2EGfRW0cCf7bYrauy474z8ZDRYlUSXmEWzZj1Ihw7QroOFBYHmYipYbHmMaT
LFLC17AtYAjntfE9Yf+tRt99ZpO0HHqJiE3/zOtIeP1gWZ67H8nF3lCe+9Bm6trJa8BoltEylLPV
AWrJp9U0oK755A79GxkdghspEB60r3fYJDHz2ARFnH50buXYx4+ER6q9HxM4ywNxIxoCziQtKXNw
vCkax55SCyCQWx/j49abl3t4cwFYhpr+IW8avffaZz5slcmM9h0XdIOaCQ2gAnMq26q5bl/YlzGb
qTOo3J4DciQbGQGz2NxmGP02ljTCJxi/LkNNYlo7SgkV3wbTn4nlXOYT/su+8XdEfmNzjycSc5zX
8I3AZVn8+9KF5MnbalFvQ6r0T9uwY5o+/FD1pySfpyCiNBk/ol6+sajWzAPoPBn9/pNesebEX0c2
O5h0lNMxuLVc8vZ6plqxodKRxeeWh1BS1Kvjre2ExQfYT3m2aeXYWD22L2se5Q4UYxplWTHjhQ54
jCnnVXAA7vxSvA52hsYZGi9OOYJh4iV/j1chiPQS5wVUeguAQOyN3LlY8ZgiCfmEqeiJrAex4Zau
6hAj17HTlGBMsxbHSvY9Q9Y8ZZXv4fl5LjfFICn2SxrQaiwpwCOVNhmO2OX13FX2fd+W2a420/qj
ASO1l8LFBDIT8lOsFtSONd+8kKBD1SOzL88cXhIL29eWCM74W1ENJEjG1tUuVxpL8xKa7BndOaK6
sTkGoGhOY6a/G9tuztMYW0+gWWXELPQ+U0NxnhfXhRjsYD63LGN4RT7CM7wU+BS4NncymJlquzKO
jDpUjwvR/khX8S8aHftbDMuUR1DHeyY6mVFBlvfFccLEQlUjAzPAhDQcV+aDZBi91U5qRwtYhmiJ
XQGaSiT1OYfEsQ0m24wsB9bAZOdL1ExZcSXmjKpEcHCkdyYaYrcAb5ovG2zJVVzbRRfVZFv3VEyX
h7gOrZNIGwwDqXdViP59VlNzMzXTLVAM/cut2v5atk5LUhiLKWfD295pNMEErT8dDSuhMil5qNz5
UDTGK0AfAICYqKl1qeP6TNNtvk/bKdklvVe94OfsbkNYHAeTl+BxapNzPVfqRbRpQNFgQMIM98Mv
WY8Lb242BRubZmXmZcm4a23W5qLxklufoPKDBQFyq01MDEEFhWPjmCVZHRfpckrVWzsDH2yM/joF
Frmt5pHuG9btpVtNvsANVDMFGVRnXENhN2xLIod6af0bGzQFPzPLHtjYY0NP4KgDvViTuQ4DsWqq
maEbWdT6NVqh+VV7WFdHqzuVPSR8P9U2FUd+sg8In/PumwTgNHc5lFAA+5DuMqLHcEBn9Nm2NYJz
2FD8bGPfPjrl8zAZFJlAwtlxhKIsJmkPbOWLfZCE5LLTPD6kaL4Hh5+/UZX71eG4efcrPA6tydOM
j2u/5Muxa+XL3Olgo4eZGXX/GjA7x/0I32JQH2FHrbCTGl8Ah15tp7ipM+8pgcJOV4J1RyPJ76T4
rTD5H2SW9RtE8OfOg02Dt/Lcuv515lo3VNGgevu9xuNqXCvuoGvgTMUhHp3gq5mYNCR2teUttYVa
PhDOltXb4vxCiiujwJbEpMacIacEGtS7s8EF1Nlz3xDf63T9gsD66kmSYVJ+kgX+MTXudcrQXNiU
HelKqG1fqjyqq/QltUMAERRrBPkH5URMPUS5Zex26+BF25g2hjKvHcZ9P8zMKVcEvE2Ofydc9ItU
2ic81TICG/KY81StTT0/kR1O3jjvDMphNkR3Np0chp3M0/jo0f1yV4eJeze3vv7dlWWIaOaeQDxW
Z5p4vGiIR8I8Y/yzcHwO5hz3nzuJfWo95PPIUjb1RTigjSpN+3lcuQjqZnmGgmtCDhzTdSvlkfF0
Zh+6etDv9FTT12MxaQ3r+sYWoE51PbFXwQOGcWUU4Cw4ItC7CU3ZNdjD8IFzOy9YCvqYtrIV29hw
vTm3Nivy/ynwkjvhjOBWbfVjYOSmO/b5NW1YGODsnrgEa36bsKF3wkdsyTdOHr91c31beTFMronr
nhitSd91SRojXQAUi/rF7HAoqsFh9J638FQIdzJAx2Pc/PQN8QYWutsuinf23GoumipeW9vp76mx
ql4nxNDN7BKAVWNiHcViN/s2xhnXSp1/ZkNPVS+dHCwpTX72a0BHsw8vSAKa2iW++kFx33BgLs0n
NfMRxt5w51r0r5Ghb/aLU/bfPonoO6Ll7O48p4wYLTFZDKduNxfmTc2ZJco5/5xHmpbG3sOpY6t7
1XHAcNtAvqcEEg91GvcHJJYnSat2FLcSawqMD7aHd5CI+/3E2sH0KvZumtAu2PRPnJszS8nbBaAY
YNipiEyPw3FQqzenoOagh+AX2RQX0FreUd81etOzbdBi69cte0k1mhFGmeZr4kOdfeWXOwJOeBuA
HR5t+n8OvG/N21ZifUmaoj5D4ahn6hC9NaRtzrLc0/WQ3xROIF611XivweT+jpnN7myyl4cU9O0b
PZHdkRIJ46ltB/UTP09yT5Lbu5kzp8VUTrlsi+ntMFFWs6UqS9/iL6v2ZHDggaWEg00JTokecsln
1Jb2X/CzEbTFchKZlEqQz0Hj25aOrsxNn7b9SVc0bJEl/5glW8UExesrTpiAw6We6S5hK9RxRD6E
OWOxacZoX+SQiD1Zu9Taet4Zf8D80S9ElkZFey6Pb2Rqqz/FImeOlq9YIjre7jPThX4pivbs++kA
JBiSBELUdqi44kT2wyMVGFZEmz1dlfnYUxWpsxsxKXXKTWj8uEMjRpEuZ6lKXTU5TGIan9lXumBD
w7Fng1tTbegWQM2HJU5P7TKoA4Ng71CVnYuJvZj3fQbmBc/HAE1jDKh6D2kV7gkBORm7eQ5gT6O2
HWInsGWA0P2CwDC+W0Xyo/aX8gYnVPxWEvjnOK4eQ8Zf6RptwRxp9LScFWq4Aqz6AlPkjR+r6VsN
Tyk5i71O2Q5r6KlbFSO52ZPGgGJKRXbANNCGaqWdfdWbaEGVATW9yqinp5+Kbr+mjYCLxUnEoU+8
9Ymy4CI37duQ85qOiwZSTE3iWqYNZyuwyuC6h7l+aY0xJDeetp9QkJxHAO3mvS2lsweZOc0bb8nU
fWGHP0G0kjLiCLptDeww1Hw1WwbJOUFuIjqbtvevC01naN3IYu9RhX0aphpJVMbeXhoN7B4jrbet
DqjE9K3sPKd4CjeuamjbsBpy9/XyY9SA+ZIlmd/TRk0bDA0KhcP76U8N2S83xIfkWNDEK6e9K524
2RbDnF17AyctCIz5idvvIRReC0C3TiSlVk56nQx1voflR5ffMDB5NQoU1aty6imloI1ieJhzU/wa
cjwOZ2Mp5gMJEGiDjrf471Y9mcVejP7k7ukbyr4bbjJ/67S4zq5pUp2flyr06XIxoVPtA2OiG0kU
qnwfPbffG4DdoOl1y7NpJ+JAVoy341wIsNruU+71rJmhotYQhHWUB9a0C6Yp2Zs1pt5Cty6M+Pqq
6IbboLLUGUqASziSdwfParngV6JhKofDxKfwST9gQqNks/PL5pUfpF4qeA/vxbp20nN+C4ABDnjd
+tduGlqYc0bqnvKgq1eno3PuSOTvF+GD/BZkNI4WqaCXUc7LUxEP8jkrHIGFMzT3oyGAwdewrmfa
50qaBNvyiD9ggl7sZ/1OLjEeuW62WBMrk/evAdd/zeZVwzbxR2OfgRgRG5ESFi27Po6oekZLn2UR
Y5XhZbDx+x7CrSd1iX9kbD89YmhEX0a/ePZZf277Kuh/q9o11rabuD70fNXBNe/vtIhwFD3Grmb1
Kh6xJlQHaq3xQK9YBezdyc1ItYlIqKFGyRm2GufJBob7LYK7T6Bm3OohZuFljhAZ7gjlqmjlwR+S
XYtXeduDeggNQ++MqaBugBpk5vNJDhha6lcad3JYdAXFZLpqvU+Po9QxHCg3wBfV7cewI1qzdP0j
R8qY57/KDxV1bftJtvxWXfo+zrz9bLfHvWsV5gHp49eibUhzE6WthLte+zml7qUbDyi1FqnF2LzX
NvQFyl3gfjNK35aZL451V5dYWwsJazJ79LoaTvownGNhTsaWu4WCNVThPapOf0MSzv45NZi8dlVe
VRZ78Jl6NWViA47NFv4Ajp6D74OpYPEyg19eTuy/n+32DfmjfagDvIoJNNL3IAzyO755zsVId5E1
KP+OvdxIx2YSUG+BEcoc7N9dmijoUtZEgWGCBQUMVoybLWOHj17eXtXYHWMs2jozCXvR1BH1RU3V
0phIXExFE3bddyFMa9qbFojMnTdOjB1BfOHO1k4bvvAu7d0NdaaoWXD5OAYXAKKXUxfOmNfJ7TFS
DaB/L41f3XRukb8U3gB1KA3kNV7lcQcdk4kL3t0fMw7XqcTqVaYNf3s/kpAbCSVXrWXeIYv4/NU6
RL7QKHqu70+I6OxlQ1obsc/ftQXLdGqbGyY907ZW9Y5Q4HCHa33XaVhxwDBXBj6We9V+94t6qbsp
fKmnEW6BTubc3yS1JmhiLe9VPb0tOksxohZ2lNIRb2gs1EHbJVuQ8Nk5adCEGOjQZZEZr3o0sl2Y
rcSoQRbEG5cMZBWYqyoVUddw6pKJmx8D2HWRHgQ2YZ0q58QOliZj6D609Jgdb8UN5QWE7txmDOst
/kKMsHrsk01gpLTpMVUxbhvtzE1kGhU6DopG+uT4jgscvm9Odk76vcvS9glvdYXnCOsoPo+Ker4t
godHhyqgr3tNsRBdYT7WaIxV8qiKhEOk4rTS7IglqLOBi6nbzKTjoyKAPCcTZE1z9L13PtcSdRjc
10GF27w6y9A564mlvI/NBHswFlfn10zSud/SfQe6ipifvUVZbF8IX7JYFsMqIRdO7HwLbwVoj0EA
WY4ZAq839JI3dyr8d3qH/GsmUs0N4QP/kcGnf/LwD76YbkI9seeuAI7EENi/u1KHH8McNGxkjKoG
3bF0Jvc2xbGo/Yh2dOTxbEFPqeXOsIT1W9TCeel5hF9jM2+/C5/c7qYLdXUHmNRmxIBbjvQebS/Q
113zFE/zdDSZjDxllRtDfE8NzXun8X7M0K3v3DYvf5b+EqOY0lZNf6Z47w1n4HTcJ9Vn7obLua0E
f65HQPZUbHFgwnGtqAZtG/cpbOie2cLvtT51m9jHUXVDhZESb1JB49K4DaRO7o1FoO2CArbTOHs1
ddh9N7XdvDJEit+qpGo+aBIZ94bmm8/5OilgZyd5BPCyvMUz5BUqFHg05yzuPmzY/p+owOJHqWfM
9O2ChcDBuiU0W/jFGfx9zS1ybg0Baadq8j1dgtO3vQTj1kC32dZwQzdaBwIvmQQjY7gVFN2JzIHC
VP+RWzYufF/TGDYH2dlDZvaYY3Rt1DYq/lwQWXgAmlJ+kCqMz9D7iKJwEdShYAOIObbSaZQM7jMv
r/r3UPfNvVdDUmXYYDhkU1WyZ5uXkx82fmTIPQQssVGg3ZjUSlgJpYdJkd/i44CBx7JPoKlpq3vG
ZZSRTQl6l5uVbEpqu2qfZj2qcENKN+DLcREhBcS7G7sby5MY5+A0xWl3zkTT/srZpFF1ZXUQ1XML
XOXGpt3uWYejic2yqJobFoyg3Qnowvc2wcTmwDF5sgk4S07RTeXm0I6ysmCf7fn2F6718QHBeryn
q1o+uYPf/HZlX97AuC/OSx973wT6gpu4a9vrRPiGsbWtwfl2+675vQIbaJSDG/RRYz15z5XS/qZ0
fOXtgkwSx5hHIeLNXDvekVsVhDAD0mftSlofgoYEzkZAt3g0VCdeE7+qftWJerVCVNFasyMZ5nYB
p1Mm1oTiLlcw7Th/VjpMiV6jnfbsp2iE85Hel6PukPVIPekqWkNiaFntwAbD8NrFPOepFNSvdpbJ
vAGM7u08dS5OYqaurBFJHUROknYEKXh/7Qr0imhcJLdOVQ+kgmy6MA62LhhEt5hxbwZJ2+WGW8K+
xYaHYOd33QyIzk8+e9XGxS5R+p0ke5vvKl+mp6FSzWPKhQoi6ifFi2ZASMobtuIvtkaC7oKsmr/y
pB4RV8rWh+jjV8S2mRjPc8TdnGsaH3hnUnkIkH/rh7X3o29CErYtW/6rJHbgXXXrmy30xkOyGKj2
Rm2FtBXNP5Uqlg2TY3hEHK15Ttgj8QkYJli2t20kr1x07Ik5jv+RUGj9SyVjjGQJVCr1ZqwilnXt
dkiYvAuE8g4O/CeQ+ijY9iYDTlxB90MwsbqBNF47k5vatwnpnE0Pu7/bizRDOtNW/hVrUZ580EY2
YZIOJDe2w2z/n+yd2W7kSJZtf6VR70xwNCOBW/3gpA+Sa3DNwwuhjAhxnkfj1/eiqm5fhbI6Ag30
SwMXSFRmIVPhFJ00s3PO3msXSHK/tUrCaJhtUAcjoxt1zDKNRN6pF89Lw9SBIQbFWwE8Ozu0eWZ9
T3HbAxWxSwrcRRl7hYhzb2UjIXGENuxEzhCIR7I8m6KBQZlkmHYSHu1MZpADu0kXdt+WtCY6oza1
9imVcQGKjdNEFdfv1mh4AKtt7zxFbXWaFksj1cmmWlNt114qNUCQbBJqfJXtbAETglxfY09tU8UY
x7v6vXFH+MteniYnCFHXOXPfvYmvGuYufAEfmxoBv4VBZiBz+3hXdvabU+nqVhOp/Q3aWr8BkH6h
sI18HxwrfbBknOsYQCqP5q/dPMNVKy+0qDKu8rrSbiPN/J0QY5W0/Cx5AWqICoqNm1AV217lE58U
C3GmS9CcjbvW9AxPqZhPUlTxdd7XCfs2R9Xr0dDSBwhsbKW/FkzY/0ougQSFKagJXdNwv+h7FlMT
Llk57l6RV3Htibo9jG3HFIHMib01zbofUpMxGNfT8fu0sKW0eDl39ZitPLfuG3nUju+6Bc3OWk8I
3GTAVM4CCCbHeObNpkG+/WTRllnJJzRQneXQCrs6n4DSXPZdQsoiZg04jSBHUGrl/kDuKOsKJ2D2
+lyjsZ2ZeyBhGuRQwyW7mLVsaAebE4pzPw8UB86kjBMAyW9pWdm+Jsf+0Ggs+GlVSryN8SqVml3r
N7fO/KuMEEy2vrqvLZPuoPwiYit4lLh9Nqd1NJTUDfoJn76q/CFVZ6WBZGlSaDMsj7k7efMK88Og
dh40zpqHqUHAhH8t8qRPflrpboZCbFPPGs/0qsOVNmvHGTsjQdEZB2ArTQ+wzORvhDmrkPTrowe/
CdGny/+iz1mVc58evYS9pB69FoF5W6eUOKCDc8whc3zEh31rzKMIRjZnHxRYfA43e/jBxGvA57aq
9Wi4OQb55mY3kT6HW+g3AqW/yvY8xJnC5bmUwFi/igSBkGu43wtvn5HPxk5uRd6FHpbtbz7GWMHm
X94/vkgUj7wCLO3Gl++xZmCMIZIIM8afBB2PptQO09QOwTzn4k+TAp41Mqv90iANAteYuE04hM5g
Gxsorr3pXefKzZDN8LLU4HavcR/oapOFi7a1E/2+7rPu8devrfH13rBe64aDk5816F8kHK7BrjQk
ePYImWBRgG/p+JKQeLyneBro+9uPXnZdkb7yki90z5j/6HjK8vhc2UqgxE/Udwe35sXHdf1PU9b+
S4jDZ4bDv/9vYrEJVNUmi8GnrzF469/+7cdHHOfVW/Hj7387j99AN76V3z/LtI3/95P/BDvIPzzH
tQ10sZQkPP5sFygw+r//zYXEZnHS/sA9WCu84f8KtZ0/UGK7/ACCSVsKhye4ww0S//1vCLU93h9e
JNrIuoNt+r8j1MZv/5d3xXJZJ1zmUK6Nlu/Lu6KTIBgxOWaEY6DT9PNBr1jdkJbHW8RyAyQUJxRP
FNd6HlBcQG3FAMd5JlJtZAQd3RYMJ3Uz3k36RJC8dPDhQrEsLt156Hd0zPrbaoLaU350K51i4RwI
UedATnt55IKKoLCr6TB5g5guleNO84UA2nyscegn184wYEL2CBdIghXLHR9bKTtIT3D5bxFLOGoD
3IS+ryNXvNdMUx7hkWSIA5WY8DSABA4yHjKjXIg7pTMS4hKmtyPnmgOxZ4g4jLl8dspq9pg9G8N3
fjk8FIRjACyIrIHumXAmHwFKHm4mhHz7yeGM6UPpnBgulXhmWPDGaNdajax2yTIRrtuth+Tk47yM
V5Gzc8QpWz83s3BVoXycr4nGDfFvShT8TH8wozHftxPpcwQlrAxQtfZaDaHnIV+jVYtvPH1rGGxf
dAhQdbSWtJ9IzsZnFLi56ku/+Kgbso8aolrLiWiisMg/agyxlhvmolnv8UcNQhlXX7DnIiaagAMB
KyCwBs4eseZMf+bsYKwljbZo401qtcU3i54bfaQ0xnammkl77hob8U3I2bLa200nTprphHVg2hEb
44LmDS8Yrr37yspHtdF7vW99m4ycisana7yLmtM4tT/TzUWiQduh3fPona25Z3hrE8uPa/p/jNtW
1twQat7RSCC0k0E+BmbbNadaaTWz3bY9ADZvbuPU1a8a4jC1TbqkxQTlycFZwxD/Te/6+QqTMuFe
qlH0MWqZnVMymVvBpMQHWgEpNXEJWlkUWs7exoBXOYbaxQyhn6QKMeFHpXfAvNU9znWVPNleSn/H
Witp1H8uTOR+uTOqeeZUxGEbSc7oZ2DRr1Noq9s8I+XRrml6DvDGdgN/1l4CeApCYyJzp+vdYMAM
HkQdlzQtrblVaOAuGSdxmg5R7pHnVx3MIvZ21IHl3tHj4rEFiU1HxnoQlo1iSpjU4kyWmvHITseT
7xWJ2lD5ZLfe6FhnScxvOg26GyRu0h0bhitBSJ3wADGWge0wzOdWX5IcJJfRb5jYMb5QcP8NQBfj
BsBqdDIcY7mxzNENVJnO1zzr1r42U9z/ceWU7+5k9zegec0ghbp4t0TT8kh7SxxySQDAbkobkK/W
XJePeVyaT3aVwter+uEdL2z6KA2H6bM7HOyMPzv96Jh0WS9Oyiyal8Ysupty7a1MXggxv+FocWcm
g+6XcU4bJiX+D+owawoHipT+4GSphcgJYb5NC+UMVR5Vo2k2zIDHPCMubiz+nKNUXrutJV7TtRUU
f3SFRtGNt5wKw4PimH6WFFX+XXahpzbVR1ep1xx1nX70mjBa1+9k9hj0z9zp3mLrfo/lNCFEn/T8
YWl0eaOK+STJER43BJYXrU/w8sTvqTVjQC6I8WJRNWv7gWoYnHeeh1eUE8O5Yo24Deck+sGcEHGt
GGf1hBOR5lrH0nxgxk/LDfiI9Z61FRV+5yGlw4lvivvho1U3DAm05NyJbhkLlm+itXn7RxTAm2rt
8ukJgx+frh6desOdLxwzgsYB3GBBXdl7ga2jpLKTcN7SkSG+QPAMtK1qduCz6Snaa3sRNWhTBy25
8kbA9AEso3IpFEsVDyfXYEjLyIWXpEY1m/hub3a3kZk3e8bRFIkjEVJ3KeyWrRAoLvEGiSPg9vA2
ym37JWxpnZT6Er5qU3en18V8QfkKpa3WVXqD5jkrDtXEtHnsFpNhhhUNZ9ncmsi0NGUSf6msC5G5
GPSajGGNIbz4OnNm74p5iI4Sb9GGVRNsLzfwOKMJKlxPwoFOGygeI+fVTLVpO46RPBpurN9YJYPo
xPbEBVqZAinkUOB7Zqq7zbLZuy5KpQ4jQ/bzLG2BE+Gtx/YMFiTRtj0AZg16fpM4RLV6zSWvgvkg
QGzekAIVHc1+FOfKC4u3uWu8Nw3b3x5IG9c8WVb7HSSa3M1VYt6jFiafxS7l1gUifEEnt/6GVG16
8xDuAjaznJ6UGS1rsOKNU3sAVYDCjAMt1k6jfA87gHA0uqR7wPRn7cbG0lRgOvhr+3CuLtKJkBKG
j9xRZdEul5NT7fpFKZQOY0ZGoq0JnzFGUe8Y6LPfurXXXHkwZOheGw7zj3gapzdiLwFcxgU45rhX
A20ApxiujWxA04ZCLSM4ppDlZYgfalcOicKGoXCFefQEbkrmCp7fVR5QxiKVNnM8trpyHJh5iVFk
V103kw4ZF9V5DIueGFIrNb9LNCd0asxhoqK1rOToIXDxdibF54OQefLInp0lfotQmCaTV42vjL+c
IwCceu8Jx3vw4laAe0dxRwYCDSQkv4N2zBNmJGfJ2JX3Vtms4FgmD0fyDnX7GJfKeqpqfAfB7LRn
SYe1doPypjofu6k59hC8b2fdNc9tj7ka3TkAnW60Dk6W6bSUHTfEY9HdkM/QPyFKrN6RZy1POnP9
PTwUqGzYLIN0cctbL2xssoksZvVKdOKpN7HSbXooFh7eAtsJz9K2FpdJHCdXNIGyp4oy6JIDW2Pv
STEj2KbpvPzCU4P7wqxo3syJeNYhRtEWyGBDaTaPc2Qjj2pr+54Q1oxJepETGmLVHaIXibAhFf1A
PypHfhU7Wf5SRvr0aLJ01uht2vpIPqe3jZEyMq9ZTJApM9WISKrhTCmSZcxVzh+G2i4ZkLdvtDRF
05ZM46uCiJWi3rdpOFkye3FVi24tHiwXFbHuXllqiNHEGfr4g+mYtx0wTbQcjLZ6vYZ7WN1bSQAY
FR2P/9BnzhEUwL1N3O5+8sY7Q471U2vTix7tlgA0ObqsWCl2nP2sdWsfN4/yu4TH5KmZ9ZkR5rgc
EsizBaBFI7k1F2+czwfN8VI6FYyLtiVdnmf8IerPWromwh1WdUJ+c49VPS3CbsCWgXrHpwuK3j3K
ZcdcgNCiORwcsniRar4kDb1FRvHMEJTJ9rkPU9PwF9yRp1SVvKlepcKgUpp2ElVyn+uRPK2hffeJ
ToyIX9F7PBvsaSDptJqZy+qV9qN2Cv2+z1LrkOaKrbeK2l2kxzYjzdG6n+yzkFu+A7i/DpCcS/Qo
+gWgQXs7FS25EAAh0d3ExVlhENzGeCA6dW5fB5To2DYS40pwVIbPqU83YVMlF9mSG7tMS7TY7w32
WLDKZkyNCkgzGMPK3JGKmF4Z89xeRAiVMiYZsVMcwI/0l+1HI7KlnHl0Rgew7dJXsRWYqtTEseGA
+IjwQrgB0sHosWGtYwdTzm0tJxMqx8ApcWc0ZQ6WTHM9beOYHk9nu3hXk1LxKZK9hnCJWp/cDDUv
5247Ns8drQZ8HEKRVyDDemOXo3js0BjfsNhheivgPr/wAus7S5Fo5xcaegzemfJOLnN0WWcOykuu
0wy8pXbPTX7xd0/QYUWHQw5MkHHePKPrzMgwX0qPiFrZd/qhLnpzZ3VWFx8KCCglq6YytGAgshmH
S45GxF90qnmI9JGFKr6TyZYJM31dshG0t5VddVdGITCPnjN7UBe0H4BDDC+VFKoOGsQnl4Dn/IYe
YO93qcYRR9mjfu12In/pspkKDW5dWlx3Zaxbm6FpcidwYpusXU8LGWkaI5peXy/jzkKLaticNHmU
iaw3vacQmFC4GWXoYVeXPKp+MdDLP9dyQtow6imk3WIxnrpOs6N9L3T3CEBlmv3UjJKHSnMLdVNU
rSI5Ia3sdyiiUbWvERSpXaj3Mtro0iVFN494OOiqrHnHeV4RM+yS9cuml3vM8111yzsz4dcpyEfp
EdxB3IiLI7KsQzsU5ZHWn/3EsuTcCpKUSDOBDoeRqb+bVdZlnKaWJ2LKJDrrmMAKlt+091uAz4jC
G4HS4v+3SD6aHL+Lj5Xearz9r33sF29ZF799n378qH9qkPzj5/6Jqbf/MPCkCw9jHybRn6mXdMR0
odPKxE2ObvM/2yOG8YfUHXy5lqQ/sjbM/rM94v6By9nA/45tSprMD7z/TnvkS4QiBnaPZBUpdUMI
jruGt3aMP7VTGeOHjPlLMi0n5K5Ftwc1k19ERftKoxvistSDTNBmSJF8hG60Zgrqj2Rk6hdVNz5b
U/oy1C3By8ua+DoOBxBKJ44aRGUIIwmqAdFBw37rt07+3Lugw1AUP3MCQ7WsVoIVCPBBUL3VjA6n
9PrTt3H6R0P038qhOFVJ2Xd//9vPrZ+PXw5brkHPEb0TutwvvxyqPzZvhSdiLtLAcIZdFr6XbX3S
xe/a0l8/yV57mwLRrsFftu1BTf18GwF3siuTchigykT8USJb0/AxoJito+DXv5T1l+avvSKHmaPh
RONv5pfhC7DpqdAm1LKlGL/JsJEMwMtVzkvBg+o/HCsYoGLMAr2BxCHHofMhLYwbwiBjJoVTf1iG
ek8z5oX/6r4si0vNMRfMxu1zpE3HSsg3M0ZNXYvAEdWf7VwoH8wa233ZwNSIAP+S6ss4XgeHPXRn
7ARIvMds3qJomII4VG9iXF6aJnnlIEC5kOnO76YA6zf3UwOcLqPn6I4paB06hvkl/TIEbsZpHvVG
5br7mIwao5gbv4575vfEUlXPdSEgKo/EjhLttEbc22PxPYdV/esv4+ODfr4QaRiWadHdhg7gfhin
P70/aCHnqIjgKCJboxprGmjhmnx2ow6etJF/ywd8Gym47Tw/tsNyXznqhgad3Fs1Y8PCM2+sob1b
s8Bmp9nbkXxb0ui1UMaOCvf2Nxe7TsY+X+wKqmARsvHiIM9iCfn5KS1ThCxZP8dbXUeb4BA3I/Xp
nr31rtHEZd0n90hZz6hXDwueyKTRH7UYCd9g0zshi6JdiOk0GBdzPKIAhyclxP1Ut/ZvxlR/oV1w
nTSUYQXTOfYcVrqfr9OJGimSRGoBwsy7GhPrbirAUTbTfD05w5HxLLnMKSMcW/T2JmuX17FZ7nCc
bAfafb++aes9+XLPPl/L12mjjmo0z2UeBmGJrxORfOYZG50EIbrr9Ld+93Efa9LXzxM6TxOSVeZI
+pcnW1ph5i4EBQdWD5aLUGHCZvo2GIqJp8K+Qzti7lykU8FYcVBtCpmcRKzObD1+lcqC5ImZdhtN
BeIRr3zmgO5Hnbcr0u4eQV12JIaXeSVB9URiJjdeoQ/wtzCmWsuF2+PUStGlbWqjbFD+mxzlKwOZ
3XCEIUFPuHTQidvNRd7gcQphfqOf7LoDdnS1hcoLNhQlzsZsI2vbW8vp11/Ez0ssMiUeCoa+wCMY
QMiPwcXnJRasZd5VPV/EghdwsaNdWl+ByEC0efnrDzL/+pqASrXYFJlpsP86X7YNZxGNWYa801YK
/23MfmBrp2WE7M2HYzEQBxI/QQS+sxskhIO6tZT5EuJ2oWUTvrZ4DkunQ7uxbEp9FSSQd9K3WK/y
/a+v0/7ro/nzda4Tt09rjx56MjJpvRJYJy6UMe0Il0t9PS2eQzbojdTxuMT1mJDLFiPBnMvLdoak
5tbNc7QgowEYp10Ju9O289xYB8js4yXtCkxz5pTB7nXDfdQIG8c03o6Bxr9fN/0VhtVxY9cD7a8e
TLJm1lTTHh+MCQ8J/6JyQGG2CdwJoQJCCCzlZj8QAlA9zX36Fq72r7me1CucpUcEW/ArOTm8F8iT
SZGgxAuHJjqWolp2WZw//vqe/fUh4rTj2Jx62KYJAlq/+k+3LOs9jhtW6QWRE14B/mYRHP3Eolyt
zd2vP+ovgycpPs4cktLGsmkgf9mn51Rvhs6qVmjZYp0Pw/JErLd1rFsVPRJgbG/ypgF4qS676D2S
qOgqxCEbEAPtZuqrNkC5IvhSnPZkeOo3F7d+9s+rjASQ8kF+wfqNkuPn+5Cno1E4jGiCtMCqRO/J
0WgBPfzmDnw9qXAH0IuyiEk+wzDX+d/nu92aWTSMIo/ILUGYOsv5oAAkBaHT75ckrgKgdLdgdes3
KNMP6aRuHFwMcACR9NkolJtlpdK0SbmV3XyCshhf5BrarTakhfbrS/1XVyoYRIKUAoBHmPjPV9rT
b85xhIeBKypWlYRQo7RAh0FcdkReykbEElBZeHRJof31J3OS//mbkC6nGJg40mFXdr4uNqTb9ksF
bSAgX+4xnCRLDBhyD51rad6OCmsI9M5ff6Txrz4TX5spbI8dFnb+z7+tVyjUPZlDAH0T7rFZGngj
6/m8RnAb4Py9qIrhW5yND01sv6WJeDNX6nCo/dm3SeTHWlVduXP5nhILZFTST9L7X1+f/ZcF2DU5
TOPIYBFGTPFx/Z/e0llrDBISey2A1RkkKfZwJ9yFKa8LmGeBAH/Jmaz2+2k2yYKMz4dFvNIFnne9
CF/aZqF9J+xbcxrf0zjeFTOuq7GiQZclp0lke7BybFXVOlSpvgn2260cot1IAMlZxb9eans6TzOr
wRfaBWoemh2c/R+KZtSg7BcDWDEpI7uxRd4VhXTTV7/6r++A/Mrboc0mKFskh1zeHfBCP39DZUIA
p2vEMuhGeW8Wzg0ZHQdYJhoG0zkn2bdvt50TX6JZw5SOeDpnTLVpVd5t+6i77dvp1m5TNgO0Xz6N
SH82WzZ4ieqlAP9IWm9QeIQWGRbNrK7vN55i8W4m5rwTqAgQ/Bc4MKaAPJE3YpwB80bu3Wh5L4aZ
XBqRhXuc5OKU3YDuXjDpJCEvw/IdiSS8bLO5aockGLlQUEfXeT5fzGl6kTEr3MyN8zb2faAxHcJv
Ne37HnsdvOeGGmQ7e5mkp4/W3KYnCQmg2VaabqCbgqHcF3OgjGzexSBirFkgrNONc9Opv01tdF3l
z3Lxtkn/4zdfxdf3E/EAdCxdUtrpFqzKn7+JQeB3lvgmA8uEh3JwJPOQQ0OXtvrn0e9/Wonyv0pj
gvT90+3+i77k+NaWaE6yt5/aJ+Ljp/7ZPnH/cNb1USeqz8SL7fIm/ENbIu0/ULJRA1qouBzEVp/a
J+4ftmPgNeAMTnPjMwaQzooj1wWef2PzDzR4/v3//ISF6r78/88Nhq/bBh4izuirqIThA6ioLw+H
6Bytlr3Xk8K0CtnVNavJu0GQ0wglWQv7m7GC0Gz37W/WB1euZ7vPGziVHFUvQYa6YNZvruGHn7fW
KHYsJpf5AJrWa3+E9Gko02yQupODvvzM1Bd6jjh/BIqVRFtu54514ywf4+UqMdCg2o6nZqKfhlls
yowxf+UqUkNN2wS7kahV0xExINjonXJPdt7QZRz0Md5ZTmj6dIyq/SJGea5FvdhRYBB/S0BPvSEV
GSuoaK+nKBeBsKxvKfICEPqgNyDm+70GtAzW9K0q1lCzSN8KzdRpfM4Uc3Ob3lqzIRgoz6N1ZYD7
PCHvzq4kkVRr5m46XVluusak83mhmrv9bIniRjnVNqvTC4bj3WVWcysIOTcWP0SCy/gjS/jhiXQq
v6ia8ZslNPuh50TR+d0ANiaBuXGBBs7xifpC9ElaMbZFE7e22ZPSYOVp9JhMhndLItfMUTuGmZBX
e2MyhxtVNXYQVhi1IFxbkZ+1trZTS0YygDVq7vWkdf17OJseVN7Ka0lySnvve1/jEd2qiRUswiv+
QO5Uxz+aPGNBSKfltsNsR/1mq6yEYRClRAzA5tsjx4iP9Bqn4+Ro5YXJCMi3sJ9fzUlhXwPcxZZk
Zso5EW0tfQ72+kXS4YUY6rk8zRF1nL8wwkHC0sj+XNA1QqoE9HQP5He+GPH97WLgzH7apt4uTfrl
iM2sfmhKVw4+XTwtCjjswhdgzBSwPbvahoC6mhm/O3rVKQK/nW5iGzsDz8HQ43Qom8K3u9rrYTIM
9oG6N0HYEevLY5GbetaiiYn63jeVAeilzl11zX83NRtzKo0fjiZhtHOChMng9N4pFhOmHn0EYesP
LcHujqH1Z0M32sAiyiod9xHhivikAK3t7VjOdVBFtfPoqJH07yVVBM6Lcc0ImXvX3Yi2S2H7y1qB
ygUyA/LJqS+HIe5fQYjxIGWN/hzpVfwj7GX9jTuT3HZZ6ZGA5+DGalSusDjbQ/xslwVz5WRIop2Z
luCOKGHHE3mLfAonJ+NATe/hrcWr+YpXrDsXBETPfohcg2BnsJIEDFuG2prJbO5SwtnuzGqxbkv0
NU0wkRizcExvmGatg7tvlPyCrTOaahpJhvfauVX8xBA4d7e221aXSC1gTYATFo9jbwDZGQaccYOV
zG9F1XcPJBsxnzLLVrzhToTKW0smH4bRCscXedpCoTEa44fWJcZd3NfF4+ik4Y0g++y5HFaiBj46
2FjmZOn3BO6BobIN0re3RL0Vd5VoMCsrpG4bBO1AlsNUAOrqCL2zdgkorJT7nmvYDWdi0yIaSMs2
1k13j9p9gP4DDHoz0k84AD4CZBRncXuLoKVhbBvp+XFBlWBA5wlZRTJZkMBe5JMGuUF1BV4bN3tM
lQZAGRhAqmMow2qv6y3yI8Go5cCMG9EGunSpWAlNeTaANRw3Yigq3vjUTU9akccns5fOgPXZkZm/
ALu6SZAiPfKVYrSt4ftshFuLbWiL9i5i8BvYnBe3juUUNzn2+O1SMzVHGjI3z9RzRHfMLEMvE7rJ
VxZzvlG3LjUELdJAAGu78Nz9Zoyw1UfIU2pSxIt5wXI54VrrZ65Uq/vzIRIoDLnCNRFzLFkWxhCt
UJBpy3g19WJ6zPV2zRC3c0yE4eiZ9UEH5vhCGOZIB2hwnBpzpEaff1J6St67OZw0TF1Y3manWD2v
0iVls7Sfp2KpvxOT1Obg1ZA8bRLd00hIp6uz+HUek4EUuZSwZ0aomRJkmpVdMcLTYzjt0RRvQdla
59Uoonjf5VbvnSus7RiXBoO3C4ZiQrB8k2pvE6FAIZxvsD/bknbLriu7Gm1IR+y5bTVpHpCshUgs
tErNRmOTtgA7qgyPhl1pRUbzQveCJqyUg5jLYcLgGg6JHXPrDhdtVxf8iLsQNzXWfm264SVPUvsq
iai4xOktH4e0Lc5JHciOZKmyEOsMFw800thBs3JQT4VrsOhFbjJd2T3waFImWKmXMuOkqxA9NniO
bPm9gl9wN2cmNgF0RYRN1CugXQ6yfVfDGN+0wiJpNCnTfjsSGYpnezIwdNSArKKqeCoZaZ9HmQsM
J5VsOxHFMtHiBI4VZqnjCxi6I+4Ua2tx5bjS0qthisMN6v1VF2oIk9xMJ7+yw6EDhzKFVQxTNZF4
SGrmNAfU4ViassEN3/QIwMZmEH2mLiqhADi6YoyfdCxxfNFunmCVn+eVbUYPm8F+rJ6tBfsly299
Qn4k9pE+q5eK/flCmNGM7Ck38xdscmhijW6RgkJZIIwcU4loDaZ9A+lKkWboC01vX6fB6U+oM8er
cA7NE9Y75wdjaQ34ebI8OLxI3zyhhUyNdZGgC8r3pr0ms7pVT/O+zfv2+5KMEVGtTScd3/M0oHR8
aeZNYjfDXVXBixh0M8uhGI7yxSFE9X3JwiImvLuByGeQVcONA+FLmEY/z3iol5ngF7+KEJMSXCPe
2F2SG2Zv8cyyVRfYysyhXfKg6mtiCpCbZPJax6jY+Pa42PNZLkuAFJrVMvVpByeYrbzjJSBMYO40
5KymF15VY/WEwSsmPJPBdJzCIkuKDlMPB4Nm8Yce68eRGDZxJxYrnvxGObnwC8gXuzqetTpAo7cH
v6hobeMsTDeF6X5rzN46lqAlKaekEbWIUYnObDRNXAy28QIOuXkgzd7+081MkmGkzmO29YBhoJci
AhfHMIKDdxcKICKagQERmn/HvdUtEaFVHS1m1m4WhWDX8KrwdlrDaoKdrJaHZizIatBdmBDw5Gat
Og6jbT9NfcMTVRCiy0Eox3NJO9qg9al35cZF7UP0Qj8b720WAmcwII89J205LijN7PmaVn9nBroq
xm2cqAjRRoxs+ALcqTpHXaZB72kHFzeZveK0Wne1LGQ9s6URISexG9prpIlK+Fan0jdQnqwCnlmg
gzEWzbjD+Wvbh2isOZvYxjI9TNkEuEZpKBjOECNaSJCp4kP0v6mKLmkzW2Ra5AtofyTQzN6XvIFN
hFTqrBem/F6EZuvPdghZIsuDtqlh9vSG2Dkkqj3RkMBhri2c2AhJNoBZYhMcdUWECnYe3LQlZIxN
b2jflBHVL8zFUHiX/mRrKPe8BXxp7xY7OwGk0IVIgYal5sOw3F4PKe7PSDhxUKxJMSg1gzVz7RB5
zpxuFAi8m7TWNKQv2BXNrs230gttttyRDIXQIbJeDu6yc5E7e4tpPPEkkomXdOm2HROLN6yS3kkO
bXuRxvNE2miay9vFUAmB2T0Wbk0ZxSVSNO4fL8UjJH2Wq9yylnLvkvnzFOJdvO/aPtaDZHFmFQwi
6gxcRPXw7nEa/GZjGRIo5bqYXBcrBKNfUN28W243tv6ixfG9XRPth73ctC8nHOSbxPywUJs8hZsM
qXscGIOa3hONUMJ6aYq7aWFR2dRlSLKwViiZEIQQxRwq+342D0ytZuS82azObR5EDr3k71AHsNNC
IUWn6djKitnGyGy7KjjNF0GGiko/c9B9biNDJHd11mi3lVoiolFoVyyFJCAW6orcTiby6MpLYdE5
zTDpRDYI7TzLQ5LQZ5UwrJKx8O4rpFdkqoeKkyAbZd5g/hxzO6iMBmROtJDvs0no4EOPsBW3VtrV
g9EXmNUS8ki2JI/px3ltj6O2XBU4EerAJxRvXndeoNL8kcmoJTJaggDalFrBEdEgNZy45AnftT5A
H5s6AA1mEVUHlERzfQYYtXwuqYxhN1ht+pbaVaTvKGOd60llICQIDcuJ8ol0g1T4keOhRyAYg57S
JfphnEKbxcE2UGRD2W5uWndKR78veAzhIS0csAeNMqezW2gxEv3wkVCsftxhxtTvJey+zaTlPzBS
z4ASZjfGm2fIEOs1THDgqSIyzkU7OVcV4lFgXv3kuSSru/o5slkeuJA3/6xfW+KdFdXMZDKifByb
vLnNONeo6zG8nE1u5NS+VqXfhSS4HaxMYhypkp0bkZbIXhe8e2RnF8SBX81x9hCToktQoiG2lUVY
MT5UhLxaH5jkvJEeJa47XoDrRAvdrRJgewEk6tQNHD/aauyIUZR9th3AyW3wHMCjIWhjM4+gnjIL
AGtJKPkN8vHiVOC3DnqDUyM6LAWXf0+dnV9UJbRcyIZ4mRXDVjWnArQwuJKyyg8DG5ufcr6MCGU6
laLVH6EammixkBUHRds9leE4+H1iitsRYw5OvVTtnBKMY6zNEzLYQRyIUfLOQhkilJtqMxpZoTwS
vcImORpGhl6wTdxlq7f5GhBceedgjybbr8Bn+guL9w8XNHXj6t17DUHkFI1jv+nH0nuptNE9l7i2
n00ait9dNlBfcoOGlnC3TW8POqGmZB07W/7ETDsta7/Xn6165sQbd/V90fb6wWxCt95MnjLuVyPG
MQ9LolU9rSZdLR4fajLbXsNBXzCp6Ep7HwdZdq9WRhnEASAZzd1/sHceO5Ir2Zb9lf4BJkiaGcXU
tQ4tJ0SopJZG/fW9POuiuuoC/RoFvEk3GriDHNzIiPRwpx3bZ++1i8Az521D2x9FXdIeaX+XIQ5X
LFbfhtU2rMYiJss+8jnAktEymQaqKR02tHxCAoGyf8dWwEs2lld3m04NeBgjiuUIzMRWGXDNZFJY
pdczs/KqWNHI7vGg8gYx0J4uCP4CLuSx0/KjvbXAT3vqR+LAJIxn8KYgUEobggKMJDdlImjftEst
02XldqJbiMJy3lt3sH4qFdvBStp+Oq087fl7v/dHH3TmoMOlwMzGGSwy54eOrAx8cR8d9aAHyknH
2V2aINBZ1FuJ89Xksi0XMqzjO2SBctd2QtzL1sT+GXomj8TAg2iCAS/E1lHpEtgz7ARFMiXgcp5k
BXtfp7fNU9dU1S5re6an1oswuJWAjL6ofPTaf2wy/7uVz//nMnjSQub/r/TR8wcBvA+NrfbfFNK/
vu6v9J35y+cuZ2IxIy+HvfB/KaT2L7wxqKOW8hAouYD802Bm279MnoU8EfCu+MiAfNFf+TtL/XK4
KtEJIdgQXe0i/4lCauHJ+btUSWOAZGITwkP4YI//71Kl3U3e2NrGuJ7aCm6aEyvMLr126M6L5O+Q
nSwPsJwd5WokzNssvD/HjvXnBDJcI6YuNYFCXmhVvmKB8P1Lz5MFy0+h7S9RO9Z15BB7d5Scf82f
szD7cy5iD86qO9XE8YshVRw+mJMcyjuW+5lmrRS33CJlwTa7KZzAXgEnofcwiSrfo9DOAXjqsNBn
S5TbnOf/GCknpBx3ya4lvKUt1fqNW5nW3NGxucSnnb+vrxODDX4FnirhrnxlRQNOqgXdcenN0FTD
yfwzhqjrRGIVzXBoW8TtVaMItV2CP0NM4XH43zO7vyb9lV4wGCYTUO3a3NGGwJnwM0Ux+5aR5ueT
7GmNB29zHatsbscNdXJaJsB8EiYqz8idTfNnKpvsBtPx0CdxckO9NMIaatMTQC1xMkzBCnjWXp/t
DC8c0gM+AeCgTHAANDCj4YmdMA5r8kfMmXZrpTw6TNkxhjKQttfRlJ4yG3SwLk9W40V343W81cy5
qmmvGZ4xvcLj/VyBgBs0DNfO8Ra+zOIX/jYU5D5sbgNgfqCNs4qpe/4zgTPLyPt04lp5xjHMjO7Q
++AvkB+Z3QEjGoCeS4fBHruDms+SSlQDqgWXOegQmI13DRL2S+PNwAA7+Jf9GdFh8pfqz43DG2x1
W4zUaS9jL9DFiRpX5MPez5BIy76ydqiO3GU00rG/N2UaVbSMQQDi6iy6fq2AaxMJ8NhmUQUL4DKc
bf7c/rlAQfaNgw3U3D6D90MVGBks1nzryK0cm6dzNT7qKDKyXXK9qFXXK1selVyWw6b5LinoGg+8
69Dw6Qrh8tc3zLRk18FHR40JIpo+v3BxTVRjyMfnlqMbBc4hSUzxWflWN+4iq/PydTSGGt0EfOW0
JM9aHsTQVj0zZ5Oe2OYiUMTurYuq8aQ1xbnLNqiNfdhZ0cEbBoR0beXViwfM8J5xU7/P/uQQQ0nZ
gRF+WKR8a/shaHquXHTptfZj3IQoAZaZckvuzGp6iAsxf4Mon8+9MpuB+G0ZWTdNh8F8MZapPazt
Yq763WyGQBgTv2l3oyxRyYA35G+tMdc3fuKaFFCQgKNXDPtouTToBnmkvRzniQmkoQY+5YmWyFKh
TrItIrWqQspKFoiBoXXsBM8E6Fm5PDf0XSCBRSUmFZHk8Xvrl/a4didwro4VGvOSycD2VmXNYE45
VfBs0Cy5nd2e5cFYFt9ZZYDdb6J4EwZyfAEkly8hmnoUM9VN/jZlIZ8bTFHtDWoyoVCZl8fCzPpH
MGJJhCxOXVCc+SOZKylu0RiZ+CSIwh1VZFf0jpXliwQmWr6rqa19svJUH/U0hO8qtSk1n1sMUHdY
4F0uGIK73dYnsLrhfh59jpUBIDWBttwvZpOKdepR68fYMcWeCQGqkwT9ZyxQ0fGuBa6TfVcqag6C
lIFgVeLNz2xDiq+6L3ufNmkxhtuIEwcJglsGQ+/Qr2UfDpeoLg3QnDZiRA+9e3ioBupAlxFD+LUv
vOg12mleM8jbQXXonSrrtuMkLBsUswn0Bmigg7Aa8F5dKrPWgCgn94apo1z6rKrerTBwiycv0Ya5
GkY+KAuKCgl0GqVSK2yYjveVGwQh4CuJrWooYioinDWG+dl2Gd3aNjAolIJm43dRvYrosMQmD1iF
S1fMt5RhXO/YjSCgkSz0eeyT3zjU0+QXjxSKCGjqkrLzXtbBfT4ZaNwTTQkLxx7cfo0RLB7WGemD
a3G3K9mJ2YxHHpYj4yhnO8H5SjJ4F8a0ZJ6lCOalF/LIgcYk8nWFtwJ4Vdd0t0Gcho9cRYps1Yej
RfZRxHg+qG3gneirwkgW6PTDkz/NyEQqpiwQHhspFeRl6dzRwG3AyZmKvF7GJB/hjU3XOc3GsXIf
1zZxZp4NqIEMvk6NZYMJYk8BoaS6GQV2DR0rJf/qxiMkyRi2ZiBnAzmczSHlklW87JkP9I5ClibY
AKT2dwW0mm84OfVL0TXlndG3cc4yP56/UmlgBCzpsUKOSjoPa3cO8mrZd8m8twqZpoSLqbSEhUJC
eQlIzpYLChZ4EQrYxOYA9fBWp/PEgNAI8eHV3KKWXlFUjxNywbk0qwF7Oshswscp2pTf4aYnwhHm
l5EsEYnWqH8eJi4u6RT6QGoN9p1JbnrsIDzWQ+fUn6fHfjY9Wo0T7viLMEW32Y1O5/1AWJp2uQit
C6hmVJLSGJDsyzllC1UMFDCvPKTxhRVDbr2RDNvTjqKHyr+d0E97TG5udEYC9N8cNak7uBzHGh/d
iEc2vycvxA0rmdsI8yiFD4KH3CoIe2OXxFz/0c8+kyrDf1bxzLRNnYp31aDFLkNscS8tqbLfKMUB
K7Wx/EDqt4Cs1H26N+n9XfCMud5/wuRhkgkom6FLwtXU5MmyH+343qgL92DVrmlve4HwkocO9CHW
O5g7wzBe1sEUIS+xC1rIOrJJOSl0SzeYDwawTlh6ITdKCeYgfY+sNgSmmoJtLKN5N+IZZW/ooyNG
1cBOl1bofJuE5eBBbLXbLTjH4WiQIZL4zod2TR84Ncd0n7qXvjYoAslk+C0HJ3qL9PRoWBysCzsJ
SdK6fQNiYKwkqwcHwJ3juiDaG55F3IvFbPd7iAjOZ21EFZ0S1PEYhz5J9pbk+mJjvLyT9oxri/TT
I5UN1buySKNeRFL3v7EZFQOzQWrnN04bsd2IksFAtrNncDCTV+XsRyio4LKcjp8hFTffgyzi/rlk
KxJvnRLYUk1lW3NHKsx11zZ8Nf8gQUe2p9i3eBnD0O8mbOZB9S3CrCfxJu2o31NlxH7SYJxDrIS5
6h+KQvQPtelxT4xTAxnL14TfytHJ53vR1Pe9rtLyoBqSUAsBVehucgXLADFHZ1TUeBerSUNGGZuW
dheOrDZrc1QJGY0lTc303y0YxNvbeG6ife6F3qEALU+39yBucB1H7MzaAQjjyGY4KCvgPmYWcpYz
g3w3aGZPimaMdecC+6FUxiaRVnrPhkEFAOIZHMy9V2RO8QGJ37+mCFL/kTyu/O76mu6jUDbFTefr
+rmDRANtehqsg4BdB9ihdLEp1SH9oqa0nh1mtYtuFcXSWR8iiRGnz7cqd2S2Nu2R/B6ozXop0kp+
cUBmK44sDw61Z4iXNtAfdlOTSBz7jNATHL3qN2Jd/WLFqjIWFgw4Y6mCjoHDiKfiuQ678HEoU4QG
us0ikAKmeoC+PCqPd3Jtv4K1qJd+TY31VytpfJUGmAsroCaGmfzDGmdnCYrrIUlta2+QBpDsEJTw
D/U1vbMzZ4vO8ZQdw7QBsNsll7jsBbk64Oy08EqWrzubteC84U+5yzPP7aMldRVeuIGEV200DqPx
2HGzftS1Zi8Y26H9AGubDI0tOcqjKa3um0mH97z3593co+FSPM0xvyrmrrsFfACGVovqiEtabGyD
qSDO5A8IdcSi6iq8RQ2NTXsgo1P0AkgzQo22CXUuclCjTAzCtM6VqLtbOYyoqQk1wwTt17UTjQcY
v+VamACIe91TSD7E9abTrFcA2ruwCUWkFHwKv70fjGDehrYdv1a8tpD4xyZdwnVIS/p1fcPBrS3j
eG06kUhZoxjGW9QiGR4So8KM0IncfRpE75irIpGEDCBQssHNPHdcBBy0l1BeL2e0+6WwV31/fIin
Mcg2Zewn/ArV/EbAe3i3+SmcVTJEJhQhXm+Ah2R+t1I04zuNQ+xyYiuVN/Tnmo8MuDxhk7lnWO+a
6BCIcvwBvQwlbnKzfQNQNt7hbpBnLg1ecKiTyv5MykqsMlCEgA26CPklmn2213M6ju+jffXB2IWU
Nr/FAIJdjaxCLRZUazeFEr/mw2zVC7K9/ScfX+ekU7Bpi4hu6Zixowh3QRRl1aqnhWcwAVEs0O/z
G9tkGFoHgNStA4zDwNlwIzbFKoyNhFsV1xtnySV33gIFtd9VywG2hCx8Tb6EJq0+U5fBPQjw2E9P
DQEKST218JNNTIryu68bte+jznqjCsNbkWttdmnFY3620TAXCt1z26RtuSbHTJGi8kJs/jnq8BJ7
ZAIJEVj5uzTq4CZ0e7V1rCZ6RlTMPHqeq2tSPMmcu7lpS32oS4puVhqqPnppWDhr9t34jLohRAHt
bWB1SxWhX3qVR5Vz2Mb+d+yDVRc6fIp8v6HlLAG1WBbs7PNqdjfIu3A3Ka46TNoaEKeJmVdjXN26
fW2uqsZxmjVncwbbJe70fRMMiNxN506ruIj1V9JGTrvxbRyVOxdK8vXK3n5Tqdjf4Ecq2Wphb06x
i4Yhh/Q4mR+yHcxVxu/hN/LzfI+lqmWyj50TXhCHLUxI9DYKhnPZz8fQ9VlRwBvEd1/nwHmk86U7
Bp7UCYFL2wVenohbkl2bW51kTLy9I17mOfrm7cYCkvJ1lrbxd9bH+V4HIl9lscfrnTAh45S6yNyo
DrnS/EB9Wd16HMObuG3Cd2YK8Lo8/JwHmX6YtlKU0weKQb+gbXlSxZpcrNqnhVk9BFVrbhuPPQwP
zlUJvndrxYX73WHU2AVmQ8N6le7mwmMN6HTwaitIJ5uEkPVDA4/iyFbE/PTBLR7RDYc/lMuVDIBp
b/x2Msdddq13WfOQHL7mzqHUq6B3FM+B8g5tWjN01QBNs2UPOuRDpY43rUlgqNPUiWZXjsz0KcLx
lhb7YVexf+VtUqW3gyemC/wN1QDTozFvwDLmI8q288+U6BSALxPkUsnce5yATIFLhBXt6EJyJ84Q
iqvUXNlM8j+ZMTbbpq3/HCavtY8pjECt6s7a4SHaUgGdEH9TlB3mpR/usNRsqf5NtwWmNfyzFeJH
6lTtE+NujUAxaVCVf+4c7O1WNVyd356IfLZK5XzP9ml+o3PKuS9KrHcLM0o0wBc5abIinbWMFY9L
lJutKrP9YIcVlQ6Wc9OlEiYq+xJCkphxGXaMXG5EhzhNNFyd+oz7aeeCfhwa8+haEwtXU7nqPvMl
YMG8Ge8yk8XNCFwHlEaRvtY0RbxSzEhpW9c0F6Rsay2Lyd5UilVSRp9tBV53yUSjbqNaOWvlQpSu
AIzUwAt2YnTpyQiHpaxdeZyUbTFI+TPrBhy7Bb457sh9jA8jNNY9h/HG8SEt4lvKTzyoqA6aW++l
MGpk+bCp6yVm33jBvuURj5Tfb2OzHx8dh3qrgcgP7w+/Uzde6HqYDBJnOg8ZEBOeuIBrREH3RxtS
6zeHlX0craRq16hprHYj/WYknvmonLqlMqqe9dPc+0x7YSogIyTmFpszTPWSqqrK4fdPOUC7djWG
v0M9DowhQ0QThFKKOWdO3c+xyD4wM8TLsSTP4JDP+uknN9jyfCjva1rpGIcC45KJGitWMLy0CQdr
Z+UFhsGoKrdqVD0C+3gP28u9VCqALdJyHcB9DQrnSs5S8RFXXLF3zcb7MVtxa9AysdTsERjIgunW
gYS3HknELy2dGYurcJKwhN9GY9LunXFGm5rK2Xl2sIy/qdRYmhq7Yh928dGtW9AY3DfYNTHYYsNQ
0yeRMPGEp8r8PTSdwX3AV7cdFM3EUXN7qQy2JOeoJwTB30Xcf86+asKYem0IPe4YvSf4Hkl+m2pl
7/Bd1OvGzNvpzkzBtXdXj7zXWhB+QTEySc0qtBmHXdxEaQJIDAfJ0N2ZImfXqwqLQ+8fLtn/v1b4
P+TWbT5NBHr+97n1265IPj7/1XP915f85bl2fqF8SIFPEpex82dv8JfnWvzyPOZaj2gmSwP81//c
KAj7F7sGSMHkWSzl2GRK/loo2P4vJW3L5AsJM5Df+4+a1yEK/m2fQErGIVKFfU0q/vt7C3AYhqkT
Yxnbdl2vdw0IHnApDncPTwS3IjP0cajNaZUxwgNNYNpXeRHum9FLjr5ZWEvMcN6zV0zq228Ag9S4
kjZQNiWWxmQ8GmkRES+Et9HwzOeGB3Q8HOcPp5O3EPdWmGHAh4350QAZsWI/jQeuDDqi1zFcF2pI
+zl+tkv5HcgOE7DKD6mmL8LOM5KzwiS+UNOJskRljNcxfLynTMU0pgNzyg4CChJcjmm+KSw3/+rS
qyBMdOhziu1ox/cbbip/ArB+rZ9fVA4sEdvE39cYuNzkROai8YP0HTBRRhEk3zVA2YBzQUn5d28C
aoX+Fr7IXA97oyjFynVovqyLnEbGFIVhgiOeWBPdeI033nQG0eoyUlzFtC5xQ1E13N1G2TjujNQp
jmU4dNi4taI+rrARA9rEfsIlwhN9ZDBPRHjREet5m0D61sjdW0CK/VNL4cZPncXNa+wM8g5kC/tn
0/O5wdRiOTZltaYFIH4gfmXvfXt6ThjjbiHbWw/sfNWeM687tnkQn/rIK54HPN4cF2BARh3GeNbT
JedJ8jFwtFyiyOO2W8dk9inKdvsH0HY5NXM4eiUpTZ6WHRZwp351GI2WODCqL2cOfk/J5M0r1x9f
ImyUaaTI7tnpOq4s665n0FzH2J9uE3fwX6UzVic8LvIomIbo0wWQLVMTrj7sMmArSaQuUyHoEoGw
QmEPaeevCoTRlqmBeW6MYK5GLIFyUwaXIaOvB3NBDn7Gs5DODPtcT+5P0Bwt+5WedBOJwvcftAEn
KlNar2aiKQrtpKvWbHPDEMRLVcwLfgn5beiUKRSrGaKDMU9PNnCbG8rdm2UoS+7Jep4uGXSuVWj2
V5Y00DagNvjJ3X5YgfJjwYS90D/n2H3osC0rTb9AIFZdwfY/M5zf5EG9S8tSfF3btb9x2npcRojp
+xbP6wUcxhOKTk1vM7j0OHbpjpwa99FPjX5TZTkHaWSQftR4j5YK4x/lpaG1ThoIgzVsrs1cAJMf
pw6xf0L9d7rSXMuZ6roQFfGcO+WEcaBzt1lCJW4+IyAzxeUCCJzrzdU58AK5Uom3VC3lWxhftjO+
hwpnepPgOoUxsxzs8lNF09ZiC3UM1YgS0JnpXTXiPwSpB+lfs6jhorjhOgPkOogL4n+m95YCvOlx
Oxb9nRXXw71TVG/SyT8LfEJq1idduF8JZqfbmWjZrjIauWmw8PHwuf6NeeOJ5WCB8a+YB7W894gd
YGNu2lWNKPcQ+nG7wFkAdJTk3xJr/zee+wvmmnHttHaxtDoHU5JTdS9ROdgLSm0wP6SOeeNeKTA0
l1pHiKftgTFerru2cn9agp4bHHLi3HSCD5PpWuuA2MODILq5liM3VTn5tNBxgrPbJHjL+7ig7BBs
EFfjanwJ88DbCzcBc5BqveFGVB5GVrNLN+31ti+TaZ+WCjeFpbUD5Cuct0EXzLdeOKtN6AIZg2Pn
cpGdRhxQ/LanVNG0BVUIO3bUblOfajMjAH1dTZ3c2h2b7gXZlc+K5GjN/11OrKu4zudmixxBe8sL
ZKV5SbymOrX+0B/MeiwORTZ4tPv6xeegipabFQRhbHrmPR9yhpg4coNFNtTUMY/Y158gebn2smUn
s06LsQO+JCPvwsyKjyaKPbFJesp9R1qiv0c/fxJDXa+rKd4amYWWl+odDaTuigNDvfaFcYcH9zJx
AQ+CBG5xTDtKP2FSJeGcvDZhPiMFeMkymdp2U5YE14Mm81nYXK9moiGgrf2Oz387qSXW+3jbFsq8
1W62Ts0uW0ShT/4+6LEJuqcuwaCO9ZzAiZDHZMbDIX3voZj78ahKzm7mKdk+AKOOV3k3fKeeSHcD
DdGrgB1oVMRwT2l8ThMWqKD7m2WszWsJDD2HAsv3Viie4ArlmkA2A32Xz/2PH7Z3Ue/CTKta1Hf+
Aoyc1fRaJTw2FvQeJmrXUye41AC5lmbLHT8DWNaa1/5VbLPvrL3Uvelk/ZG/fZl5NKj14Vub8tTP
4kch3As2NeJ+eljmWZivdWuYC0XUAKlTR6fGMCmTLVO5dxNWGjT2yheV++JNi4ScYu3Bd1MxRUdB
9RBmRrOd6o77rtX3Q8h9vKhe2YKFx9qZ2hs3n6pjCaTuJ/clPfRqvB6DtHdmaV5stKKLwp21f68d
aPb5SMjK7F47G+9ykh+7IZkvVh6eywaIW8gnBRm1aHEI1HHJnirhoYrJCB29vjp29Emw/8lHdkh2
1ALHT8S2zJItN2f6QOoE0dRIcwIYc7tv8Blgwq6I9nCr5P/6sfTkK6qAU17FTNvNgwiH+lSxtxgF
Vkj4rehuqQeqTNlH1TZese2HuHW4xQ/tx8wx9JOw+ODGbma3Fhts8GwkEzje8BY84hVtH1PTF1Sd
T2luUwcY13dTb9KiWKnmbDC4rxRsT4VUMZnPPHoScD7BuNV1QVmRTSjJtAtrBdUPzuvQJEu8Vs6D
kUYj0vM051sn5CK2EpF+rFipQoL0bjxDddUi94xndrRkCkpGlNCsfrJqHB+rHJXY0K6z6WTG6S1E
7t95snwe3f62pHCD3pfo0sbNhu0NuH3RvWLxol0U/IIoUnEHOr7cgL6g63ee/HOBBTxew3Z2XxPM
k4uSsSJU6VcSya0oQ8B28bGlqHVoYc8NSP7hapaU1fDJYiEbog1meGTLBGakZVJurLpbloL3qRl9
caA9D03/rZXccl9UlyoMoYha0l86CaAQNc0W5y5TWBBhFnDcVeLM0xkaEjxHDStITLK+wJnYZHT2
RCw7KSLwI9ldEOygrFQ1SpWhk2qVEBV+5PHrnaYZciROM0OuGeGLvWUxdcroQu4pPhr4zldxP4gd
d13zjilueiiTjDBtP6hbi8I1lSffMmSAzUfZYd3GCF1n3dlJrgS0iO2wprJzobStV1cD3CGAHoq5
wRp3wujNZdkYH8Soqh1NlNlp8CaOaCjJ69YtqWDSUCPLOVInTaPyLeN3ffDc3t5V5cCFOkiOuTHW
b10yus8QcLyV3aPA0mtjsMtuW+++qb3qxg8sHC9J+eFlkEYV8Eb4I3nAasrZ05AwLXXdvtZO88Ge
Wq1iu5WLKadQGkzgISDh8qKwi74W+bVTjiX+UyGbVe5UISWoyH+Uy/XGz2jQHM5E6dzhiaX/PClM
xV6UynenTjMQVvWOqwXshaF1eFHz8BSE8Jhd79q/WWaQWYruBdZQfaKUvnkr49JapaqmEaFxaoMH
j4iAWaUUOgZ1w3snRief8mDJRtfYOC6b1xndalv1XfAEUra+Y9nmreqIjbNoKnFx4hCjrpUN96Wd
FS9N2JB3xgxytdtM92g/9KCAP/0ucwtjZuwUv31ifNuRbBlNTEzQALzlifwrpVGzUeQfsR1HJ9XP
iVpYg2cfCSnEDyHNz/HCcOr4WbOj4lELKtqmHO1iZaa5xaRqXix34nPdhwIAgtb7YM6tnekWtFlK
gloswuzVYAz5NxEM/2J4lXqeLAsdoR1IScGGemMTFN6npHkeSrzxB5q0rh4FK+556emXqbgJYLXG
r0TrDYdrEd3pRG7o36VkM9T6uYsChGo9DjSa9/h/hrq4SN3qY46+tZ6D4GcoBmydcxU5mwKU+KYa
AW6ns+O9WWMjjiEE8/thdvR6bK36GOrEYf50SOu2Sr1zZa3XM+7ln6rFAeZzAdxHFHXdOGEcX3or
incK6+6ylUV9KIVvcmpIfwMIy7OWdnybGkOx7kImcxpJrENsWLj5bSiR9tzckImyr2siuDBumx+8
mVU7wVJ/37rEG9TQpL/5h9brwK/cY+pGsllkbYlHN5t+09j71RL6XIAoDpcVluaV1aDM8V2uKKuQ
52dWBMcgCi+UkzM5Wv7ZxtS6IhRChWGq4hf2AtNqmLO30iNpwaLYPVcdARI1A6g1YXqVtGAcr5d8
/J3FTz1UW+Xl/rGkFQ9Ye0QzGhTT5yiyabRyMXStIj5z6MwY91DLCPV2jYX/DIhKTfvsU8gAH3CX
659DU7HxrM0HAhXBRgYbbwi2VlqnhyDv75LBWbnhwMNlYiQ3zQ0enekyBXO9aUN85WKCkS3157WY
/Fq5S+YJJX1F5b1e1W3tcud25LaZLVFgQLpqvII3ahYQJ26wTndZ9DZH5gUkfb3OTBtzYO3FAIAJ
R/SVYa+55wU7VKtslcq4ueuvPfNmpOtdr/15bVCBteOkSA5WXxWLus+9m26e5JaIEzqlCs+9K6jv
ZBoND/HYsXHIbB7tUZrY9gq7sKbCzrdfMJeTEvEQSDP06gwk67KsaGNk8N1F5YnE9QDcqR9OOY9C
HGXG2D9olRRv5Ev48IjICr6aoJiNRRC5I9i8CJYr4dfkLm8s436UKm/zfSN7lu6ELvBS8ou/lHla
XJI2sd45ARsEPJTuOWr4wZO0JowaW2O4tAz/tRNz8GxjhlrXPfeWRRtP3E+pFKQHpkmtLR0m7Zbl
u3PfFGN6mFjS7RXxDPLZUm673m6+HFLCBCujLn4rqWD8GvN8XuiKktW55+HJS+MfA0Ae+5Yfcufb
w7ToHXzPcalbkDiNfOUuPTz3XZw/tPUgL6lro2RaRcni32xuBL/TOzu3+WHYiz6H9vBTZYm95iYU
HyKzt24miz91I63Z9E/06Aaqzha6MKwbTltrTaEdcmgQYbafjJORmKSHsB5sXAaLhW/VBmROi9WT
jSGVMT3hY2tWvvsAvt5YY/pkd8yS6UyBxNpursGPUPHE6sMYAjVtYn4jmqXflo+jk37g7DzPUwyf
f4i/01Qme7duznnfiCUZ9LoCDv+iufywtMG4ZU3nzp/ey7owDhSERnd/xLz/bt3z/yKQhLDh/P1X
iubjRx5n/+Py8d39q6r515f90yctFNcIz8a1Bm1TQMX5S9V0fiFP2r7jCERKsHh8q796SizxS/om
5moTFqVrg+r5p6zp/UKItPkqzM0umiju6r+RI/4TkgT2ZhsckwDSjheLjql/N0k3GAk6Z2RVydl/
a/GcXKRG/Z5LoAINm2OwRwepx3nXXTs+/+WVuv0HNOJfIRbO3yCgLkZGCE0KPRVOpsW/6Aoa+zfe
jkUfuctqwMqMeRe0Dgz4NqJretTj4qrxLGY+ecAE+ggfrRmf2tIyv4rJJ1ZYjfTGRq0EJuPP83jp
FQ8SMkvqWDTziIgai0Pd+NcOUe2fRawZKJoJhkqArXdivYips6ncu943VXqucg9vElhBEV0r7jgP
LoT3S9orxsG6kSWjCckyfQ7jHKB7nCJ40D63ubp9KI3G+nBxcbI9MqqTDaxyMd8RVbZPtqeNR5fQ
JnJq6d8MAnj1FRty5ugutrFhTE9JTHKdJFW2sEhULKLM6bbcedTRT2m3vW5j9zOAjatGaRgsq8jX
pDvp1vbJVRSFrBoj7pBVWWcKGihYbW0lLL9tGBNHR/HA8lgyWbyjSyUCEHtl3wsfk/RS86TlADZ4
1Qi97aY+0acWjWQ3pHWU3yHg9vgRJvOtkFpjB4b8MC3NueBLeaYOr0MYQqA3vCF/KIR+6WpDrXvA
1RjW26NXyKPPHnQHQ0Lv+sZjtVMb705n+meT7KXD+m+E1tDpzl6kacKeyEnECCE0H8dLV3FR7Jo0
PfbemG+zCDiSjaGI+s7aK08F498ePTjfiT4aHkPoD1s/GMIVcc15o7VnrOeOX7emDu6DfBysj6LS
AS7PfNymBu0CeFdPfgo2IcWDchZQgEogYgULXYRR19DezoJNT3QVTNJqbDvrNMVDVJEczOl4TIaA
uk6D+03W5PSvdZXcsyMEtWHYOFjxgq3gu+sXQmXei5tSEl8lFe/pUB09C4KPvr7P25Ca4ZpFx1lM
jf/YYygE8t+1KzaPtCibEKBQGSpC7zXrXn6D+tFFS4VRz6r2Acynb7EiJIZRLicf5vMK57PVoZjH
w3vidcLaVA6qIS+xSblrqtnjryNrULCj5hmWgBhs2W/yOJ4vXuGKz0IGLUncAnedm7TZdiq4xFFG
5/7MIdd/d9D+U9tqG1Es6oz3JLbHE8AS+SiQAK3VWI61e/mf7J3JcuPImqVfpV8AaYADDge2nEmR
ouaQtIEpFArM8+AAnr4/RGZWZWZb3aoyK+tFW+9u3EgFJRF0/4dzvuNESO23wDugyBEXH+idZRg0
Sb4ECaURDYarMa1DruY01N+raWSuOlC/nJPGaqx3z2snNM9yWvtYNBGyzW7yvR2b7E7nCcVm2JMp
GgtJuHx9bItYHtjk/Zw7ArpZNWuEKbb9M4Ss8QM4dXKYQhlfcEdERxQgDDqCai74ddoDU2Ik9aaM
Kz7Uo9U9u1r4n0lgB0fyQOeNIcnSK1qt0YG0uTykZp3UG/A17WVGYbKd7KL5BriNOq/XFj3wLD+C
eSh2vS7jnwIr95buoHgo8KnRf/jWR47l8o48D1jGUcCvcPTa54CopX02AEvpQLm+RomsX/Bp2c/A
uZxj1OoFkjJBM5HpooHs+1Tvq7YlCSgtCLpZY5uyms8MLUd4E9lNSBmVZJ7zLOgL4ULwla/NHMDD
n6KfQWC76uBMZj9vLeSm8wGt0oyYLE4gaLolZM+Ibagv59wjaqah5AuxuoQrHLUuYnzDhypLyusH
T9o4rQps+hxIyo/NjRFzGiO2oV2ImI8mO1WRSrWxIW+wO66Vf+6qKT/N9mS1OwI+AWp5wMGOAa3M
uyQM4A5f73Ak2CX41tqoKTeJgSJjA6OLsA/mhnxsBkyQHxH0AIXH1tc3IXG0kBSKTh1xRUPPq5HX
3lu0e+3aQp6+DTCZfBTJWN12TDjFCfmBvx2M6Q3nfyE2E2nf+2LIjMeit6svxt8Dw+My2mpFoMvW
7Ht6aob1HQuAKS9eefiZsTONpIrFrerb+zTo0IP0sp4w6KOdYXbIorvFWF8DCnR0Zb2N1YBxtYtS
a5dHZgGdpa+7N6Ng9r5VqAu/4cwzX2uSsbH2zuIz7juxtp0ZOl5H6jDiyPaqR9f/0dpzecuc2U8Y
kHYmBiS2RfM6m4NyP4Ujezj+sxjafz2X67BS9hPjbjdaaYcP/ap0uvowJQ3fQJ7O6TKTnDXNnpUg
/iIMODdWoN0rNjm9w3kBRzPO9mWKzBKZlOxx97j2PO68X8Ad9h+escJ12W5AjpcvXD2kPuMhhVlR
LsyedKH3pFToO94ydh0JbB8nBcTG9I4LL8TUu0Jb1p1Q++PRzyLb6MAj5cVdTdwDshk+DrQrihkv
CpAWsXBESazsa0Jtf8vKhD0SPqoznlbNaTpHN7lfEwCR9iyO0GkkRI64DqpYf+EZGRbuWihxM5gj
ZlHm8kFnGDh3xEGFpu/9SGD3higsifUkWcdvfzYoTa/zL5ASE39j1/7CK/kLaYmy3tl4ZtndG2m5
tzt3vIsWPBOS7fDF6kA2lQu8iRAoDMNVJJAiLHCnaME8tVEYXVu1sJ/EgoHKFiDUsKChol+UKAEm
A1HPIj4m/Mo2Vzb6oos3R3Cviy2aFi7kvkZKaJYQqJSInoYFSjVg01fItOv0VvyCViGruHV+kaw0
W5KHEZMXGQadeQMcm3kD6KuBeLd+gWEZ5cwowXd38QLKooD9RBYpNxqGFnJ2c5UvckInqXg9vtDd
DUGuTozqAXClrljnVRXtnMrWLRlwhXeHt4WWxm3xG2zSXzQvVkXlDdJX75Vbjtay5KGiDqIQ+pkv
ODAES5DBvAUS5ooEXhgaVXxHmixpOGJRzlhCpDieyQJtvrA54/50vLj77H95QvNf/tBhsYoy6zOB
/C3+0RqgCF7SX77SbJDMin02YPq47OkXZ8NMtZbmffHoOFONwaUjEhxZeOtR8knuw6qP+28dc8hv
rPJBGYQeuu6lVHFXdKKSTDDPc+JtUpvu51yl6t5B1vdizQuApB7i9IQWoFoCJqi+tk1rls91SNTC
1iLMnhD3yffv6raab1OzIXGhUM5TYgQ+yByRXO3Q9V5HJuckoFt9BmTHY8tLxHpMomeKfYE3jwO8
Wi8cpXiFbr758lMmbDtEuTluf51Mj0gh8ERRsQtnXUyJKQ/mWDbn3vCjdjuFZXmOkrz6SWAELxMm
xJYu74vDudqiTV8jyuAQY5Qr23NT60xfCQhzs1UTGoT5wDEY5q0TGhN6Sxy9xSYJl0a2wizirpLU
j5ltUBDLnZwi8Tg0AbY47CrQ1pJBiOHku/Xg7fB+U3QQjXHqB5V5lD3mSAXsEuNhTU56qlhlEPRC
V/RUzVp8U5HpfuNDnQwny2G0RkLxeJ45dFKO9FQ9T1UwEF3hQsfBmKBryDMjdG/Cvv2GkhXR4A1+
F+PDAwo84ueZVQGjmDJqq0XRwqyhcxh2nemypOY98ZtTNAXBtywbkhfIlujJZsTC3lF2OjxmZdPv
mGwYX6aVBKc0sLAqmtwqx2nUHMWlFyWvtoZDQpdgdN94t6sL/A90hnNud0fwebQgbSZuQEnTx8ug
OwOvzthGB+xOWLPxPvFN9OvRdcbbilAXYq0jqChgmABcbZCNy6fOFDUOhX/dj1n/FLjQZfpArkEn
0amSJkA7+td2DFcMTqbY6baBZWbHsgu/F3HxWFvVq+3nj0IWXKyK+RxF5nvLHuf38cHfIId/7Qf/
iRZcXh4Sm4cYAdWLaS5//5duMA1akafaQEYXEJtozFVx5pef3fzrn/L/IOcvL+OLpeM0eR35z8iE
qZ0Ri85Ovx2AnjBkRhi4VoZteAcnYim5Tocqh1PmI08uuJ4E8hyssytryPSrNU7yOBlFf3arvHtI
WWZfll8Z0DtT3BqavaQQNAoxMtuCdONEdXfo18vgd4zy//Sk5f8547plQg9WSzLFfywyu3yF0Uf2
MX38dSLz71/4+1DGF78puejMpLWkpAAH+3Mo4/m/QexCLmYhofrjb/4Mj3V/M/l0wPCmkrAVbcu/
DWWExNfO8+QD5YTljBrtvzOUwbjBs/4XzKaHEcShgoI+6jn8Y//UmvVB1Hk0m+6hQd8cIjlJ3XHl
UYghj8EB9WNMs+xECcIFIW23f3SsyQu3LlXdvAv9wH6uCSo6YlpyCRcib2pc5bGBkVnqbqz3uRHZ
z36r7EugtXnNDUPynDK8tNdq9D3Ieo6TkM1ZluiNzcmrq7NplOMR2l2xljKMwq0XdOFTKxWH9mBk
He2JZTxhAK5vvF71r5XD7JjcB3/LUcKgvgDzBAFrMzAzn6ZywFtZYaWnL20+sYtWGstOi+yEHzY8
m0kLubHh1DxLcB0Q2ZwIcF2feehhs/yg+ia/1iIWB6TcCDvkbB+meMLr4tT+ujBI3GKVP7n3mmHO
E4MXb6/hjVwqL/PRQTDjsn3bRPwA5jsj25GwDnctaNyrl6H0UJcF5VgpFovlgwUPZBFtx9OCk/ds
8ywQ5IQn+rvhvh4IwVqHJKmH5zruEk1SzTAgCdMLTc0v6hFisxXAgwwNe+koEMoMLGonZkQZpBHr
fmZrPF2b0HOLezgKBuNgkxjRAwqJJjhGFRUudDG04Kdg0IAKyiSwhm3fI5PdMfzIXgdyr+S9B9BE
7KzZA/eTRYJht0A5hotrbod+FxC/uVedGf2gegwVpRtB4UXTWy906DR2oRmGEELanxhbbnoSXu4E
kvszYVOQbmzTOBggpF6V2zCHMIM7PWLrQ6KODbAbc0Zrjd4wUYkRJaXmzjU5K8ssSEYqFFPvW6do
f9j5oA4lWKV4HyNTtDZZibYK9br3JFUSQH1SsOEAS3XeY0bc5FkDZ1s7BM9u4rbLHoHH1ZveXsr6
soj2KSOfE+vAfGO0NJ9m7J0Y7flb9t7zU4CZeTfUpTy5jJRWUWLsYyLmr8v4KC3bdrEtxuvIctsr
C6BgB5YLHQD7fAejcgNErSwjla9qrqJwjyszO0sqkQ3/VrOZ8iynLkKcxbDOiZ94WnuWmrYF8FqU
k15Nfpwcp5BeiZDZHg2M5a4ylsBHNi7p1feCAeEJJR/MzwB8AmPGCYeMHqHQzobWm6aJilWeq5cx
jvP7eir3pU6yLfGVkEvpv39IgQK98VT1mPdhu1dRn/B7T6a9m4T1m/I758gotSdTZfoq+x4QJr7y
fOuNQXdIl9Q6t4G6+VoRs/yoS6jWYOpS9c6cwWq3Jia4o84GYzeOIwB0UdlbMLn9Vg4AauBP1fvZ
V5pRlszWuWWnuww1+9ppwuyQ+QZ2rc7lhMnHiysRrsDawvLdhtkd7tj61FZJccI8719Duw4+HD0E
3e80/f9/Lf4nwmvLJeELj8O/FF8/fWUfRfhR/P1e/Pev/GNbYf32C78CBJ9/T/Ds/nkxKvWbQEjt
sMfgNpW/lNZ/biv832ikCVVHPkAYkemBWvlDhA3VhXuMK9Ph8LFZwP73thXLFfvXi5HvStoIQD2F
nMWzoRL9vUiMU5KWEV6FdObdg4u595ADXYOmSMqWb+T6K/Eglhqu78OwYtnMDrPdDZFrH2ig7J1f
IrrYsg80E1yxWt63riZMHUHrsVuUs1GWjrcqCN2Lje/jSHNGZqsXyB+NCEqikcaE1Ct4qd9bQEvt
JcFRSmr4EgFKpRG9dFXRXuqyYf7Ziw7vfNOb3o0aZ+8Ya67eFUNgyIggCDC+hhq+X+8YcLEK/cmJ
11D5ezdMWoZXjBTDGveWQLsNEW6m9VPOoXHZKNdUxlAhGqc5MitOnotckVpd1C7hAiIb/Qbjp2cU
68IP82vK2rQE5EXE9wY3vrz0gRcX+5EV03PRmMObjx8Yg46Ku2PlJ8GT2cXc3DCSuT7i2o1up7Qh
kL03RuC/XWTH147G6KUhiivdpk0MJ46lwGrQ0601WcOBKan+LM08fye4ljK+zdr22qWjgc6InElg
xJZ8CUxtnzvbNp44fMxXoyxYLlFxDcepHjR44bDYNnYI2msimn4duuPyjWf2rkr53nvOSNSGeLR6
UZ5N+B/MrMes+I4ZEaNpZDI5YIgg+CY9H9OrzZw1NRPrKnKfmRTpixPs7IT4WM+wO9h2brwXjCUK
BMzN0YkCb0Pq7Am3JwvYHqYBWLvooR/ZsuokHKzF0sMEio19AARh1h9hVCcnPSl94YHqk2AFqNdg
lT042zBT7Ogbn1CClo7eRPfuz417UEYev1SYjAihMeoby2AsYxgqX+feWF+V73H35OXEOkzb1wgp
6RYNZ3hw+9y84R0NjsJo610+p+Z7Pc/zKSIR4g5TUnKZEh7UBtn59w5x6c60xxaNLDJ+RHdPda3X
XPnlOkj66A4DDnAzpE7PlU2LEvae8xHDOryJ8d6twfSVO5fm31ZN+800qzcUbaRBK2YGvE0vrT9g
EC76DmsbbsP4MR/1oRmTu0rgdUC97lZIcGe6ceSxq35EBobluCffp6sq7ktB5EKFeP6Jz4G64Id1
H/xUusXB7MbklMG9fm2V6T05XVKmm9K2bGjNOdDOFVKbPGSvtwCra8RxKc/ULfQFWNpMvECpe358
RKKJIzsvXeeFOtS5lblnH6ymZoZMihW6b6Xjn+aQVbsGdmXHTD5ov1O80JT3gA6BBlpMkoBU8PYj
C4DpIN3pLnJg1zBvQ0qSIPtaidkL76qxDhkqs9J5GD0PeKye2E2y2B3eqjipbuOYYI/JLOQtlQtz
SpzGM/8SVMZs6K0HX9Tq4M1kPSycweHJ8wEk9bnSB1eP03c/i/OnqRNlcxBu4nzn+Y5/Ru5A5haO
GNQV2OeiD7I4HBZKVGoIuCOlkLLUBfrDHDoGxBmbLJEyqfc6rIEMkcoe7as+La7IR+ynIRchoEMp
HuGG2ihea8E3maMkj2JsZBvh1rBXmy5EgWH24XXWCY6EJnT3qA66cxdV+WfCI8y7GtjihQVWd0am
bDNHmOuDZzOctlhN3BL5N+NYbcCHIEYIzBs3AHbE/Da8kdaQnC0vBSLgSYnMuTEs6wnGvG63IGOM
LZ9fdavSLr/3mtB8ALcnKpASrh2dGBIh+s9y04Y4PzWfmlToNeqJdq3gvtBTSPyRvXdKaty4TCvL
GuPbODRbCAPpHmZm3W7T2ItOJH1FB+0Xt2bS4NyzDElMrA3mNPI76zB6Vg7JsdNryQd325p5vMd2
RvienovHFvrSiuhKFhCxf4V2FV5gNnmfqe3HFx0G6c4Crs5GuhtuQjcXCK6l+T2d6/QyDFhZkiLo
9lEuFSlzE++hCN1z4Ncpi1IoG5xFxQ2Z6CijUYLqrcrz7zjxyi3VcnOwncL9ZkT1zvX6b4lLFDUf
fQijkDyjmkhFI0mHH04ZfyVtpbZua0z45y1gKyULZVyD6Mecei976RzBhVyJsFYbGbjGPeBudQBD
WhxDIziZYYO+qnRHc9tlxvQ6Vcu2MAAEfC8ClDC4YIxq2zhiw7jtCWjpuMsl874yql4zcxLHrOoA
sDfx92XDk52YEmMyr/w+3cDsYN3FdoooHfD0D9bgJJdxMCr2DlV32whxg/3rvR+rA0P1alUAAVgx
Te/X+TRaDBPF2XK6GYt+5C38jgZjI2hHEjhL1SdkF0ARRSM0T4C65QLAjEz+Z186+R5sygk+cJ+s
AwknZoOGC0uW5XVTvmKRVrG9zj7yKctPLqv5Nxu1or9m/xVfUNQP+yKyanON1aZ+qDuiseeaHFN6
V4KE1TD2N3kUpvlOsGbYtNNsr+besL9y3Jfxliteplun6iKKGSPEmKH7eFgbVcs9EIu2HMnBg05O
5GHifhYlKefK7fQ1TiMy0AqUz4q0i5WPWXad2eJCt37lx8JtH8opebJbE2dT4APdIKlHjy/IgX/4
PO5vsyQiQ3cXGXlEk7bYljgQ64fYZaxcdjK3fwkw+KHILsLSIe7pPOY3rF/A2xApnWiFfL0i9bcG
d4Yn1PYbfVFeKr+3Ig3eQ154FVrduPV8GwJMbqhdY1fNc6kGwMFuts1YhZzcJu/vqiQIX1KZV/sc
jsJP21TZqx6caifUzEJ+EePGhwxdwkEXPjy7gYU9hpkCFLF0nOKOO0Dv+ywdbj0Jdl1QkL3Es0pP
SJLHU41qYGPXtXmscknyRKXkmT1tKdakjXvHqOF3Jdm2fdJEmwfyk9uNLWeQ8Hk9EFRkyT0urP3c
pc9ku5NxDEBQSfgGFb2gaBcqFCMVIqnqnnijftvr5sumr6E64VFMR3crmP2tOIg3oE/yjeMaG1dM
94Zdg6ovtXPEyCAPcR6UH5LzDHwtJYVs8wb2YGHuqi4uuWGI/koaz7t3wUqfwwBzeI6c4VIw7Flh
IMM7nRWYbWFhoXkRt+HQ3wgx/bQs3K+s1wNzZK/mSmz1LVYmSYvLPGq49dPS2RWhrm860jn2xswc
m4bNXvmNNTx1QdM9T05PNl48DjttjbfmAhtVBC8iW0SPHwxjsWo1mYtpgGtxciqfmYQco7Vtj298
0XCGgTF/B4NHfEliJjsnCouzWeGC5veNiN5x+wIeaRWrHbAGZytDhg1F7EQnFSh1Xw3c5QG6nxsU
yulVSJUtcs3g3rQsj8D1IsWLZ6QCHFAq7/iEssRjK0XelG3m90Uo5NdsMgpyuqC42qOwbmUvXEYF
mfwCZOFf3B6oB8KO+NHGvHcjTRfbIMkU8Zth5d2FYzM71qz3Nm2tPsN+8EnCAggTOkl/2zmW9+Y4
HZihpCjYyXLRUxfZSXVBvopwvMFhdizzsG1XkawmTg9UuOE8Fjtghf3BbxCWG1JNDwDJ2nmTNv2p
jFWwKQy/ONljOr3g4SiuYx69lq4K7sygSt+06dUHW1UxfGl7DyIjZalDTKmKF90hEpPNFFmYtlTC
TVcF4baiboK6xeHc+26MCjeV30xaGX7NHjO0ngOP+rF8xZsj3/0iS0+w2HiAm9Y5exYmrtUcMkZY
tXEY3YcCXUTeu/1WVPP4SRBnunZj7r0AQsMGt/WwaxX3+KgwvJSqfna7IfzmGQFVZg5bpacgaprw
OIfpHvVRdbTw4yEWGe64URmB4HwoN6bs2wXwtzFNuHu0Wd3Kq/RnHOv+KfWr/JQ0i6KTffDRZrh7
UmOfbUULVWHM0+CgI2/tmxUHJALYo8p+6MH0f4ReZR8T4MAeJazJviZrPicjmm5QFSOccEgo3Qld
GhhXNZrqcrFyzJpfn6OdqyE9ZClR2tzpnjj7yC2r7yYPDKRNazgmAgtOLBKoGlZLOVH7xqFTU3fJ
fRO0A7bBxyCIW+qFJPtILX/mR0Hxlhdz9EkzJo6DbKwNQzAHAmRXPwMR0w/pMCsiCAvbeiNLxHiH
Utrv6tisDggy/BQ5dgb/fR5zmp7Os+4a0vzWwUDgiZeWINB8P9151cQ62gdUOdPJDfG6anm/pCIH
eypGzZOlXQZcBViMoEcEFa3dmiullGB4e7dcD7H306fgHzr/PBbkyIDrgHtUzBs/Zv+rtHkilMLc
5ipHxD0ecBk8eSxn15h74zv4iwgLsmI6tJ4Kd+Rb1MfBLrsjqrburTbL4WMerGbrQ+F+MVjZnMup
DD5xPXB9Tn3BXraR/p63B8cJ48OLPWfV2QWS9Ka8oKc2kvJYmpS0vY0jmhw5xLMWi1Hz4MOBJyva
MlAdFAVHPFmg/l4AC1pFuqxjSv3S2wVN4n2acCUddp9yWk1ZoN5913DVyjAJdKkokba4nv3bDjH7
az0O8X6KAkS4wh4/3CLKuTvSAsNJP8EpdYr5PjSM4ZTKebw32pbFuNQpsCMWmVvgrfNxZlLx4Od+
84E3Kd67ja5eK+43jvgWjOzk5Fs31az9O2HCXe0Ie+k7ILMiqMv7DkMpBodyaL5MLKVPRuFqtWoH
p2XYVrpb3U92uUqxd7+hRqz3qhU/Y1KDTozOA2aMU2zjirRMrFZ2DCMHBWNjtn20qXBFXUY1i1MT
CLEzpil/7WVK5Tqr7K7g447DOitvF9rmbdYQTLGaMfFuyqjQ+cqBCX6Xqq66UlzDbiJdZDo0CchY
Jqj18BCWaDAxQMrsWLm5t0+tmdTpihoWKmOaH3LhOxs00d5ZhBY79Kxon112DQA2QHZPbRq+OAnq
waAJbA9B2JAcdeGKlWz1fCJroTrVADBeod0PTz5V6H0PL3FXzYn9kosxPvmDlXwPVc9dFOj5Vs6y
wvpTmeEZiK11KVp4aUi/XeA+mTya1YAqEfIhTMgSFsXH4IC9Yldhmx+5i5OA4cE8fnNStKHYn8nj
xUHkmPU29Mv+xphba2uXaNJWCDHn3YTK58I9Xr1FY8BqAdTdQlGkMfC6djUBjLzanuM948xRJ6+R
CED6AQWGIfJbWU+UWEnXpjV6vHh4tRTmOmkm0RX+p9g3rTWrFWYf920mEIeiwcTVx4IDjoCk6sTh
D4Wnd+qtwgF1l7RuyFvrfVSaCcgyE58ZWu3MiR6cnwMhCAv8QdhrN/A4XdnCpsB9l9kDJND8YHWo
DRsjw4uamRhS0hYMbTGDxDNgzW1G4gtCHNeuG6OerHN8xFYVmHg/yAtSNeWt4eLMB8Z0iR3JNysg
vsrRIf7h16Lv/9r8d3mhT5BIxIlGHSrqP154iQ/82x+2RReDE+m/munhi71T96cAe/kv/6t/+b++
fv0r//lol4mrYyIa/49XnigvwXWn0Ufx429LTxd8/O9f+2/D3V9p8fy/LDiXIe5fhrsS/b+gdCL2
9C9CdNv6zUGALhbhusXIYtlE/jHaFd5v/AWE79/3pMtX/fl7+EP9/a+E6IQU/2O0a9k2Ly8VO1YH
iaP5D/kBEqWqYZkp9mEi82yvMiaaa1NyK/uBkh8tpe69NZlgeWAorcN0BmlvQmkWOxtr1k5LhaoX
nikbfOAOTLgAkFbP/VxsCnQra0V+2iZy6+zIcQUCDb3d0UxiOpSkC7GU+3OxoGU9OR+NKQf556nY
fAgyy94VXT1fBSy3VVYDNkqKnu+CkUK0Stx+3JqpPhhF1XyFOK/XnUr7AFtf7G8y3/Juza6PzyFR
ittJwPEgW4nBHbfRFoNXvG2hWN8ktuWvYSY069risxkltv8j4cDBiIjAcGe1gbOH22Q+qjmOrxAT
Od/ZkxPJMvIBhgsGPdOKybKhON8J9C0ICbNwURSL5iPzLL5ROsVkn3u1g+d1AK+zjhz0UpbsvXsN
eGjj1lV5N3gOpQ3kuFtgEmeHdFuwGZe55DRPnexAxPZ5GNQNPcR9ZNAxS6dfIM4Xg3duMzqq21GS
7mdY0oRhJCN+c8PNwIoaOVWxN+puE6WB+9RJxTa7zAaAbJYT30POvWmgTK0qD3dqUEgQz15Jbxqh
mGI3By5lYNAoyg9kGtNlaprg3U9GeUxmr7rj1IXWMAvDfQKrVZ+aZGphrBrmZQTtQ4va2RSnXpea
iDqs9OjmI1mqlPQHoMnD82BL11pVeHPhys4Dbl66LFN5xrEUtfHZ2l2w7lPWHhiYBWGUhVbfdOaK
G+QyIC3DyF4j/5JY10C2/AAu0mxNnsqDH5XojEqYcnsTbvv7IEn0UCV8gcwyk+9NVb513qTefH9W
AKGK9CFPneGunZT7UsagyCuGFOcirtU5yXqIXhYg1aYdzyynw/Ng0khg3jAOPiDbfRA64l4ZwOGA
tOfYFpyUJ1qmLbqVoEfhHaWXbHQWxWUqRgC8OZL2uSkBIFmJeulQFIp16+voSH00PY5xiI9at9ad
sCCfb0NZDR+29PQpSF0HImib7Id07t414rpzQELMwVdYhcl8IWHO06W+2kbSvGfgxRugS3NbQ4c1
ZH0LiwJ3XaBzo9k4FgNb9PHGNrW1hx9RexVwwHTcYz/jZQqmf3eD6+YvJK8xgG0N3oo6HaGEtqEA
hVlQUN7MIbIBux3yk0rAHhoxAk6OC2LOU+ynt5BQoLORT3cHoa07DyCM7kYLX8EKxf/06M+ldXLS
DjS8g2eMglCEV7ObInYgViJ2Q8NwMB7VEudiKeMmD9K6XzAapcWLFslVzHZxCYY5vWsb3W87OHdM
x6yMCZIzHpTSqt53CIPuaWKCK3mr1RkxcrQeqm4EraygPXhwVZuV72bxWSS086qc3DME2fGGmWu0
N23RnakiIGKxfn6XVcaip4P2bMOPfa4CpwQsX9nBk9Xk4jtBW+U+0Ogg2Jk3j7Koxk3sDAXJHbAd
SKThszXpPL0Nwkzfe0Q03k8SVQgfuKZbY0NTG47ULeXGASdlc1DlEJ1TGVBWp3I4ddzvd5br53cx
nLeX2nD1i4ko9kvbFd6WeSwRZcye8aimXlyHVsgXzMgGPIRKJzedTkj96FRCr+3zSC96/SJl31Ja
unqRJUYCoxqblxhzHw9F2oN8Udm8xbjm7hLHt/aCALCd2UYa3FEIws5pEqSsrQgfHZUHO8g7DG5t
aphjiRvgHOZwMSYMenvP77ytlTTzJrQS65g0vf9aGI3a1a3oH2q/Ce74Y3CsOq1eY23lezYB0Q7w
SX0r3La/JU+++E7kzrAjhSh/F33sv/sewBu6WvZHo0G4xJwKnna32y4GPHftGRhVmhQ8mVXnubOW
WRrBis76UzU4JGz2Huum2crvqhqEbpLGn6IZPahG7YkxxlLDdztmQ++VPQO5mXr1QLjKOswxS3qR
Cp/Quw9fwDg1Q1V73HcNG7aV6gXTehcGAqsv8G8Rw0itKf7sxXXCHO5cKTTX87IBbfoyhIiBsCMA
p3CQSeyhE5Irx35tpuYkyTi7WGDF89BDMslIezSa5sBRvYXWVKzzJK8PtOTNtsO/sbbYwTH/bfB0
rhDe2dkptbsWSbnXsVhN0NQjtOnHXdol2RHhwvKzMG3YNnSiUGKbd5Ne6TD0TA7WnrZHzFem1I/N
0m2gTZ+3otYSxEI+PNhGI7EXhKV/GK1q2uaAw2hyRp8N3YOaIdtled/emS33WdUDIQl8UX2vPYwI
Y8WvBwiXfCK2innsWDkXREb2hvaz2lhtMd1YWuw7e54P7jDO+0KLDOFf8GORYGU5RgR4CQed48n3
Cnr9siVyiNZFspUjDKXEfmvYD/AX+5OTlOajMw0tDn0jGa+RKqaO9ZTs7ZVkj7NxixF3QA9li5Wr
8XMMGvfEnqB54fNRn5XHusxm/Mg105c/MN4OB09UyLCZv3w0EeRsMyrugtTCwZ1NM9iIPHjkDcj5
nYpl35Y23ocnpm7rtHV0a4VjAot7YlLfjta+MufyLoMKe25RmzB2NYftEIUVdl9jGKqdFknLyqlj
MoNu0/+ZGzbzZMPw0cykDkQju3FXcejpeEv0NN5ol33AsXAK40Fhyo4BXjrDgaCLnkTJtnCzPaOt
8oH6Ii4uGc0ymwlyT6MVx8A6Opq0NMAZoGjpqz+OzYlFZXYfdHb8lXPiTOjcsVlAoGeSz0rp2c7z
ZJs45Mx7KbsiJk/ZbiTUoePPyj7kAWEJdiJo58sYsdcCgqwZ+x5Y2QicKbp6wOFzNVj6F/SEvGB7
bMqxxBE04Is24SJ2lBbrtk6xQrZ6/KHjcfypK/GjBZf5rrLhw60GzL3SCcurb4TuAYMPFjaIlWso
Z/qsbKixdWUOaH0FASkB8xi1BKbojOupNXv7ZNfek5h1ftPSy7FtNhY8T0ECYqvAYbIe3chMFrsI
+sYNc0Z9hWvIlKrUBqKovNtraYHfFYX7v9k7s6XIsWxNv0rZuW5h2pp1cdqs3V0+MDpTQMSNDIJA
8zzr6fvbQFYCERVZeWhrowe/KLNKAtxd2tp7rX/9A14ak//ggCyveUYD5hIk+dpBl11FwAMnEXSG
vZqFOKjMfbtW4kwsLbSGlwFM8GPmxpq/jLU5XplGS1SE1rsBAaq2BPRa6WFnV/ciJobaUUp/nyG0
w6SyQAvHFkVyXmyilUfMoKS+7gUVec0M67toOTjIPUIkjDS+zJk8lEwKXuHRYHuhr4bruIVqQXU1
KIxrC4MZT917+A0Y22y0xCVan9CrS5Xhv6L5WxNy+IY8avEFo1kcm7RG3yZWP+yi1C/2NvYFYtHh
8o8rkKpEt2ZEpkc1JCWyNr1dYU4fnBnYyy4cBJlfOOiw0bMwrlkhDtA8Y3CSw0hkztb2W6D8oMwf
yY90TixCBK77JMdSpoU6gk5J286JYe7cajLWcgq8y8lsIc7BdzlqJrBgqgG8btV8PIakcm6qzZo6
FYmCPceek9Y3il+sEJ6Hp/2kfM37IZSwiXmNpajM+CULKCpoWkrLxkFbU8dD8jIkKTrH72g0yIHo
4A0w0cyASVgYTOizFs8OleH5FQYuJvKm1ucbEHUHk9o/fNVZvvRtr1namvGOm4r/9ds+7V2uEi5V
c4yYL9yOAwZRim4SOd+79iHM0WitmXEhtVvKNeEv45WDB97t5PTlmRbOwZGD4dtXPxpIyoBpKXN8
NNI+uqm8GnV3XqumAi3QTnCPql1ln/e1FvLQRppM3CPrd4lrkrlUcIe5hdGrYDqD6mPpa22OqYlt
4CSbHDkoSr5jQsfgRxmLM6KYmi0W71+Qz2Ch3pYmXtauuNW6zj5qhdmiKSUAA8YFD21imqdGmsBr
M/XaXGWVM+9qhunfqNSDjan1Mby/4a7ozT1U+UuDCgWPsDxZQTifVuYcTud9lx8TsjEfRz0qJnA0
NP+qqF0ss/oQr5B0rBldylHqA0k26P8VI2g53DOKQuQMorhBzJFqqzIihHtRh1Z/zCxk2oUV1S6u
rZp1jlFyf9akcwxPj+3ghHA87YfZqdFDiQpxVRqK7Q1tqF2QJjG5CwbDi9m3ILwWU28dGW2nbE3m
dKsGA69qqTldNHtToY4/+ma8bUL8MPLOjNZGnaVrc6zSdY9aeWGVJhqTeo7gDJsOvlVwTm0UcPMs
UUkmS5ginM14kq3zMNcOcayy9vBISMDRgU4veNDd3eiOww6Pyn43q1TYGNCR7Re2lILZMIxXYTaA
DnXUC3i0VjlulQ6sgmNmoPFZ/1Ryp0/ltyYrcU5hinK8mRuPC6mtVXp57CqGMDzTZSWvPxX1jqzv
xVOlT3DhyP5A/T8oTnvsyp6A8Z6LhTZ9Qpf2xIOgc3HOmpis5JJo26tMNhj1U69hUZmxGckWRH/q
RjrZmGSyRcmeuhVfNi5Dzdw5swYGjOHkVp6OLNoLQgUd0lPL4zy1P8KukUZjKTIundoShyNIt8f8
LOaGJyxcuNExtCRh35U5zscuAiuM3ft2b+AMvpkcJAxsYvRbIJWXZW2gplbKC0WLom2pcMF0pSwu
4J6SpRhRKeOmNWI2RinMsCSvjhiaIRGqkduTS4yeKAQXRpTJfSAHXRVyOEfQvaPre9cZ7C8V92Ba
qLJlTGTzCKWMPjKJ6+QkTFqQAppMI5cC36fO03rqQl3ZkJZQRDeVbFI72a5ChoUnTQcLbSPk0aWp
zWR7y4eUjS4tby2b31S2wZZsiB3ZGptK4KBBr74i6U3uLdlAd7KVxio7/5bL9tp56rRn2XSHsv12
ZSNOeBc9eSrb80w26lC1taNWNu+jbOPbp46+ls19Ltv8WTb8MZt05oPNtr1UfHRPyEAiQYJOwgWm
BA60tnNXv99RBTTNN5zG5w2V2lCTqI1tvhO+uNhVT8Y4ORtoMZfzrX5b3Sm31cVw2pxHC2aASnr6
+3c0JEvylbxAbuFIbFxIlAZxe6r97h0H8ILMgp/IfMXx79OiiRgHGPF0mozRrCHzL8qjeqqg84og
Ce8FrszMwnyMg4T0ZWWa4K/zGFdxumgKRAyRGO2QL1na6mY2feWmYXpxBWOUndvKi0Es0Zg5iQeR
u96OVVEd61mdHBI4Pu44mHncQAcWlu1As5udDdz4gN45i9epIar11DCkdgpz/mYNsb/D5ivd9UyQ
N1goKtdZNCBwa/PkPMz64EhLOzEf9dR3l6FrzfCMibNYpQOhpPEY1V+MQJePY6alN39xUbHkeHtR
DQ0lo7AsUFQDHeM7aiq5EDq9njTiah3jME+iXauR3WpOiutpGu2W5urmXjVahXxiOUMzo87c9Jot
vjZOGOLbWNjBw9R3w2GWGtOR4ohm7wDK3lLfFV90/PlI0W08TBRmJrL6cFFnhPUsMF9NeDRjnfmz
PSXw58AOEErDmFpZgWIfNg4aBa+d+FQET/UUyP6c39Vzl1aUDlaI6kCeR8nT0RQ/HVPo3DmyjKfj
K5QnmSvPtKcL9v8yWm8bJn4sDiIlQ5iwpYVUn/1r3H5191Df/QPUHgeZ4K7+x/au/5FG//gf/IfV
XXaXP/1oFXWvQf1fvsUzvG/rB+wfGjiIYZpAlIIV+uI0ox7AmDZVMP4nTZMDiv+HqEk9sIH2NZcf
8LFp5P4E+NUD1TBQVgq+jvyTzt8B+IX+nrttwgDnGcG3zzJga7h8iNcCPwZR8Get2QDpu+6m4sS9
EutgzQ5N1AdedZiURibgzoV+nY+kbS3n+LqponWU3fhju8Lifun0ZDsl2TfX71dJuA0xX+ww0Xbq
TQ8tCHPDXejcP+XB4fa/6KKbjlSWqMV6nlZVnS8lJXTQpjM9rNe6clg6jzWWoFjCXPUQZx5C8BOi
/CY67pwcjZqgIusRHuQyqWGZEJktrJ0Zg2Ygozzt8dfHTmCZ4uWbWQQ/WAQbjUZMqPVGteJ6HZNf
tSy6lLBnbLFgpeXDverm102rnmfVzBGIa8jC1KfSa+x4aeTf2/TMcvA57vqkpdIEiw6w+aJ+I3EA
a4K9iGM8RuedruMPMGlbxcDlG2vTpZXh9okKBRusM+TSjLwJ5OxwHrNidQ8auSCkmkAgvaBONKCG
V8ZXlUEDt8nrC8xP3WAR49ZhNAmTevx3yHyMrXoFiRPnnHbfWvqp8PXviW3tx4LPin+hCftSQ6cy
XRfMOqFWewGiMUSqhliEFgoaix5yEYTRPshKxtmMJhaGE51W+KzG48mrx+YXTYn46QyVz51q4yfE
AIuoV+vd2mLk04xRwU47ztl13dJmGkazxxxhGw6kSGjojVLbIvcj36TlGUf5xhTGUZs53WpS2Tmz
RhJnfXdnRek2UdQ11gZrsp39Refre70v0MSYl7pB7Ad8nVWlY7iQH6mYBtcl4d4TTicOsBKc1Gg+
R7O7dWyEOgL2ALcQ895HozYvzOQrZJi13xG0VGfrIE5Qg5H/ID2YB6nuao5hrK80UAjpxFPO6r42
63WvG/tJdY/xXT/BmhryKuhk2F7FJQR0YSHKOTTEN8vEpHfuDitrxpIEB2WlwKzdtkcseViVODqs
S7TMTn5iV0AxZK1Bib4nNmGbpuo2IO2ZZ4mAr6Sbj+ex9RzHv5tKc10Qi53xB8kcjJqFIiYQKuNG
04LTOL/S6vqkxiqxEcNVPn7D6XE8KrUJNBMn+a+VT9K0gkxNiXUvLHFUi6XC3zLWADrbSq8f4GdV
iz6bzoKJoZnj463ptnp3VA3SZ37+9vtlosm65nXdI1eJbiPuc/C+4bB+Zzg1FzA7QEl9D5PyH2ja
b5Bvwy0Q36o6XM59TatQX0A2O527/ixo6l08jJK+vRDQJNdU7EDhbryCR7urZ/cs1DL2rvaicVzk
FS3m7GH/WJr5X6xuuLLvPjexYIxFVTZwDhgBoP5252wgM5UwGXxk8rWNdbPOIIYPbAI2YplNUp25
8NOQgoh9EfO8rQJWuMAP6E6z12TmbKowlcZGs7lA1Y/1rW2zZgMNSWOEmjJG7mzBrYv6SzbWjZ6O
+yjuLktFXM/MzrJae8Cn/DIzpJ2200L9qDEHiRLe2CKbCc47W2OvPapdiE962ypUd0wUcPAGhy2H
i7Dv94PTHZH0Bm3fyon2wCfGstxvlT2LBVXTlSXSM4wY6CXN8pEUSoxr9fJqaJVHN9RT0rSsRxqL
ywZL64yckLpv6E3FIx6KZJAESzfnEwTVDtraYnbcZRuaX4ZMbJgEuAu7vh9CZTcBbhfZ4DUCfGhY
qiShRbDh8lJbDIAZhj96kERPgI72RBziaqBqKwSsW0WQahN2MKthRFb0Y1Zu3M5JdY3HzFkH4Ljq
O/B0pd3qkM2rQN1iyXpphsNWZSKSt/F3vMYuUzIOOk2H/8nzHpvoCZ19kKu7ohz2gwHumTqXmcCs
ucusFRWeR7YfBApczEN1za0/VkXqDf3AKRPdAIJue5tpk40L5XSiFsetP3vNZK5bl6w7G056cxvP
l3T9S5jtq7A7cstkB8f8puYSbiYb0xmkpGsyGDZOMnvhACWfbugxCeGstda+A5yu6vhrlWEC5zYx
gcNaqi5nHdw3tuz2Js7s8wKJCH6b1Yo8aVzYyp6hUIyc12AkA/vIyXa+4t4YuB/DtH9wAgV/DbRC
ReEf5zyGC7cv9m2VbMmpXxNtdgkh7SIJ4iMDf2cyBiwc+fGCwvWc329XUGzWtOYEWTY5J9NtrA3k
AY3brAtdNCZY3fgtBJUwvw0a8xgP1i9pS2SVad2ac3U14q1F7kW3q3z7cdb0I5/QLG8APmMeGxxh
mAOY0aIMQoybeqZBrB7evZVVnIEC1Ru7Jn+rmWEaDvVFoU93mKTRBHftrZrqIYnaEOYid9rXRnvd
z85hT9oD2tnIU5JdwhAMNgQhx2JkAhJficbC1bs7UsfxPhtnIBriWEWqbxUi8EZV3WdWgLGv/wXW
8MIhmak23AvS6nCN+0rLvwA5W7p+eIqp17mOv/vEajfi8nGOtMXEFRtH95LkWxr5aFO0QFiiuvCV
+z6B0Der38ZgJLlwXIsO0yvY+rB0e+AG88J3f+BiBMXXM5TT2jktYczqZ3l3Af97XysZEtwSmdZF
P+EvGzvXGXY2CVVHAeaOdhxy9rjS4h9JNDE0cbykubXdqwE/kmg0FnoKmzBcCe1rF1ySoboB6SQ0
7VyRLu4NlsOdxnJRkNRd0BGSSzcfq5jiQYtbtJxREdJUpnUmJLmEtCE3tjgfzkj2ghUOGVG/bTtn
YU0814l267h7xEhLO8XhGNtq9sqbyteIqkJQHET3AyyJrHsc4wIttHs/6nq6dvvmXimtLUHSW3I8
H/qBUIPOxcQzKdzVxBAApviw0qYKPkLh7GKUawtgT4yQguxLROCzRwKf8aDUBCQSC41gieyJoZiP
zDq/CgP8Y+dYXLmJ8rWYppsima9mtFKz39rMgutoqec6NnJtknow+3PPtvJu1Q/596KbN85sb1u6
VgvkfakyFaKuGi8RbRBSqmJUreLtBC7ZEmLRIWGz8MHGiSpfzJZ9n/X4rgzhD2fqrlwSe5dVrCFA
nIJV0VCauH6W4Oohu1MF662+vUr1mdIOLuJsHJM3+Jio6TIWm6C1DlGeYTVbn6BvZvdlblYRMzK1
G8YO5BkTtbCuDXQVBjDeihF0tGrNWoHV7rZemijT4r+Fs6+ldkeZVmL8lUDXx4+9u4rU7LZGZoJc
C/wsaPCjDsUh1ybCpJjMC/Iiidyy7XZp5x3RvQqEFgCMy/9V/egn5IVRwphUL/+6t7yMkiTKXneO
L7/yQgVzDqR9oWaYlBUGKbQ0a8+9ooPBqFAliPGOCgbfSyC8xaiUGt40Eef82SnamJK6hJDoNkYn
uvQ4/RtUMPEWnsJXw9D5VBoOHAhxHcOUTLFXTjC+jl/akGva1gCrPJzrgXC6IjoxfK0EwhywvKpm
wjUJ2fWGMhivoyEJDnPBsKkC/FgJWGCLTOsd3PYbsifa0r6AyDruCqWEly0r4ldX9hfth2wu/iwr
f/68snx79XlNhZzKyJnQskXpsJ0MiFsMbjAvz/2VWsIOJqlGPXEz1d/8/o31d0jez2/9DskrLSND
EoOBZxQ0EdPsNj5NsFxewxgovLhTitXsktjGtsBOpplnY8+036rcbOXaIDxQcWsUXrm5wOoA4wa3
IlaqDs80V+t2WsnVs/TxLNX94ISx2LSM7AKWcZ2r22aOLso+9uo0uk4wmoKnVSklMc8kbNwmkTLN
7JpDtS/CDHflNusue/yrjxMoL/DCx8hLSy07hCRfnJgdGrkawv3XsIMjJoCvj0mk17wpYxhRE6yn
5t+nPlR3aR5slDZWFrkbEhw0CPXaGDAmQVg0bFIdMykfxv06trvvce0ym3QLDTOSyFQ3IVXlei6Y
/+GUgDkXLoi4fsbXpuWfddNwTsBqDbS4GlLlFoDbPWrTODucYvemgVu2MV2JiBrqCoEVfpVzcIKb
GlLUwMZoCnu9BWSJjT6U6aJ37Dsm9ZSFAwomTNkPcZDHNK+fzkY1NNcMlFswPF9f4sLSQgUZRzpC
XOD9NDot/Flfj7W6ZcIJnW089OeJrKQafQ/JDpoCoADFzRI+xqC6Wq3jxBip+LNmDW7bb4h3MShR
SjLER0zZM9iSHl8M85SoxHuqttRvQ1BjFBMwIIL7xcEaZtH50Ln6IU/NIlK6I5/BBZ26hhtaOF4h
wuvPxwz8ZcwwYyutbo1Wr9yqIW63yAg8Dkx3UbvckxDnjDO3QxCENjU9JlGCgW8svMaxfMKbLXXT
RqG/MwwcVSA/h16FRdwyjiyTvEckLf2oz1dENRxy2HpK0ffLPsx2s16TeRtGqRfR1a9GU1fWQ8no
E5EuMR1JNx0N1MjIlNpoo/bZvWHnV62kt+PVw/QB1njoXNEMrhoLvbKWci3NwQBtTvqtpTNqSird
XuY27OcUlh+Et3I1uPT9vWtu0S/ai8zwN5b5Jc8bSjF9wrEMEtZKR5m5UnzFWfppvGKwQhSF7cSb
ilmsyFX1SAkMHjUJPI8EDi6KsrWPpqJMLqF7KqvJtjfjYFzK/CKs3kaUNVOoUlLGp5YzUsiFhBy0
Ba1FG6vjalK0jTLUDCFBdQwruOg0CJNYxBIhleyqzLmIGOQtqmm8Iqv7yCyjZdsyYca9awtyvhrs
3hubL3OKurzCesRWu4sQg5lrrIWiNYZGqIS6OyhzhB0E9PQJguYsv2qU2tNGd40l8Hdyo72W8DKA
FNEvK60Jl0Q9nSKhCDdi7hdRXJ1H+OsrtTgb7eAw9nPtJLMqhSxvpCjrwGcUALG/aGCpCZPrnquX
YzOtGy3VLoAegjWjYZVnux+/9xpVqprXVkb4re7ehWnE/+dr7ca5MblVLjjV0EGk8asyXVuor0Hi
pFyt0vNtXUb5Tksweyw7OBQ1sqdzx8eSkcDSmRKz6rapEqD4ZV/Ejl9liAAez+43HE3q0F3VzNzW
c0tGjx4o6mYIBaFL9FXAcLmtHgt7VJn/dxIrQMQ4UBdvowKqiQ/BbZvGBfy+mTAOBKHqsUU6MVKc
w1rTJ8+0kqspj1uM41rOh8T4grOhJDnYyTKdArGosaTzFK2sT7WKMl91SLFpmUkvtHoAXUsYt4Kk
RRgOj+kiVmp1oxAZ4dkqiTFu0Zi3Gd7uNmHYIUnWy2x24i21eLxiTjNv6wHdAjPmRzuQMvuo3ZiW
ri0Vohy2jRt9hVbFED3yz+1IJ/Ar9Jkwk4GxYHTde4MCby7DxOWU9IiL359jb5Hhp1OMfEeNkSYs
SoqId/iGUIxQIDkQW5RX50WUWdssBgtAN/IX7m/62yHN8ztZggIDbF5XMfJ6e1Tj8jDEqIeJE+kz
umfo8spSZ7yH1BTqI4RASAWVSC5bwIttQlQsREke47B3VeLN/OrIHdoayktxi5yuPk8G/PCI0mOL
DUSen5r27G8ToUaU0mmwRb1G5zyOjVcTCrRqcvWwrlQ4JmXwSDCPslDahiakzs75HEyK2/Tu71/Y
11/33UwqNtJUKxJTbBWTqrqpR3054SW9IgVpXv7+rSTt410R5Fi2NDzhfwwHo5c3RZAYSLdhBi62
UWc/tjazpck0voHA5KvaLG9//2bvrONf7uOrd3uH5CkRVvVjQStjRv1+7kz9Rs/CDrwueBARwROV
lbT7LkzDQ6fVZrqnUV9pCX7aEAXbEzfutjF3En1hu0mtalzHTQdA47OzBGOXraKIW5iYBG4TL2nS
9hX5HvFNvigTOTEYBX+NgB2mcMrxKCsCyEDqyqBI+P33fOfJ+POT8a4UTtoxD1Ut0Ld90JmAVO4P
ganXgoCRAr6KdW/h1YWmHdDdlZVCaQ/F6vcfQV7Jd/eVil9Y0uYKVoEhn6hXxW0CKgMfsBJbqzJh
sWDTucx0LaF0s5R91CtauugqlIW/f9dfffE3b/uuptZaWBagzoAihsnTyXzSTgQnc+0jf6xV5TCf
xlOfvMR9Kqsce8Di+7/wEdiU8OATMrjh/bwqVcXYlFkktnqE73DDkRiZzYnjWv7Sb01iPEAgCAyk
3tStb+z61fr3H+AXT5T7+v3fPbzd4JJ/mgfGtk27b3oTjadt7uuHWWXxbCnB8zj237TffFppfFPV
5B4L0iDMdztjiN123UKv2Jp6gxcHvmhY7/qt9/vv9Iud/s27vPtOjc6whVh6GH4tkSQYGAkYDobX
kpX1F7fvV+8kv4oKn5Zu9af9CGOJfJ4tdTv7oJODI25Sy91xzvzFN/rlSn39Ru+2IvqPrvXT2uDp
JPQyGtozWKfGxu0cH31+p18mYCdov2V5XMlCWSvb8i9GBL9omQ2GX8ixHBV7U3r3t0+pH45DZUe+
vu3suNzOQ91flUx1d5Av9W2pj9dF6SaroA/QKfcT5RumRUsGQerCzpQ7xUZJXhYKmzbVRX6UBNkN
nPJ0j6roS1xjYvD7VaDLtvTtpmKowjWx8GIUo/KMvf24iugTP5trPhoOerCxC8yvVdDKGZDZUuaT
0bVGr+xUckdC0MoBQJAmVFlHY0L5buap12fs6HWP727GPCcmCi3DSQORCOYxNBGPZYlbr1phb67r
xpGw+2oB0El7Njmk6SgMhUsc31dtiR9/n/5AOCwQRlTZUrV647hpmucS538b2+G1NPG//x8UoSMA
k2yMfV8tEKmSfFE/nt5lP/7zP06iuajv3oBVf/7aM17lEohDLKxpOi9BOc9gFT6u4FACLIxV7zz7
uP5BbDD4DTY0XvjOwfFjQ/tDuSgO8LfDqJXFJ3Q5Lv47cBXA1JvV7GCeAYmK6Zylm4YjCNJ5u5p1
N1AKIrh6VmsVnmgidEmXbMRFmuzDoD6dGct5g2UflQLT5hny3wKi/0b4lJ3CBGqdY4iks2FfYrlw
gs6QVO+6/9bPRC048YmCNGfBFJaeMdMfm7FOzkyUCSX8Sbfcdw4pYQt8Ub/ZTXRHPSLWk2qYt1Dh
YDHYAc8EJPtlxNAEI477yiXcsevGe80nNnJBtLV1QbpFsQwHyUrObpug3ecWHgwkzQRLy9UQniQE
7aDLWVBwPGru7O/UOUtvarfDCagdslM6T2+cwl1Z9dp6NobLptFPdHwK0P97ophrDBJ0gZ/B+Gjl
Il1OpQovHPk7gH8Pg5BhNcEG9bLN7OiYmI6jUUuOcqfxvaHt7rI8ilfFiJOYaE3ds00gPg23n4U6
pjhZ2sMeBjrW7FGVrXyV8gDpa4NxqCyRUrUv7pNOdBtY/cd2nxzZuYuivok2o25V63QoMkQE0Uwo
ZbGCiYi6NI4YrVr2RWjgwVcmGelpQcx0D47Moq/M+osT7i0tuRo76LMmAfAu8wajAELKp1XgjzfQ
vxgiKKI+iVM3OlTD+hGwCOTcWKcYeapOtu2pmhB3IWrrSbPF+QL7UXeEtt13ymUdmMP31HDw5av0
5gz/oaAKv7MtEdAUY84baMQhjPY+ruZz7nWwMLQiW5faYB+nFShXYY8Owkr8RGcf41PdJvGdsYCT
6bvaqTCNqQ1np+ATRxJo1AMyhOT7zH2/6Ek9hIMTciZrjYUBDmLRMHTx64HjPdj8s2H0aYojPGe7
JPhW4gO0rMko7zv1UJ26r9WU3CSTnW3akje28F+L9QsEEdrFZCgXuNrtxkxUnmPjBOo7BnQZaRRg
FBocgNY8TPMWgwKJhw1EIU1CS2mjkPPXlr8NY1vyG+jZFJyMD+18DE99d5AeSbZ/nFpAQFqsXGuF
fgym0HhOT3CoNoXFsgzqewPT/6XQi+se5QOGBsNXmwnkj6lEozkHxg+IylBTcZmi6b6cseBawFWO
lgpWikviF2oPY4BdKzpSFw1Z9bbJMfm3p4iYc6a00UOOQHTTpN0GB2SgHlV9rPrkXEEIcFShC1za
Q76sCtZm3IztUm/ramE6erxNG2S0dVGsym7cxKW9TgvrIamqm8wML8YefhNzPxKaWIDrqQ7FSV1p
zAtroFMngjDO37EGwG7R7YR9PM7oDpw69ZoBhV7Q215hq2cwS1ln6P2DpVm7twhz0Tp1S6xY9zMq
rkYwujbS6Qa/W+yhlPuw0GDIGtgA7bN8Sjb2zI0PlZPcgaJSdoRUmsZhmD6apK3AJvfmNlTPFFW6
q3An1xlWXgB/3QIZsn83xHtyHXedANJElnMS5MzHTAD5CJeNZT3W99nsh8eR1U/rlkkANCqRRYeV
GrJVOsidf6BjwAmz9jpWY2YAV3Cyf5mE6dm9stSCEz1UEFT3NoYS9bJAYpOrMsLCZh7JlVPM+csM
p/SiEszCIYfjwOcpgF+GOWa7YFAvUJ1K3wP8C8uCqFMVizAAgAWFh9cWMGAbJVn3qk02AND1WmmN
xxK4m+/a3umZiyQUvSsmVwN60GHXFRdzl+wCAqdkgPchHLJbLDGMYWmEfXjd6lkVL9tZVzeIquPH
qoFZs6g00XwZ6ky9ZUhHKgsJLNrNZNqIkbNOm75GaYEGCT0kATCRSVBw5vSeFrnYYHQzyZgJAT5J
nTgL4KzyseRR205Kh8WIkZldsaWmh/jB/RHrBtog8pL26U/rNVYxduY0Nh9VsUlOwVwZTK8o0r1a
I6pA4Kdr8UYN3AB3oVZaxWhpBpGs11PCpiFImBWsbtxVlvDcCdTuM8tZtE7v72PTnIGUOuivrlLc
o3mETz1OkjxVXel5cWRWoYNSVMz7Qc1bz0pyZvUK7cmJ3rkMoDET5dSogvTCGSzl2MjbYO+rCW6R
EGbvoPASw5bbFnZ7QetuIoLuu00Kw/V6oInfYOrvnwbkumzYNW7dXs8KUtCb9ChUK3PNcZ1iMVTf
5e5g7mfm1e2xtE7uFxAAStDVzrlFJAR5Q40IlNQqzWQzSqLbPvdBvVG7pwujgyfWzUZyVua1s2uS
Qf+GWN9Z6WoRVV4MkWcX6CaKHp152bVqR9DktdJVt2UyRSepWzwYSVxegVHC3EgK+9SIGeNi8I7w
3O/mu8IKoOWkVlYgF/tqJsaN04vZm0UBMpvkj2Pv1piCdvC80jbVuXb4zITI6h644OnlUAnslV1W
lofbHjOpwvUs/EBY3FW/mHUt8BqlSq5dpmnCx+SkzftwTYhMxFwtjTEq0/38HqPTdtiMjV3NDKjJ
cVoaJqeP3cblXUwG1G7G3vVKw08Sf0hMnMgp8a290IKUtO3DUaMjgm43ix2pTOaN3gWwS8Y4+1Y1
BukqKU8XwlV0gBzQ3aVEFqY0SuDAuCr0K9W/IAUMfRmeezULVZ8hHyL1O7N6eJoNWWWLsi4S76k0
CqdJrLAUeCjb5r7Cs2zjRAHuTPVYfSmdZoY5RcMOP3uBrBHxmxsHz5DU/y/w/8qhRIXuDIX4dwX+
UlqTRFCcw9cDaWr8l9984S9bB0/tK4kHT7W8ZCm/8JetA2xJNFW1pJm0/tqfBPoyjDhpPe2QW+IY
dJovVb6uHjDXlkNk3cGeWhV/q8oXvPmrlpW5Nrlrrsr4m08BwPnUBLzCwaAL2SiGpdX6UFfXWVXY
t5UtghNHI6yB3JZ6/Noq6r2PGveHU+v5t6FrpqUFnb5DfjsAUfWcYrZJCi4Ge8Vhn5WEKztR+mBi
RHHzdHn/r1mML1/kl345/3SNkT/dF1HeXhU/mer8W//oDw7Cr//QGwMeeDR5K+18gqjI3yxSSTV+
Q7N4+khP5j+/+wvpHfOT7oHuVtMOdGA8CBsyOkS+/uMfaZEHLz+23QPdIn4PPrzsVVldr2/1rz/6
z65D/+o6/Y1LcPeQRfhANG0dfW9fXwIeMCF+esD/xWV491f+vAxCO7D4dhpd+pvvTwvvoD/gyeYp
fnp9tu+vo4FgN/h3FsG//PaaBd9GCsbE0z1WVTCEV4vAUQ9MC/iACJHna/C86F49Jv+1G/zvLJQ3
q/jdF3j2qNo9sIqFZEt/9BoAkMjNmJ305U6/ugZyIWC64qruZ70GtqviPwW686HLQCQCD7yG1OqX
l8E2DuA+Wa6lAWnJF8A27/eJloIwZVzSR6+BDSrPQvjzoX+1FNgTXbpIYbrG8zX4dI/DEz6JmOqD
10FT4dTBwhPu200RKRcbhVRJUfTIFz/+XIuA5csk8EOLgNAsJKCY1Jugp/L1bk/kxwRgoT97fqNP
9ARIld2Hb711YGKqRxId5e7T682JwApwTApkR6Bqkq/Ptw2A7KN2/fDJaB9Q0nMqmC9HI3f71Vbg
WjwJyBZZCs+vT1cekb7zZLP44eNRHDCllPGHL8/8u8dBQ40pOCDVT/c4vDRyfN6P7QfqAfJQ+Xqp
hN9eAFsWivyQrKPPthm+XICPVgYwrC3EX4jUZKUsv+qbR4EEJvwxEcqTM/j0+nSPgiyQNMm5+tg6
oFNwqYBgHb683l4GwYaBvYXDP3l+fbrlgBfi+4Hn322XNPcA6IK6gH3/1XZoWwc6FHuDeMjnJfLp
1oCw8F/54AoQBngP5Q8wy/O3fPcgcCZQOVA3fNZOQRgMnT94EXSm1LJltCTwJV/vLoLMY+Nav8y4
PyFu8MfB+NFmQdMPmLBTJ//RHFNyvHokHJPeGUsTIITn7eDT1cosVPej5aKu8y3J0aIm/Oeu9+oi
2KYskywOjs96NmD6IJucD50MggqBjhA46tcXwTpAL6SxGF7Oz09XKWmWLqlZH7sI4gDhFtss8Yy/
2hfcA5stgw7l+ady2+D9PlH3xLn+4a5BUCzbFvCAHBK8fg5AT0iFfBa0fbKvLT/VB+89W6EJGRfs
5NclsnMAAxBLJwzDn16frlJml7aeO9lnYuo/8e2fAfV3UOQrJFmgULToFt/fe4fH31bJ4X6+zJ9o
yRtMrz5aEQr3wKA1lBOwXz73slEmUUt7gcw+H25Iva5++BjEyYjZm+lq3OPXz715wK7vwL17aRo+
3cp/7hH1j64CBgkqob3UhL88Al1Yj/DVbftlf1A/3aOA5PjDxRCwqSl0prA8C8+vN4vB4SLA+jaY
KD0/KZ8PO/szd/ljtYB9wI2GySrH1a8fB/cASaPEkl52g2eU7hPtiH80B88f7L9+GDDlp/RXOVZe
0ICfLgTngU7v8LJQPt1S0JkJfvREpCxguWPwZr/dFR37gHgpyqQ/Js9/49v/G2vln0P4Jfrbh6cZ
ffSjeZWL85f/4I/x9M9/4GUqKUeP/5O1a+lpGIbBf2XiwJkNJA6IHQCJsa0woUmcTRst3dpuSlqh
/nucRx/u2iLhHbe2nx03Dzv+6kwxBU9uNIwUB+3yk+b3nLgL1t1tXazcXyvHP+4beC6ayKpaVf25
iIUCFcrSXii9mo7HjoX7JBb02yiIhJbtFLpLmTUKPV4RdVte4Si+1pQl75KyXFg8fwtUW1uX2+HC
LkCV3ePm3cYYGzlOIZSQ9Fra7bxwRSwhTYvJNaSnh8kKsCh7TCzkI3qulBWoDEkuB2hb32+gsbGx
n5rPRR2OHUcuAucCr+GgJUQ/QpwIuovquOgBRLLsH0MufuIK+IhiVL+tufdIuMCbIipCKZQqCbiL
+Png2R6+KbD1prnAn7AHnSM/j2C7/CYXe7gGzfDRZ7U7NDYRbiGNEyyaGhVtrX1sydXanqbWN7V4
HhAX/0vofPIksh0kRHvnB3DRA8DJHCesXJE+7gNQLvprsUf0vK13nfNhYx+JxjXZhouLq3JdTPc9
Do/fWGn3TSfISNW0HZ7lxpanimx4eaqT5lwx4x/NcQeYik8F7UEYv5oP+dDB5GreX/a4wrUrlZFl
2TVcWaawsnnVHXTkHZtInIseQGbsVAF51Q34BcwUiB36OFCSUeF3ETClwtX9RWDVnAqm0fwO01Zs
6Hq8dYpX+zz5lC/iT0Y5cwA8Swl5HuszznpD9uBaya4z46d2MhuxxKVg8FTQC3ShrcChtev6+M3W
BtdCa4jQPlVnMX30HvN8GOvjMXxIobyZzW4vMdD656P/lGEffV998WadlzmPQivqbt9jNMQ2d4SJ
ADX/BQAA//8=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10</xdr:col>
      <xdr:colOff>194097</xdr:colOff>
      <xdr:row>0</xdr:row>
      <xdr:rowOff>0</xdr:rowOff>
    </xdr:from>
    <xdr:to>
      <xdr:col>12</xdr:col>
      <xdr:colOff>381568</xdr:colOff>
      <xdr:row>2</xdr:row>
      <xdr:rowOff>164514</xdr:rowOff>
    </xdr:to>
    <xdr:pic>
      <xdr:nvPicPr>
        <xdr:cNvPr id="2" name="Picture 1">
          <a:extLst>
            <a:ext uri="{FF2B5EF4-FFF2-40B4-BE49-F238E27FC236}">
              <a16:creationId xmlns:a16="http://schemas.microsoft.com/office/drawing/2014/main" id="{061E429C-BE91-4AAF-86E6-233366608E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92022" y="0"/>
          <a:ext cx="1467055" cy="523948"/>
        </a:xfrm>
        <a:prstGeom prst="rect">
          <a:avLst/>
        </a:prstGeom>
      </xdr:spPr>
    </xdr:pic>
    <xdr:clientData/>
  </xdr:twoCellAnchor>
  <xdr:twoCellAnchor>
    <xdr:from>
      <xdr:col>7</xdr:col>
      <xdr:colOff>188344</xdr:colOff>
      <xdr:row>4</xdr:row>
      <xdr:rowOff>23003</xdr:rowOff>
    </xdr:from>
    <xdr:to>
      <xdr:col>11</xdr:col>
      <xdr:colOff>165341</xdr:colOff>
      <xdr:row>11</xdr:row>
      <xdr:rowOff>100643</xdr:rowOff>
    </xdr:to>
    <xdr:sp macro="" textlink="">
      <xdr:nvSpPr>
        <xdr:cNvPr id="4" name="Rectangle: Rounded Corners 3">
          <a:extLst>
            <a:ext uri="{FF2B5EF4-FFF2-40B4-BE49-F238E27FC236}">
              <a16:creationId xmlns:a16="http://schemas.microsoft.com/office/drawing/2014/main" id="{DF81D13D-F1AC-4618-A0E4-0C07552D2AEB}"/>
            </a:ext>
          </a:extLst>
        </xdr:cNvPr>
        <xdr:cNvSpPr/>
      </xdr:nvSpPr>
      <xdr:spPr>
        <a:xfrm>
          <a:off x="4666891" y="741871"/>
          <a:ext cx="2536167" cy="1335659"/>
        </a:xfrm>
        <a:prstGeom prst="roundRect">
          <a:avLst>
            <a:gd name="adj" fmla="val 23374"/>
          </a:avLst>
        </a:prstGeom>
        <a:gradFill flip="none" rotWithShape="1">
          <a:gsLst>
            <a:gs pos="0">
              <a:schemeClr val="accent4">
                <a:lumMod val="20000"/>
                <a:lumOff val="80000"/>
              </a:schemeClr>
            </a:gs>
            <a:gs pos="35000">
              <a:schemeClr val="bg1"/>
            </a:gs>
            <a:gs pos="68000">
              <a:schemeClr val="accent4">
                <a:lumMod val="20000"/>
                <a:lumOff val="80000"/>
              </a:schemeClr>
            </a:gs>
            <a:gs pos="100000">
              <a:schemeClr val="bg1"/>
            </a:gs>
          </a:gsLst>
          <a:lin ang="3000000" scaled="0"/>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311989</xdr:colOff>
      <xdr:row>4</xdr:row>
      <xdr:rowOff>31628</xdr:rowOff>
    </xdr:from>
    <xdr:to>
      <xdr:col>6</xdr:col>
      <xdr:colOff>288986</xdr:colOff>
      <xdr:row>11</xdr:row>
      <xdr:rowOff>109268</xdr:rowOff>
    </xdr:to>
    <xdr:sp macro="" textlink="">
      <xdr:nvSpPr>
        <xdr:cNvPr id="7" name="Rectangle: Rounded Corners 6">
          <a:extLst>
            <a:ext uri="{FF2B5EF4-FFF2-40B4-BE49-F238E27FC236}">
              <a16:creationId xmlns:a16="http://schemas.microsoft.com/office/drawing/2014/main" id="{A7363BE5-6662-46A4-B55B-5DD69790EE1D}"/>
            </a:ext>
          </a:extLst>
        </xdr:cNvPr>
        <xdr:cNvSpPr/>
      </xdr:nvSpPr>
      <xdr:spPr>
        <a:xfrm>
          <a:off x="1591574" y="750496"/>
          <a:ext cx="2536167" cy="1335659"/>
        </a:xfrm>
        <a:prstGeom prst="roundRect">
          <a:avLst>
            <a:gd name="adj" fmla="val 23374"/>
          </a:avLst>
        </a:prstGeom>
        <a:gradFill flip="none" rotWithShape="1">
          <a:gsLst>
            <a:gs pos="0">
              <a:schemeClr val="accent4">
                <a:lumMod val="20000"/>
                <a:lumOff val="80000"/>
              </a:schemeClr>
            </a:gs>
            <a:gs pos="35000">
              <a:schemeClr val="bg1"/>
            </a:gs>
            <a:gs pos="68000">
              <a:schemeClr val="accent4">
                <a:lumMod val="20000"/>
                <a:lumOff val="80000"/>
              </a:schemeClr>
            </a:gs>
            <a:gs pos="100000">
              <a:schemeClr val="bg1"/>
            </a:gs>
          </a:gsLst>
          <a:lin ang="3000000" scaled="0"/>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132272</xdr:colOff>
      <xdr:row>4</xdr:row>
      <xdr:rowOff>10063</xdr:rowOff>
    </xdr:from>
    <xdr:to>
      <xdr:col>21</xdr:col>
      <xdr:colOff>109269</xdr:colOff>
      <xdr:row>11</xdr:row>
      <xdr:rowOff>87703</xdr:rowOff>
    </xdr:to>
    <xdr:sp macro="" textlink="">
      <xdr:nvSpPr>
        <xdr:cNvPr id="8" name="Rectangle: Rounded Corners 7">
          <a:extLst>
            <a:ext uri="{FF2B5EF4-FFF2-40B4-BE49-F238E27FC236}">
              <a16:creationId xmlns:a16="http://schemas.microsoft.com/office/drawing/2014/main" id="{DB97D9E1-E6AA-4569-AF69-8B51225F67B8}"/>
            </a:ext>
          </a:extLst>
        </xdr:cNvPr>
        <xdr:cNvSpPr/>
      </xdr:nvSpPr>
      <xdr:spPr>
        <a:xfrm>
          <a:off x="11008744" y="728931"/>
          <a:ext cx="2536167" cy="1335659"/>
        </a:xfrm>
        <a:prstGeom prst="roundRect">
          <a:avLst>
            <a:gd name="adj" fmla="val 23374"/>
          </a:avLst>
        </a:prstGeom>
        <a:gradFill flip="none" rotWithShape="1">
          <a:gsLst>
            <a:gs pos="0">
              <a:schemeClr val="accent4">
                <a:lumMod val="20000"/>
                <a:lumOff val="80000"/>
              </a:schemeClr>
            </a:gs>
            <a:gs pos="35000">
              <a:schemeClr val="bg1"/>
            </a:gs>
            <a:gs pos="68000">
              <a:schemeClr val="accent4">
                <a:lumMod val="20000"/>
                <a:lumOff val="80000"/>
              </a:schemeClr>
            </a:gs>
            <a:gs pos="100000">
              <a:schemeClr val="bg1"/>
            </a:gs>
          </a:gsLst>
          <a:lin ang="3000000" scaled="0"/>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625416</xdr:colOff>
      <xdr:row>4</xdr:row>
      <xdr:rowOff>21566</xdr:rowOff>
    </xdr:from>
    <xdr:to>
      <xdr:col>15</xdr:col>
      <xdr:colOff>602413</xdr:colOff>
      <xdr:row>11</xdr:row>
      <xdr:rowOff>99206</xdr:rowOff>
    </xdr:to>
    <xdr:sp macro="" textlink="">
      <xdr:nvSpPr>
        <xdr:cNvPr id="9" name="Rectangle: Rounded Corners 8">
          <a:extLst>
            <a:ext uri="{FF2B5EF4-FFF2-40B4-BE49-F238E27FC236}">
              <a16:creationId xmlns:a16="http://schemas.microsoft.com/office/drawing/2014/main" id="{D500E5E4-5F62-423C-A188-235C8E9D4AAE}"/>
            </a:ext>
          </a:extLst>
        </xdr:cNvPr>
        <xdr:cNvSpPr/>
      </xdr:nvSpPr>
      <xdr:spPr>
        <a:xfrm>
          <a:off x="7663133" y="740434"/>
          <a:ext cx="2536167" cy="1335659"/>
        </a:xfrm>
        <a:prstGeom prst="roundRect">
          <a:avLst>
            <a:gd name="adj" fmla="val 23374"/>
          </a:avLst>
        </a:prstGeom>
        <a:gradFill flip="none" rotWithShape="1">
          <a:gsLst>
            <a:gs pos="0">
              <a:schemeClr val="accent4">
                <a:lumMod val="20000"/>
                <a:lumOff val="80000"/>
              </a:schemeClr>
            </a:gs>
            <a:gs pos="35000">
              <a:schemeClr val="bg1"/>
            </a:gs>
            <a:gs pos="68000">
              <a:schemeClr val="accent4">
                <a:lumMod val="20000"/>
                <a:lumOff val="80000"/>
              </a:schemeClr>
            </a:gs>
            <a:gs pos="100000">
              <a:schemeClr val="bg1"/>
            </a:gs>
          </a:gsLst>
          <a:lin ang="3000000" scaled="0"/>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241539</xdr:colOff>
      <xdr:row>13</xdr:row>
      <xdr:rowOff>169646</xdr:rowOff>
    </xdr:from>
    <xdr:to>
      <xdr:col>10</xdr:col>
      <xdr:colOff>575093</xdr:colOff>
      <xdr:row>33</xdr:row>
      <xdr:rowOff>64697</xdr:rowOff>
    </xdr:to>
    <xdr:sp macro="" textlink="">
      <xdr:nvSpPr>
        <xdr:cNvPr id="10" name="Rectangle: Rounded Corners 9">
          <a:extLst>
            <a:ext uri="{FF2B5EF4-FFF2-40B4-BE49-F238E27FC236}">
              <a16:creationId xmlns:a16="http://schemas.microsoft.com/office/drawing/2014/main" id="{3ECAA573-77EA-47EC-9F80-6FCC384C598C}"/>
            </a:ext>
          </a:extLst>
        </xdr:cNvPr>
        <xdr:cNvSpPr/>
      </xdr:nvSpPr>
      <xdr:spPr>
        <a:xfrm>
          <a:off x="1521124" y="2505967"/>
          <a:ext cx="5451894" cy="3489390"/>
        </a:xfrm>
        <a:prstGeom prst="roundRect">
          <a:avLst>
            <a:gd name="adj" fmla="val 18224"/>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539150</xdr:colOff>
      <xdr:row>13</xdr:row>
      <xdr:rowOff>163897</xdr:rowOff>
    </xdr:from>
    <xdr:to>
      <xdr:col>21</xdr:col>
      <xdr:colOff>447134</xdr:colOff>
      <xdr:row>37</xdr:row>
      <xdr:rowOff>14378</xdr:rowOff>
    </xdr:to>
    <xdr:sp macro="" textlink="">
      <xdr:nvSpPr>
        <xdr:cNvPr id="11" name="Rectangle: Rounded Corners 10">
          <a:extLst>
            <a:ext uri="{FF2B5EF4-FFF2-40B4-BE49-F238E27FC236}">
              <a16:creationId xmlns:a16="http://schemas.microsoft.com/office/drawing/2014/main" id="{DC1D1565-F655-4411-92A7-C842C97063B3}"/>
            </a:ext>
          </a:extLst>
        </xdr:cNvPr>
        <xdr:cNvSpPr/>
      </xdr:nvSpPr>
      <xdr:spPr>
        <a:xfrm>
          <a:off x="10136037" y="2500218"/>
          <a:ext cx="3746739" cy="4163688"/>
        </a:xfrm>
        <a:prstGeom prst="roundRect">
          <a:avLst>
            <a:gd name="adj" fmla="val 21455"/>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242977</xdr:colOff>
      <xdr:row>14</xdr:row>
      <xdr:rowOff>50320</xdr:rowOff>
    </xdr:from>
    <xdr:to>
      <xdr:col>15</xdr:col>
      <xdr:colOff>201283</xdr:colOff>
      <xdr:row>25</xdr:row>
      <xdr:rowOff>0</xdr:rowOff>
    </xdr:to>
    <xdr:sp macro="" textlink="">
      <xdr:nvSpPr>
        <xdr:cNvPr id="12" name="Rectangle: Rounded Corners 11">
          <a:extLst>
            <a:ext uri="{FF2B5EF4-FFF2-40B4-BE49-F238E27FC236}">
              <a16:creationId xmlns:a16="http://schemas.microsoft.com/office/drawing/2014/main" id="{C371AAAA-5785-4AFA-AD37-23A5665A14CD}"/>
            </a:ext>
          </a:extLst>
        </xdr:cNvPr>
        <xdr:cNvSpPr/>
      </xdr:nvSpPr>
      <xdr:spPr>
        <a:xfrm>
          <a:off x="7280694" y="2566358"/>
          <a:ext cx="2517476" cy="1926567"/>
        </a:xfrm>
        <a:prstGeom prst="roundRect">
          <a:avLst>
            <a:gd name="adj" fmla="val 17948"/>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150962</xdr:colOff>
      <xdr:row>26</xdr:row>
      <xdr:rowOff>122209</xdr:rowOff>
    </xdr:from>
    <xdr:to>
      <xdr:col>15</xdr:col>
      <xdr:colOff>208471</xdr:colOff>
      <xdr:row>37</xdr:row>
      <xdr:rowOff>129396</xdr:rowOff>
    </xdr:to>
    <xdr:sp macro="" textlink="">
      <xdr:nvSpPr>
        <xdr:cNvPr id="13" name="Rectangle: Rounded Corners 12">
          <a:extLst>
            <a:ext uri="{FF2B5EF4-FFF2-40B4-BE49-F238E27FC236}">
              <a16:creationId xmlns:a16="http://schemas.microsoft.com/office/drawing/2014/main" id="{60AD23E7-AEA5-4B01-8E40-B91381EF20E3}"/>
            </a:ext>
          </a:extLst>
        </xdr:cNvPr>
        <xdr:cNvSpPr/>
      </xdr:nvSpPr>
      <xdr:spPr>
        <a:xfrm>
          <a:off x="7188679" y="4794851"/>
          <a:ext cx="2616679" cy="1984073"/>
        </a:xfrm>
        <a:prstGeom prst="roundRect">
          <a:avLst>
            <a:gd name="adj" fmla="val 23374"/>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452887</xdr:colOff>
      <xdr:row>34</xdr:row>
      <xdr:rowOff>93453</xdr:rowOff>
    </xdr:from>
    <xdr:to>
      <xdr:col>10</xdr:col>
      <xdr:colOff>388188</xdr:colOff>
      <xdr:row>38</xdr:row>
      <xdr:rowOff>165340</xdr:rowOff>
    </xdr:to>
    <xdr:sp macro="" textlink="">
      <xdr:nvSpPr>
        <xdr:cNvPr id="14" name="Rectangle: Rounded Corners 13">
          <a:extLst>
            <a:ext uri="{FF2B5EF4-FFF2-40B4-BE49-F238E27FC236}">
              <a16:creationId xmlns:a16="http://schemas.microsoft.com/office/drawing/2014/main" id="{6C1183C4-48AD-4039-A452-398465D5463F}"/>
            </a:ext>
          </a:extLst>
        </xdr:cNvPr>
        <xdr:cNvSpPr/>
      </xdr:nvSpPr>
      <xdr:spPr>
        <a:xfrm>
          <a:off x="1732472" y="6203830"/>
          <a:ext cx="5053641" cy="790755"/>
        </a:xfrm>
        <a:prstGeom prst="roundRect">
          <a:avLst>
            <a:gd name="adj" fmla="val 23374"/>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496019</xdr:colOff>
      <xdr:row>14</xdr:row>
      <xdr:rowOff>172527</xdr:rowOff>
    </xdr:from>
    <xdr:to>
      <xdr:col>10</xdr:col>
      <xdr:colOff>237226</xdr:colOff>
      <xdr:row>32</xdr:row>
      <xdr:rowOff>35943</xdr:rowOff>
    </xdr:to>
    <xdr:graphicFrame macro="">
      <xdr:nvGraphicFramePr>
        <xdr:cNvPr id="3" name="Chart 2">
          <a:extLst>
            <a:ext uri="{FF2B5EF4-FFF2-40B4-BE49-F238E27FC236}">
              <a16:creationId xmlns:a16="http://schemas.microsoft.com/office/drawing/2014/main" id="{35A6680C-CA9E-432B-8AE9-E03FEEC76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366621</xdr:colOff>
      <xdr:row>14</xdr:row>
      <xdr:rowOff>150962</xdr:rowOff>
    </xdr:from>
    <xdr:to>
      <xdr:col>15</xdr:col>
      <xdr:colOff>79074</xdr:colOff>
      <xdr:row>24</xdr:row>
      <xdr:rowOff>57510</xdr:rowOff>
    </xdr:to>
    <xdr:graphicFrame macro="">
      <xdr:nvGraphicFramePr>
        <xdr:cNvPr id="5" name="Chart 4">
          <a:extLst>
            <a:ext uri="{FF2B5EF4-FFF2-40B4-BE49-F238E27FC236}">
              <a16:creationId xmlns:a16="http://schemas.microsoft.com/office/drawing/2014/main" id="{5076882F-59E3-49CD-9131-4BC9DCA92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359434</xdr:colOff>
      <xdr:row>27</xdr:row>
      <xdr:rowOff>64699</xdr:rowOff>
    </xdr:from>
    <xdr:to>
      <xdr:col>15</xdr:col>
      <xdr:colOff>28752</xdr:colOff>
      <xdr:row>37</xdr:row>
      <xdr:rowOff>7189</xdr:rowOff>
    </xdr:to>
    <xdr:graphicFrame macro="">
      <xdr:nvGraphicFramePr>
        <xdr:cNvPr id="6" name="Chart 5">
          <a:extLst>
            <a:ext uri="{FF2B5EF4-FFF2-40B4-BE49-F238E27FC236}">
              <a16:creationId xmlns:a16="http://schemas.microsoft.com/office/drawing/2014/main" id="{0543E079-512D-4D61-BE35-07459CEC0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158151</xdr:colOff>
      <xdr:row>15</xdr:row>
      <xdr:rowOff>43132</xdr:rowOff>
    </xdr:from>
    <xdr:to>
      <xdr:col>21</xdr:col>
      <xdr:colOff>163685</xdr:colOff>
      <xdr:row>35</xdr:row>
      <xdr:rowOff>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B253EFD9-660C-4B9E-93B7-4CBD9511F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94830" y="2738887"/>
              <a:ext cx="3204497" cy="35512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330679</xdr:colOff>
      <xdr:row>4</xdr:row>
      <xdr:rowOff>79075</xdr:rowOff>
    </xdr:from>
    <xdr:to>
      <xdr:col>20</xdr:col>
      <xdr:colOff>546340</xdr:colOff>
      <xdr:row>11</xdr:row>
      <xdr:rowOff>14378</xdr:rowOff>
    </xdr:to>
    <xdr:graphicFrame macro="">
      <xdr:nvGraphicFramePr>
        <xdr:cNvPr id="17" name="Chart 16">
          <a:extLst>
            <a:ext uri="{FF2B5EF4-FFF2-40B4-BE49-F238E27FC236}">
              <a16:creationId xmlns:a16="http://schemas.microsoft.com/office/drawing/2014/main" id="{81F77C83-91D4-4D8F-858B-396C7F7D4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589472</xdr:colOff>
      <xdr:row>4</xdr:row>
      <xdr:rowOff>64698</xdr:rowOff>
    </xdr:from>
    <xdr:ext cx="2027207" cy="468013"/>
    <xdr:sp macro="" textlink="">
      <xdr:nvSpPr>
        <xdr:cNvPr id="18" name="TextBox 17">
          <a:extLst>
            <a:ext uri="{FF2B5EF4-FFF2-40B4-BE49-F238E27FC236}">
              <a16:creationId xmlns:a16="http://schemas.microsoft.com/office/drawing/2014/main" id="{272DD89F-CF2A-A88F-6E1C-BC923AE48867}"/>
            </a:ext>
          </a:extLst>
        </xdr:cNvPr>
        <xdr:cNvSpPr txBox="1"/>
      </xdr:nvSpPr>
      <xdr:spPr>
        <a:xfrm>
          <a:off x="5068019" y="783566"/>
          <a:ext cx="202720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t>Revenue (Mn)</a:t>
          </a:r>
        </a:p>
      </xdr:txBody>
    </xdr:sp>
    <xdr:clientData/>
  </xdr:oneCellAnchor>
  <xdr:oneCellAnchor>
    <xdr:from>
      <xdr:col>12</xdr:col>
      <xdr:colOff>511834</xdr:colOff>
      <xdr:row>4</xdr:row>
      <xdr:rowOff>37382</xdr:rowOff>
    </xdr:from>
    <xdr:ext cx="2027207" cy="468013"/>
    <xdr:sp macro="" textlink="">
      <xdr:nvSpPr>
        <xdr:cNvPr id="19" name="TextBox 18">
          <a:extLst>
            <a:ext uri="{FF2B5EF4-FFF2-40B4-BE49-F238E27FC236}">
              <a16:creationId xmlns:a16="http://schemas.microsoft.com/office/drawing/2014/main" id="{BB686C13-5B25-4DCB-8DB8-DCA8328DC69F}"/>
            </a:ext>
          </a:extLst>
        </xdr:cNvPr>
        <xdr:cNvSpPr txBox="1"/>
      </xdr:nvSpPr>
      <xdr:spPr>
        <a:xfrm>
          <a:off x="8189343" y="756250"/>
          <a:ext cx="202720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t>Profit (Mn)</a:t>
          </a:r>
        </a:p>
      </xdr:txBody>
    </xdr:sp>
    <xdr:clientData/>
  </xdr:oneCellAnchor>
  <xdr:oneCellAnchor>
    <xdr:from>
      <xdr:col>8</xdr:col>
      <xdr:colOff>186905</xdr:colOff>
      <xdr:row>7</xdr:row>
      <xdr:rowOff>2043</xdr:rowOff>
    </xdr:from>
    <xdr:ext cx="1135811" cy="405432"/>
    <xdr:sp macro="" textlink="'Helping Sheet'!AQ6">
      <xdr:nvSpPr>
        <xdr:cNvPr id="20" name="Rectangle 19">
          <a:extLst>
            <a:ext uri="{FF2B5EF4-FFF2-40B4-BE49-F238E27FC236}">
              <a16:creationId xmlns:a16="http://schemas.microsoft.com/office/drawing/2014/main" id="{9E4A2D04-D15C-35F8-2F66-47029F899DA6}"/>
            </a:ext>
          </a:extLst>
        </xdr:cNvPr>
        <xdr:cNvSpPr/>
      </xdr:nvSpPr>
      <xdr:spPr>
        <a:xfrm>
          <a:off x="5305245" y="1260062"/>
          <a:ext cx="1135811" cy="405432"/>
        </a:xfrm>
        <a:prstGeom prst="rect">
          <a:avLst/>
        </a:prstGeom>
        <a:noFill/>
      </xdr:spPr>
      <xdr:txBody>
        <a:bodyPr wrap="square" lIns="91440" tIns="45720" rIns="91440" bIns="45720">
          <a:spAutoFit/>
        </a:bodyPr>
        <a:lstStyle/>
        <a:p>
          <a:pPr algn="ctr"/>
          <a:fld id="{97F75DC9-9D1F-4AFF-9755-E4210AC88E0A}"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143.3</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86264</xdr:colOff>
      <xdr:row>6</xdr:row>
      <xdr:rowOff>153006</xdr:rowOff>
    </xdr:from>
    <xdr:ext cx="824811" cy="405432"/>
    <xdr:sp macro="" textlink="'Helping Sheet'!AR6">
      <xdr:nvSpPr>
        <xdr:cNvPr id="21" name="Rectangle 20">
          <a:extLst>
            <a:ext uri="{FF2B5EF4-FFF2-40B4-BE49-F238E27FC236}">
              <a16:creationId xmlns:a16="http://schemas.microsoft.com/office/drawing/2014/main" id="{0BE99114-1B64-F2F1-EAE6-685FC96408AB}"/>
            </a:ext>
          </a:extLst>
        </xdr:cNvPr>
        <xdr:cNvSpPr/>
      </xdr:nvSpPr>
      <xdr:spPr>
        <a:xfrm>
          <a:off x="8403566" y="1231308"/>
          <a:ext cx="824811" cy="405432"/>
        </a:xfrm>
        <a:prstGeom prst="rect">
          <a:avLst/>
        </a:prstGeom>
        <a:noFill/>
      </xdr:spPr>
      <xdr:txBody>
        <a:bodyPr wrap="square" lIns="91440" tIns="45720" rIns="91440" bIns="45720">
          <a:spAutoFit/>
        </a:bodyPr>
        <a:lstStyle/>
        <a:p>
          <a:pPr algn="ctr"/>
          <a:fld id="{8A003C10-B5FA-4517-A7EB-DD424D3090FD}"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14.4</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474449</xdr:colOff>
      <xdr:row>4</xdr:row>
      <xdr:rowOff>122206</xdr:rowOff>
    </xdr:from>
    <xdr:to>
      <xdr:col>6</xdr:col>
      <xdr:colOff>158147</xdr:colOff>
      <xdr:row>11</xdr:row>
      <xdr:rowOff>21566</xdr:rowOff>
    </xdr:to>
    <xdr:graphicFrame macro="">
      <xdr:nvGraphicFramePr>
        <xdr:cNvPr id="22" name="Chart 21">
          <a:extLst>
            <a:ext uri="{FF2B5EF4-FFF2-40B4-BE49-F238E27FC236}">
              <a16:creationId xmlns:a16="http://schemas.microsoft.com/office/drawing/2014/main" id="{4CD006A4-C4B8-484E-8EC6-908B35FDB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603849</xdr:colOff>
      <xdr:row>36</xdr:row>
      <xdr:rowOff>107831</xdr:rowOff>
    </xdr:from>
    <xdr:to>
      <xdr:col>10</xdr:col>
      <xdr:colOff>179717</xdr:colOff>
      <xdr:row>36</xdr:row>
      <xdr:rowOff>107831</xdr:rowOff>
    </xdr:to>
    <xdr:cxnSp macro="">
      <xdr:nvCxnSpPr>
        <xdr:cNvPr id="24" name="Straight Connector 23">
          <a:extLst>
            <a:ext uri="{FF2B5EF4-FFF2-40B4-BE49-F238E27FC236}">
              <a16:creationId xmlns:a16="http://schemas.microsoft.com/office/drawing/2014/main" id="{A3E1B431-E396-EE14-5E31-F50502A94C67}"/>
            </a:ext>
          </a:extLst>
        </xdr:cNvPr>
        <xdr:cNvCxnSpPr/>
      </xdr:nvCxnSpPr>
      <xdr:spPr>
        <a:xfrm>
          <a:off x="1883434" y="6577642"/>
          <a:ext cx="469420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539147</xdr:colOff>
      <xdr:row>35</xdr:row>
      <xdr:rowOff>165342</xdr:rowOff>
    </xdr:from>
    <xdr:to>
      <xdr:col>3</xdr:col>
      <xdr:colOff>201280</xdr:colOff>
      <xdr:row>37</xdr:row>
      <xdr:rowOff>71889</xdr:rowOff>
    </xdr:to>
    <xdr:sp macro="" textlink="">
      <xdr:nvSpPr>
        <xdr:cNvPr id="25" name="Circle: Hollow 24">
          <a:extLst>
            <a:ext uri="{FF2B5EF4-FFF2-40B4-BE49-F238E27FC236}">
              <a16:creationId xmlns:a16="http://schemas.microsoft.com/office/drawing/2014/main" id="{73DF665F-F62B-3CC2-E5DE-D86CD0AF057C}"/>
            </a:ext>
          </a:extLst>
        </xdr:cNvPr>
        <xdr:cNvSpPr/>
      </xdr:nvSpPr>
      <xdr:spPr>
        <a:xfrm>
          <a:off x="1818732" y="6455436"/>
          <a:ext cx="301925" cy="265981"/>
        </a:xfrm>
        <a:prstGeom prst="don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554963</xdr:colOff>
      <xdr:row>36</xdr:row>
      <xdr:rowOff>8629</xdr:rowOff>
    </xdr:from>
    <xdr:to>
      <xdr:col>5</xdr:col>
      <xdr:colOff>217096</xdr:colOff>
      <xdr:row>37</xdr:row>
      <xdr:rowOff>94893</xdr:rowOff>
    </xdr:to>
    <xdr:sp macro="" textlink="">
      <xdr:nvSpPr>
        <xdr:cNvPr id="26" name="Circle: Hollow 25">
          <a:extLst>
            <a:ext uri="{FF2B5EF4-FFF2-40B4-BE49-F238E27FC236}">
              <a16:creationId xmlns:a16="http://schemas.microsoft.com/office/drawing/2014/main" id="{6C11EF15-BCDB-464D-93CF-4D1BF772A38E}"/>
            </a:ext>
          </a:extLst>
        </xdr:cNvPr>
        <xdr:cNvSpPr/>
      </xdr:nvSpPr>
      <xdr:spPr>
        <a:xfrm>
          <a:off x="3114133" y="6478440"/>
          <a:ext cx="301925" cy="265981"/>
        </a:xfrm>
        <a:prstGeom prst="don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53195</xdr:colOff>
      <xdr:row>36</xdr:row>
      <xdr:rowOff>10066</xdr:rowOff>
    </xdr:from>
    <xdr:to>
      <xdr:col>7</xdr:col>
      <xdr:colOff>355120</xdr:colOff>
      <xdr:row>37</xdr:row>
      <xdr:rowOff>96330</xdr:rowOff>
    </xdr:to>
    <xdr:sp macro="" textlink="">
      <xdr:nvSpPr>
        <xdr:cNvPr id="27" name="Circle: Hollow 26">
          <a:extLst>
            <a:ext uri="{FF2B5EF4-FFF2-40B4-BE49-F238E27FC236}">
              <a16:creationId xmlns:a16="http://schemas.microsoft.com/office/drawing/2014/main" id="{66E90A0B-0A21-4361-B9C5-1EF67935D907}"/>
            </a:ext>
          </a:extLst>
        </xdr:cNvPr>
        <xdr:cNvSpPr/>
      </xdr:nvSpPr>
      <xdr:spPr>
        <a:xfrm>
          <a:off x="4531742" y="6479877"/>
          <a:ext cx="301925" cy="265981"/>
        </a:xfrm>
        <a:prstGeom prst="don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543461</xdr:colOff>
      <xdr:row>35</xdr:row>
      <xdr:rowOff>169654</xdr:rowOff>
    </xdr:from>
    <xdr:to>
      <xdr:col>10</xdr:col>
      <xdr:colOff>205593</xdr:colOff>
      <xdr:row>37</xdr:row>
      <xdr:rowOff>76201</xdr:rowOff>
    </xdr:to>
    <xdr:sp macro="" textlink="">
      <xdr:nvSpPr>
        <xdr:cNvPr id="28" name="Circle: Hollow 27">
          <a:extLst>
            <a:ext uri="{FF2B5EF4-FFF2-40B4-BE49-F238E27FC236}">
              <a16:creationId xmlns:a16="http://schemas.microsoft.com/office/drawing/2014/main" id="{C0798445-FB86-498B-94A9-C18CE011D764}"/>
            </a:ext>
          </a:extLst>
        </xdr:cNvPr>
        <xdr:cNvSpPr/>
      </xdr:nvSpPr>
      <xdr:spPr>
        <a:xfrm>
          <a:off x="6301593" y="6459748"/>
          <a:ext cx="301925" cy="265981"/>
        </a:xfrm>
        <a:prstGeom prst="don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oneCellAnchor>
    <xdr:from>
      <xdr:col>2</xdr:col>
      <xdr:colOff>481641</xdr:colOff>
      <xdr:row>34</xdr:row>
      <xdr:rowOff>50321</xdr:rowOff>
    </xdr:from>
    <xdr:ext cx="398827" cy="311496"/>
    <xdr:sp macro="" textlink="">
      <xdr:nvSpPr>
        <xdr:cNvPr id="29" name="TextBox 28">
          <a:extLst>
            <a:ext uri="{FF2B5EF4-FFF2-40B4-BE49-F238E27FC236}">
              <a16:creationId xmlns:a16="http://schemas.microsoft.com/office/drawing/2014/main" id="{CA3326B7-24D1-6607-F5E7-9F0B976DFC11}"/>
            </a:ext>
          </a:extLst>
        </xdr:cNvPr>
        <xdr:cNvSpPr txBox="1"/>
      </xdr:nvSpPr>
      <xdr:spPr>
        <a:xfrm>
          <a:off x="1761226" y="6160698"/>
          <a:ext cx="398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Q1</a:t>
          </a:r>
        </a:p>
      </xdr:txBody>
    </xdr:sp>
    <xdr:clientData/>
  </xdr:oneCellAnchor>
  <xdr:oneCellAnchor>
    <xdr:from>
      <xdr:col>4</xdr:col>
      <xdr:colOff>504645</xdr:colOff>
      <xdr:row>34</xdr:row>
      <xdr:rowOff>30192</xdr:rowOff>
    </xdr:from>
    <xdr:ext cx="398827" cy="311496"/>
    <xdr:sp macro="" textlink="">
      <xdr:nvSpPr>
        <xdr:cNvPr id="30" name="TextBox 29">
          <a:extLst>
            <a:ext uri="{FF2B5EF4-FFF2-40B4-BE49-F238E27FC236}">
              <a16:creationId xmlns:a16="http://schemas.microsoft.com/office/drawing/2014/main" id="{6271F786-9D1E-4C0B-9DF5-9753123EF981}"/>
            </a:ext>
          </a:extLst>
        </xdr:cNvPr>
        <xdr:cNvSpPr txBox="1"/>
      </xdr:nvSpPr>
      <xdr:spPr>
        <a:xfrm>
          <a:off x="3063815" y="6140569"/>
          <a:ext cx="398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Q2</a:t>
          </a:r>
        </a:p>
      </xdr:txBody>
    </xdr:sp>
    <xdr:clientData/>
  </xdr:oneCellAnchor>
  <xdr:oneCellAnchor>
    <xdr:from>
      <xdr:col>6</xdr:col>
      <xdr:colOff>628290</xdr:colOff>
      <xdr:row>34</xdr:row>
      <xdr:rowOff>46007</xdr:rowOff>
    </xdr:from>
    <xdr:ext cx="398827" cy="311496"/>
    <xdr:sp macro="" textlink="">
      <xdr:nvSpPr>
        <xdr:cNvPr id="31" name="TextBox 30">
          <a:extLst>
            <a:ext uri="{FF2B5EF4-FFF2-40B4-BE49-F238E27FC236}">
              <a16:creationId xmlns:a16="http://schemas.microsoft.com/office/drawing/2014/main" id="{D9CF123A-5E92-447B-B64A-6DAF696B9081}"/>
            </a:ext>
          </a:extLst>
        </xdr:cNvPr>
        <xdr:cNvSpPr txBox="1"/>
      </xdr:nvSpPr>
      <xdr:spPr>
        <a:xfrm>
          <a:off x="4467045" y="6156384"/>
          <a:ext cx="398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Q3</a:t>
          </a:r>
        </a:p>
      </xdr:txBody>
    </xdr:sp>
    <xdr:clientData/>
  </xdr:oneCellAnchor>
  <xdr:oneCellAnchor>
    <xdr:from>
      <xdr:col>9</xdr:col>
      <xdr:colOff>485955</xdr:colOff>
      <xdr:row>34</xdr:row>
      <xdr:rowOff>40256</xdr:rowOff>
    </xdr:from>
    <xdr:ext cx="398827" cy="311496"/>
    <xdr:sp macro="" textlink="">
      <xdr:nvSpPr>
        <xdr:cNvPr id="32" name="TextBox 31">
          <a:extLst>
            <a:ext uri="{FF2B5EF4-FFF2-40B4-BE49-F238E27FC236}">
              <a16:creationId xmlns:a16="http://schemas.microsoft.com/office/drawing/2014/main" id="{378E7E2C-2BE3-4A9A-910B-20A690ECBA2A}"/>
            </a:ext>
          </a:extLst>
        </xdr:cNvPr>
        <xdr:cNvSpPr txBox="1"/>
      </xdr:nvSpPr>
      <xdr:spPr>
        <a:xfrm>
          <a:off x="6244087" y="6150633"/>
          <a:ext cx="398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Q4</a:t>
          </a:r>
        </a:p>
      </xdr:txBody>
    </xdr:sp>
    <xdr:clientData/>
  </xdr:oneCellAnchor>
  <xdr:oneCellAnchor>
    <xdr:from>
      <xdr:col>2</xdr:col>
      <xdr:colOff>452922</xdr:colOff>
      <xdr:row>37</xdr:row>
      <xdr:rowOff>66742</xdr:rowOff>
    </xdr:from>
    <xdr:ext cx="452817" cy="280205"/>
    <xdr:sp macro="" textlink="'Helping Sheet'!AX18">
      <xdr:nvSpPr>
        <xdr:cNvPr id="33" name="Rectangle 32">
          <a:extLst>
            <a:ext uri="{FF2B5EF4-FFF2-40B4-BE49-F238E27FC236}">
              <a16:creationId xmlns:a16="http://schemas.microsoft.com/office/drawing/2014/main" id="{668EA2FA-0CCE-A9A2-B4CC-F24DAD16F280}"/>
            </a:ext>
          </a:extLst>
        </xdr:cNvPr>
        <xdr:cNvSpPr/>
      </xdr:nvSpPr>
      <xdr:spPr>
        <a:xfrm>
          <a:off x="1732507" y="6716270"/>
          <a:ext cx="452817" cy="280205"/>
        </a:xfrm>
        <a:prstGeom prst="rect">
          <a:avLst/>
        </a:prstGeom>
        <a:noFill/>
      </xdr:spPr>
      <xdr:txBody>
        <a:bodyPr wrap="none" lIns="91440" tIns="45720" rIns="91440" bIns="45720">
          <a:spAutoFit/>
        </a:bodyPr>
        <a:lstStyle/>
        <a:p>
          <a:pPr algn="ctr"/>
          <a:fld id="{A67085FA-EC90-4704-B735-7FB860C00485}"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24%</a:t>
          </a:fld>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0</xdr:colOff>
      <xdr:row>4</xdr:row>
      <xdr:rowOff>0</xdr:rowOff>
    </xdr:from>
    <xdr:to>
      <xdr:col>1</xdr:col>
      <xdr:colOff>618226</xdr:colOff>
      <xdr:row>9</xdr:row>
      <xdr:rowOff>35943</xdr:rowOff>
    </xdr:to>
    <mc:AlternateContent xmlns:mc="http://schemas.openxmlformats.org/markup-compatibility/2006">
      <mc:Choice xmlns:a14="http://schemas.microsoft.com/office/drawing/2010/main" Requires="a14">
        <xdr:graphicFrame macro="">
          <xdr:nvGraphicFramePr>
            <xdr:cNvPr id="34" name="Year 1">
              <a:extLst>
                <a:ext uri="{FF2B5EF4-FFF2-40B4-BE49-F238E27FC236}">
                  <a16:creationId xmlns:a16="http://schemas.microsoft.com/office/drawing/2014/main" id="{486D546C-A695-4815-860F-F3049FBD7D5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718868"/>
              <a:ext cx="1258018" cy="934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1</xdr:col>
      <xdr:colOff>632604</xdr:colOff>
      <xdr:row>18</xdr:row>
      <xdr:rowOff>163758</xdr:rowOff>
    </xdr:to>
    <mc:AlternateContent xmlns:mc="http://schemas.openxmlformats.org/markup-compatibility/2006">
      <mc:Choice xmlns:a14="http://schemas.microsoft.com/office/drawing/2010/main" Requires="a14">
        <xdr:graphicFrame macro="">
          <xdr:nvGraphicFramePr>
            <xdr:cNvPr id="35" name="Sales Channel 1">
              <a:extLst>
                <a:ext uri="{FF2B5EF4-FFF2-40B4-BE49-F238E27FC236}">
                  <a16:creationId xmlns:a16="http://schemas.microsoft.com/office/drawing/2014/main" id="{0189E598-1282-4499-BB5F-E4A7DAE951BE}"/>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0" y="2156604"/>
              <a:ext cx="1272396"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2</xdr:col>
      <xdr:colOff>7189</xdr:colOff>
      <xdr:row>28</xdr:row>
      <xdr:rowOff>175189</xdr:rowOff>
    </xdr:to>
    <mc:AlternateContent xmlns:mc="http://schemas.openxmlformats.org/markup-compatibility/2006">
      <mc:Choice xmlns:a14="http://schemas.microsoft.com/office/drawing/2010/main" Requires="a14">
        <xdr:graphicFrame macro="">
          <xdr:nvGraphicFramePr>
            <xdr:cNvPr id="36" name="Categories 1">
              <a:extLst>
                <a:ext uri="{FF2B5EF4-FFF2-40B4-BE49-F238E27FC236}">
                  <a16:creationId xmlns:a16="http://schemas.microsoft.com/office/drawing/2014/main" id="{54A8A319-406B-4A21-9D7C-EF961D76ACFC}"/>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dr:sp macro="" textlink="">
          <xdr:nvSpPr>
            <xdr:cNvPr id="0" name=""/>
            <xdr:cNvSpPr>
              <a:spLocks noTextEdit="1"/>
            </xdr:cNvSpPr>
          </xdr:nvSpPr>
          <xdr:spPr>
            <a:xfrm>
              <a:off x="0" y="3953774"/>
              <a:ext cx="1286774" cy="1253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278130</xdr:colOff>
      <xdr:row>1</xdr:row>
      <xdr:rowOff>9525</xdr:rowOff>
    </xdr:from>
    <xdr:to>
      <xdr:col>9</xdr:col>
      <xdr:colOff>369570</xdr:colOff>
      <xdr:row>16</xdr:row>
      <xdr:rowOff>9525</xdr:rowOff>
    </xdr:to>
    <xdr:graphicFrame macro="">
      <xdr:nvGraphicFramePr>
        <xdr:cNvPr id="3" name="Chart 2">
          <a:extLst>
            <a:ext uri="{FF2B5EF4-FFF2-40B4-BE49-F238E27FC236}">
              <a16:creationId xmlns:a16="http://schemas.microsoft.com/office/drawing/2014/main" id="{3ADFF050-A6A7-BB68-2553-349AE0064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403860</xdr:colOff>
      <xdr:row>8</xdr:row>
      <xdr:rowOff>93345</xdr:rowOff>
    </xdr:from>
    <xdr:to>
      <xdr:col>14</xdr:col>
      <xdr:colOff>156210</xdr:colOff>
      <xdr:row>23</xdr:row>
      <xdr:rowOff>93345</xdr:rowOff>
    </xdr:to>
    <xdr:graphicFrame macro="">
      <xdr:nvGraphicFramePr>
        <xdr:cNvPr id="4" name="Chart 3">
          <a:extLst>
            <a:ext uri="{FF2B5EF4-FFF2-40B4-BE49-F238E27FC236}">
              <a16:creationId xmlns:a16="http://schemas.microsoft.com/office/drawing/2014/main" id="{C3ABC4F2-4944-1FA0-8D63-AD16CBF1E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552450</xdr:colOff>
      <xdr:row>2</xdr:row>
      <xdr:rowOff>131445</xdr:rowOff>
    </xdr:from>
    <xdr:to>
      <xdr:col>24</xdr:col>
      <xdr:colOff>259080</xdr:colOff>
      <xdr:row>17</xdr:row>
      <xdr:rowOff>131445</xdr:rowOff>
    </xdr:to>
    <xdr:graphicFrame macro="">
      <xdr:nvGraphicFramePr>
        <xdr:cNvPr id="5" name="Chart 4">
          <a:extLst>
            <a:ext uri="{FF2B5EF4-FFF2-40B4-BE49-F238E27FC236}">
              <a16:creationId xmlns:a16="http://schemas.microsoft.com/office/drawing/2014/main" id="{C3E60390-C26B-0B6A-C493-A7CC1AE32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880110</xdr:colOff>
      <xdr:row>15</xdr:row>
      <xdr:rowOff>131445</xdr:rowOff>
    </xdr:from>
    <xdr:to>
      <xdr:col>28</xdr:col>
      <xdr:colOff>563880</xdr:colOff>
      <xdr:row>30</xdr:row>
      <xdr:rowOff>131445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47F2D07-DE36-BCFA-0406-DD485E805B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729960" y="2874645"/>
              <a:ext cx="308229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430530</xdr:colOff>
      <xdr:row>2</xdr:row>
      <xdr:rowOff>9525</xdr:rowOff>
    </xdr:from>
    <xdr:to>
      <xdr:col>39</xdr:col>
      <xdr:colOff>140970</xdr:colOff>
      <xdr:row>15</xdr:row>
      <xdr:rowOff>140970</xdr:rowOff>
    </xdr:to>
    <xdr:graphicFrame macro="">
      <xdr:nvGraphicFramePr>
        <xdr:cNvPr id="7" name="Chart 6">
          <a:extLst>
            <a:ext uri="{FF2B5EF4-FFF2-40B4-BE49-F238E27FC236}">
              <a16:creationId xmlns:a16="http://schemas.microsoft.com/office/drawing/2014/main" id="{5DE1B3CE-5E53-F825-B635-81C414F40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121920</xdr:colOff>
      <xdr:row>9</xdr:row>
      <xdr:rowOff>45720</xdr:rowOff>
    </xdr:from>
    <xdr:to>
      <xdr:col>45</xdr:col>
      <xdr:colOff>251460</xdr:colOff>
      <xdr:row>20</xdr:row>
      <xdr:rowOff>118110</xdr:rowOff>
    </xdr:to>
    <xdr:graphicFrame macro="">
      <xdr:nvGraphicFramePr>
        <xdr:cNvPr id="8" name="Chart 7">
          <a:extLst>
            <a:ext uri="{FF2B5EF4-FFF2-40B4-BE49-F238E27FC236}">
              <a16:creationId xmlns:a16="http://schemas.microsoft.com/office/drawing/2014/main" id="{B14826BE-E395-BDB1-2BE1-57084B621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43</xdr:col>
      <xdr:colOff>811530</xdr:colOff>
      <xdr:row>0</xdr:row>
      <xdr:rowOff>156211</xdr:rowOff>
    </xdr:from>
    <xdr:to>
      <xdr:col>46</xdr:col>
      <xdr:colOff>350520</xdr:colOff>
      <xdr:row>6</xdr:row>
      <xdr:rowOff>80011</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06862468-DD5A-ACB7-A21C-674EFEC6A8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2209740" y="156211"/>
              <a:ext cx="182880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365760</xdr:colOff>
      <xdr:row>0</xdr:row>
      <xdr:rowOff>152401</xdr:rowOff>
    </xdr:from>
    <xdr:to>
      <xdr:col>49</xdr:col>
      <xdr:colOff>41910</xdr:colOff>
      <xdr:row>7</xdr:row>
      <xdr:rowOff>114301</xdr:rowOff>
    </xdr:to>
    <mc:AlternateContent xmlns:mc="http://schemas.openxmlformats.org/markup-compatibility/2006">
      <mc:Choice xmlns:a14="http://schemas.microsoft.com/office/drawing/2010/main" Requires="a14">
        <xdr:graphicFrame macro="">
          <xdr:nvGraphicFramePr>
            <xdr:cNvPr id="10" name="Sales Channel">
              <a:extLst>
                <a:ext uri="{FF2B5EF4-FFF2-40B4-BE49-F238E27FC236}">
                  <a16:creationId xmlns:a16="http://schemas.microsoft.com/office/drawing/2014/main" id="{926BC5AC-D5BA-9F69-71B7-D9711592F18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34053780" y="15240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323850</xdr:colOff>
      <xdr:row>0</xdr:row>
      <xdr:rowOff>160021</xdr:rowOff>
    </xdr:from>
    <xdr:to>
      <xdr:col>51</xdr:col>
      <xdr:colOff>502920</xdr:colOff>
      <xdr:row>7</xdr:row>
      <xdr:rowOff>133351</xdr:rowOff>
    </xdr:to>
    <mc:AlternateContent xmlns:mc="http://schemas.openxmlformats.org/markup-compatibility/2006">
      <mc:Choice xmlns:a14="http://schemas.microsoft.com/office/drawing/2010/main" Requires="a14">
        <xdr:graphicFrame macro="">
          <xdr:nvGraphicFramePr>
            <xdr:cNvPr id="11" name="Categories">
              <a:extLst>
                <a:ext uri="{FF2B5EF4-FFF2-40B4-BE49-F238E27FC236}">
                  <a16:creationId xmlns:a16="http://schemas.microsoft.com/office/drawing/2014/main" id="{77C62FB0-DABC-21FB-7C7B-A7E6A0A6BDDB}"/>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36164520" y="160021"/>
              <a:ext cx="1828800" cy="1253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899.612559027781" createdVersion="8" refreshedVersion="8" minRefreshableVersion="3" recordCount="683" xr:uid="{8E34410B-9A66-4758-82D2-A067D8B24605}">
  <cacheSource type="worksheet">
    <worksheetSource name="Table1"/>
  </cacheSource>
  <cacheFields count="15">
    <cacheField name="Id" numFmtId="0">
      <sharedItems containsSemiMixedTypes="0" containsString="0" containsNumber="1" containsInteger="1" minValue="1" maxValue="683"/>
    </cacheField>
    <cacheField name="Date" numFmtId="14">
      <sharedItems containsSemiMixedTypes="0" containsNonDate="0" containsDate="1" containsString="0" minDate="2022-01-26T00:00:00" maxDate="2024-01-01T00:00:00"/>
    </cacheField>
    <cacheField name="Year" numFmtId="14">
      <sharedItems containsNonDate="0" count="2">
        <s v="2022"/>
        <s v="2023"/>
      </sharedItems>
    </cacheField>
    <cacheField name="Month" numFmtId="14">
      <sharedItems containsNonDate="0" count="12">
        <s v="Apr"/>
        <s v="May"/>
        <s v="Oct"/>
        <s v="Jun"/>
        <s v="Jul"/>
        <s v="Aug"/>
        <s v="Sep"/>
        <s v="Nov"/>
        <s v="Dec"/>
        <s v="Jan"/>
        <s v="Feb"/>
        <s v="Mar"/>
      </sharedItems>
    </cacheField>
    <cacheField name="State" numFmtId="0">
      <sharedItems count="30">
        <s v="Andhra Pradesh"/>
        <s v="Delhi"/>
        <s v="Uttar Pradesh"/>
        <s v="West Bengal"/>
        <s v="Goa"/>
        <s v="Tamil Nadu"/>
        <s v="Haryana"/>
        <s v="Jammu and Kashmir"/>
        <s v="Maharashtra"/>
        <s v="Karnataka"/>
        <s v="Punjab"/>
        <s v="Jharkhand"/>
        <s v="Telangana"/>
        <s v="Puducherry"/>
        <s v="Andaman and Nicobar Islands"/>
        <s v="Odisha"/>
        <s v="Gujarat"/>
        <s v="Arunachal Pradesh"/>
        <s v="Rajasthan"/>
        <s v="Assam"/>
        <s v="Bihar"/>
        <s v="Kerala"/>
        <s v="Uttarakhand"/>
        <s v="Dadra and Nagar Haveli"/>
        <s v="Madhya Pradesh"/>
        <s v="Lakshadweep"/>
        <s v="Himachal Pradesh"/>
        <s v="Nagaland"/>
        <s v="Chhattisgarh"/>
        <s v="Daman and Diu"/>
      </sharedItems>
    </cacheField>
    <cacheField name="Sales Channel" numFmtId="0">
      <sharedItems count="3">
        <s v="Partnerships"/>
        <s v="Online Delivery"/>
        <s v="Physical Store"/>
      </sharedItems>
    </cacheField>
    <cacheField name="Product" numFmtId="0">
      <sharedItems/>
    </cacheField>
    <cacheField name="Categories" numFmtId="0">
      <sharedItems count="3">
        <s v="Snacks"/>
        <s v="Instant Foods"/>
        <s v="Sweets"/>
      </sharedItems>
    </cacheField>
    <cacheField name="Satisfaction Level" numFmtId="0">
      <sharedItems containsString="0" containsBlank="1" containsNumber="1" containsInteger="1" minValue="0" maxValue="1" count="3">
        <n v="1"/>
        <n v="0"/>
        <m/>
      </sharedItems>
    </cacheField>
    <cacheField name="Cost" numFmtId="0">
      <sharedItems containsSemiMixedTypes="0" containsString="0" containsNumber="1" containsInteger="1" minValue="1800" maxValue="88200"/>
    </cacheField>
    <cacheField name="Sales Price" numFmtId="0">
      <sharedItems containsSemiMixedTypes="0" containsString="0" containsNumber="1" containsInteger="1" minValue="2000" maxValue="98000"/>
    </cacheField>
    <cacheField name="Qty" numFmtId="0">
      <sharedItems containsSemiMixedTypes="0" containsString="0" containsNumber="1" containsInteger="1" minValue="1" maxValue="56"/>
    </cacheField>
    <cacheField name="Revenue" numFmtId="0">
      <sharedItems containsSemiMixedTypes="0" containsString="0" containsNumber="1" containsInteger="1" minValue="3000" maxValue="3304000"/>
    </cacheField>
    <cacheField name="Total Cost" numFmtId="0">
      <sharedItems containsSemiMixedTypes="0" containsString="0" containsNumber="1" containsInteger="1" minValue="2700" maxValue="2973600"/>
    </cacheField>
    <cacheField name="Profit/Loss" numFmtId="0">
      <sharedItems containsSemiMixedTypes="0" containsString="0" containsNumber="1" containsInteger="1" minValue="300" maxValue="330400"/>
    </cacheField>
  </cacheFields>
  <extLst>
    <ext xmlns:x14="http://schemas.microsoft.com/office/spreadsheetml/2009/9/main" uri="{725AE2AE-9491-48be-B2B4-4EB974FC3084}">
      <x14:pivotCacheDefinition pivotCacheId="607443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n v="1"/>
    <d v="2022-04-15T00:00:00"/>
    <x v="0"/>
    <x v="0"/>
    <x v="0"/>
    <x v="0"/>
    <s v="Namkeen"/>
    <x v="0"/>
    <x v="0"/>
    <n v="38250"/>
    <n v="42500"/>
    <n v="3"/>
    <n v="127500"/>
    <n v="114750"/>
    <n v="12750"/>
  </r>
  <r>
    <n v="2"/>
    <d v="2022-04-16T00:00:00"/>
    <x v="0"/>
    <x v="0"/>
    <x v="0"/>
    <x v="1"/>
    <s v="Chips &amp; Wafers "/>
    <x v="0"/>
    <x v="1"/>
    <n v="2700"/>
    <n v="3000"/>
    <n v="5"/>
    <n v="15000"/>
    <n v="13500"/>
    <n v="1500"/>
  </r>
  <r>
    <n v="3"/>
    <d v="2022-04-17T00:00:00"/>
    <x v="0"/>
    <x v="0"/>
    <x v="1"/>
    <x v="1"/>
    <s v="Samosas"/>
    <x v="0"/>
    <x v="0"/>
    <n v="23850"/>
    <n v="26500"/>
    <n v="1"/>
    <n v="26500"/>
    <n v="23850"/>
    <n v="2650"/>
  </r>
  <r>
    <n v="4"/>
    <d v="2022-04-18T00:00:00"/>
    <x v="0"/>
    <x v="0"/>
    <x v="2"/>
    <x v="1"/>
    <s v="Kachoris"/>
    <x v="0"/>
    <x v="0"/>
    <n v="24750"/>
    <n v="27500"/>
    <n v="5"/>
    <n v="137500"/>
    <n v="123750"/>
    <n v="13750"/>
  </r>
  <r>
    <n v="5"/>
    <d v="2022-04-19T00:00:00"/>
    <x v="0"/>
    <x v="0"/>
    <x v="3"/>
    <x v="1"/>
    <s v="Bhujia"/>
    <x v="0"/>
    <x v="0"/>
    <n v="44550"/>
    <n v="49500"/>
    <n v="7"/>
    <n v="346500"/>
    <n v="311850"/>
    <n v="34650"/>
  </r>
  <r>
    <n v="6"/>
    <d v="2022-04-20T00:00:00"/>
    <x v="0"/>
    <x v="0"/>
    <x v="0"/>
    <x v="1"/>
    <s v="Mixes"/>
    <x v="0"/>
    <x v="0"/>
    <n v="9000"/>
    <n v="10000"/>
    <n v="4"/>
    <n v="40000"/>
    <n v="36000"/>
    <n v="4000"/>
  </r>
  <r>
    <n v="7"/>
    <d v="2022-04-21T00:00:00"/>
    <x v="0"/>
    <x v="0"/>
    <x v="1"/>
    <x v="1"/>
    <s v="Ready-to-Eat Curries "/>
    <x v="1"/>
    <x v="2"/>
    <n v="8640"/>
    <n v="9600"/>
    <n v="8"/>
    <n v="76800"/>
    <n v="69120"/>
    <n v="7680"/>
  </r>
  <r>
    <n v="8"/>
    <d v="2022-04-22T00:00:00"/>
    <x v="0"/>
    <x v="0"/>
    <x v="4"/>
    <x v="1"/>
    <s v="Instant Mixes"/>
    <x v="1"/>
    <x v="2"/>
    <n v="9000"/>
    <n v="10000"/>
    <n v="8"/>
    <n v="80000"/>
    <n v="72000"/>
    <n v="8000"/>
  </r>
  <r>
    <n v="9"/>
    <d v="2022-04-23T00:00:00"/>
    <x v="0"/>
    <x v="0"/>
    <x v="5"/>
    <x v="1"/>
    <s v="Frozen Snacks"/>
    <x v="1"/>
    <x v="0"/>
    <n v="3870"/>
    <n v="4300"/>
    <n v="9"/>
    <n v="38700"/>
    <n v="34830"/>
    <n v="3870"/>
  </r>
  <r>
    <n v="10"/>
    <d v="2022-04-24T00:00:00"/>
    <x v="0"/>
    <x v="0"/>
    <x v="6"/>
    <x v="1"/>
    <s v="Parathas"/>
    <x v="1"/>
    <x v="0"/>
    <n v="45450"/>
    <n v="50500"/>
    <n v="2"/>
    <n v="101000"/>
    <n v="90900"/>
    <n v="10100"/>
  </r>
  <r>
    <n v="11"/>
    <d v="2022-04-25T00:00:00"/>
    <x v="0"/>
    <x v="0"/>
    <x v="7"/>
    <x v="1"/>
    <s v="Nut-based Snacks "/>
    <x v="0"/>
    <x v="0"/>
    <n v="18225"/>
    <n v="20250"/>
    <n v="1"/>
    <n v="20250"/>
    <n v="18225"/>
    <n v="2025"/>
  </r>
  <r>
    <n v="12"/>
    <d v="2022-04-26T00:00:00"/>
    <x v="0"/>
    <x v="0"/>
    <x v="2"/>
    <x v="1"/>
    <s v="Papads"/>
    <x v="0"/>
    <x v="0"/>
    <n v="1800"/>
    <n v="2000"/>
    <n v="22"/>
    <n v="44000"/>
    <n v="39600"/>
    <n v="4400"/>
  </r>
  <r>
    <n v="13"/>
    <d v="2022-04-27T00:00:00"/>
    <x v="0"/>
    <x v="0"/>
    <x v="0"/>
    <x v="1"/>
    <s v="Namkeens"/>
    <x v="0"/>
    <x v="0"/>
    <n v="48600"/>
    <n v="54000"/>
    <n v="8"/>
    <n v="432000"/>
    <n v="388800"/>
    <n v="43200"/>
  </r>
  <r>
    <n v="14"/>
    <d v="2022-04-28T00:00:00"/>
    <x v="0"/>
    <x v="0"/>
    <x v="6"/>
    <x v="1"/>
    <s v="Chips &amp; Wafers "/>
    <x v="0"/>
    <x v="0"/>
    <n v="72900"/>
    <n v="81000"/>
    <n v="7"/>
    <n v="567000"/>
    <n v="510300"/>
    <n v="56700"/>
  </r>
  <r>
    <n v="15"/>
    <d v="2022-04-29T00:00:00"/>
    <x v="0"/>
    <x v="0"/>
    <x v="0"/>
    <x v="1"/>
    <s v="Samosas"/>
    <x v="0"/>
    <x v="2"/>
    <n v="9450"/>
    <n v="10500"/>
    <n v="56"/>
    <n v="588000"/>
    <n v="529200"/>
    <n v="58800"/>
  </r>
  <r>
    <n v="16"/>
    <d v="2022-04-30T00:00:00"/>
    <x v="0"/>
    <x v="0"/>
    <x v="8"/>
    <x v="1"/>
    <s v="Kachoris"/>
    <x v="0"/>
    <x v="2"/>
    <n v="36000"/>
    <n v="40000"/>
    <n v="10"/>
    <n v="400000"/>
    <n v="360000"/>
    <n v="40000"/>
  </r>
  <r>
    <n v="17"/>
    <d v="2022-05-01T00:00:00"/>
    <x v="0"/>
    <x v="1"/>
    <x v="9"/>
    <x v="1"/>
    <s v="Bhujia"/>
    <x v="0"/>
    <x v="2"/>
    <n v="24300"/>
    <n v="27000"/>
    <n v="9"/>
    <n v="243000"/>
    <n v="218700"/>
    <n v="24300"/>
  </r>
  <r>
    <n v="18"/>
    <d v="2022-05-02T00:00:00"/>
    <x v="0"/>
    <x v="1"/>
    <x v="8"/>
    <x v="1"/>
    <s v="Mixes"/>
    <x v="0"/>
    <x v="0"/>
    <n v="9180"/>
    <n v="10200"/>
    <n v="27"/>
    <n v="275400"/>
    <n v="247860"/>
    <n v="27540"/>
  </r>
  <r>
    <n v="19"/>
    <d v="2022-05-03T00:00:00"/>
    <x v="0"/>
    <x v="1"/>
    <x v="2"/>
    <x v="1"/>
    <s v="Papads"/>
    <x v="0"/>
    <x v="0"/>
    <n v="8640"/>
    <n v="9600"/>
    <n v="15"/>
    <n v="144000"/>
    <n v="129600"/>
    <n v="14400"/>
  </r>
  <r>
    <n v="20"/>
    <d v="2022-10-04T00:00:00"/>
    <x v="0"/>
    <x v="2"/>
    <x v="2"/>
    <x v="1"/>
    <s v="Heat-and-Eat Meals"/>
    <x v="1"/>
    <x v="0"/>
    <n v="8280"/>
    <n v="9200"/>
    <n v="3"/>
    <n v="27600"/>
    <n v="24840"/>
    <n v="2760"/>
  </r>
  <r>
    <n v="21"/>
    <d v="2022-05-05T00:00:00"/>
    <x v="0"/>
    <x v="1"/>
    <x v="8"/>
    <x v="1"/>
    <s v="Ready-to-Eat Curries "/>
    <x v="1"/>
    <x v="1"/>
    <n v="4950"/>
    <n v="5500"/>
    <n v="9"/>
    <n v="49500"/>
    <n v="44550"/>
    <n v="4950"/>
  </r>
  <r>
    <n v="22"/>
    <d v="2022-05-06T00:00:00"/>
    <x v="0"/>
    <x v="1"/>
    <x v="8"/>
    <x v="1"/>
    <s v="Frozen Snacks"/>
    <x v="1"/>
    <x v="1"/>
    <n v="3150"/>
    <n v="3500"/>
    <n v="22"/>
    <n v="77000"/>
    <n v="69300"/>
    <n v="7700"/>
  </r>
  <r>
    <n v="23"/>
    <d v="2022-10-04T00:00:00"/>
    <x v="0"/>
    <x v="2"/>
    <x v="5"/>
    <x v="1"/>
    <s v="Traditional Sweets "/>
    <x v="2"/>
    <x v="1"/>
    <n v="2700"/>
    <n v="3000"/>
    <n v="16"/>
    <n v="48000"/>
    <n v="43200"/>
    <n v="4800"/>
  </r>
  <r>
    <n v="24"/>
    <d v="2022-05-08T00:00:00"/>
    <x v="0"/>
    <x v="1"/>
    <x v="8"/>
    <x v="0"/>
    <s v="Dry Sweets "/>
    <x v="2"/>
    <x v="0"/>
    <n v="4050"/>
    <n v="4500"/>
    <n v="6"/>
    <n v="27000"/>
    <n v="24300"/>
    <n v="2700"/>
  </r>
  <r>
    <n v="25"/>
    <d v="2022-10-04T00:00:00"/>
    <x v="0"/>
    <x v="2"/>
    <x v="8"/>
    <x v="0"/>
    <s v="Milk-based Sweets "/>
    <x v="2"/>
    <x v="2"/>
    <n v="53100"/>
    <n v="59000"/>
    <n v="3"/>
    <n v="177000"/>
    <n v="159300"/>
    <n v="17700"/>
  </r>
  <r>
    <n v="26"/>
    <d v="2022-10-04T00:00:00"/>
    <x v="0"/>
    <x v="2"/>
    <x v="10"/>
    <x v="0"/>
    <s v="Syrup-based Sweets"/>
    <x v="2"/>
    <x v="2"/>
    <n v="88200"/>
    <n v="98000"/>
    <n v="5"/>
    <n v="490000"/>
    <n v="441000"/>
    <n v="49000"/>
  </r>
  <r>
    <n v="27"/>
    <d v="2022-10-04T00:00:00"/>
    <x v="0"/>
    <x v="2"/>
    <x v="8"/>
    <x v="0"/>
    <s v="Gift Packs"/>
    <x v="2"/>
    <x v="0"/>
    <n v="38250"/>
    <n v="42500"/>
    <n v="1"/>
    <n v="42500"/>
    <n v="38250"/>
    <n v="4250"/>
  </r>
  <r>
    <n v="28"/>
    <d v="2022-10-04T00:00:00"/>
    <x v="0"/>
    <x v="2"/>
    <x v="2"/>
    <x v="0"/>
    <s v="Traditional Sweets "/>
    <x v="2"/>
    <x v="0"/>
    <n v="2700"/>
    <n v="3000"/>
    <n v="5"/>
    <n v="15000"/>
    <n v="13500"/>
    <n v="1500"/>
  </r>
  <r>
    <n v="29"/>
    <d v="2022-05-13T00:00:00"/>
    <x v="0"/>
    <x v="1"/>
    <x v="1"/>
    <x v="0"/>
    <s v="Dry Sweets "/>
    <x v="2"/>
    <x v="0"/>
    <n v="23850"/>
    <n v="26500"/>
    <n v="7"/>
    <n v="185500"/>
    <n v="166950"/>
    <n v="18550"/>
  </r>
  <r>
    <n v="30"/>
    <d v="2022-05-14T00:00:00"/>
    <x v="0"/>
    <x v="1"/>
    <x v="2"/>
    <x v="0"/>
    <s v="Milk-based Sweets "/>
    <x v="2"/>
    <x v="0"/>
    <n v="24750"/>
    <n v="27500"/>
    <n v="4"/>
    <n v="110000"/>
    <n v="99000"/>
    <n v="11000"/>
  </r>
  <r>
    <n v="31"/>
    <d v="2022-05-15T00:00:00"/>
    <x v="0"/>
    <x v="1"/>
    <x v="8"/>
    <x v="0"/>
    <s v="Syrup-based Sweets"/>
    <x v="2"/>
    <x v="0"/>
    <n v="44550"/>
    <n v="49500"/>
    <n v="8"/>
    <n v="396000"/>
    <n v="356400"/>
    <n v="39600"/>
  </r>
  <r>
    <n v="32"/>
    <d v="2022-05-16T00:00:00"/>
    <x v="0"/>
    <x v="1"/>
    <x v="11"/>
    <x v="0"/>
    <s v="Gift Packs"/>
    <x v="2"/>
    <x v="0"/>
    <n v="9000"/>
    <n v="10000"/>
    <n v="8"/>
    <n v="80000"/>
    <n v="72000"/>
    <n v="8000"/>
  </r>
  <r>
    <n v="33"/>
    <d v="2022-05-17T00:00:00"/>
    <x v="0"/>
    <x v="1"/>
    <x v="2"/>
    <x v="0"/>
    <s v="Gift Packs"/>
    <x v="2"/>
    <x v="2"/>
    <n v="8640"/>
    <n v="9600"/>
    <n v="9"/>
    <n v="86400"/>
    <n v="77760"/>
    <n v="8640"/>
  </r>
  <r>
    <n v="34"/>
    <d v="2022-10-04T00:00:00"/>
    <x v="0"/>
    <x v="2"/>
    <x v="6"/>
    <x v="0"/>
    <s v="Traditional Sweets "/>
    <x v="2"/>
    <x v="2"/>
    <n v="9000"/>
    <n v="10000"/>
    <n v="2"/>
    <n v="20000"/>
    <n v="18000"/>
    <n v="2000"/>
  </r>
  <r>
    <n v="35"/>
    <d v="2022-10-04T00:00:00"/>
    <x v="0"/>
    <x v="2"/>
    <x v="6"/>
    <x v="0"/>
    <s v="Namkeen"/>
    <x v="0"/>
    <x v="2"/>
    <n v="3870"/>
    <n v="4300"/>
    <n v="1"/>
    <n v="4300"/>
    <n v="3870"/>
    <n v="430"/>
  </r>
  <r>
    <n v="36"/>
    <d v="2022-10-04T00:00:00"/>
    <x v="0"/>
    <x v="2"/>
    <x v="12"/>
    <x v="0"/>
    <s v="Chips &amp; Wafers "/>
    <x v="0"/>
    <x v="0"/>
    <n v="45450"/>
    <n v="50500"/>
    <n v="22"/>
    <n v="1111000"/>
    <n v="999900"/>
    <n v="111100"/>
  </r>
  <r>
    <n v="37"/>
    <d v="2022-10-04T00:00:00"/>
    <x v="0"/>
    <x v="2"/>
    <x v="4"/>
    <x v="0"/>
    <s v="Samosas"/>
    <x v="0"/>
    <x v="0"/>
    <n v="18225"/>
    <n v="20250"/>
    <n v="8"/>
    <n v="162000"/>
    <n v="145800"/>
    <n v="16200"/>
  </r>
  <r>
    <n v="38"/>
    <d v="2022-10-04T00:00:00"/>
    <x v="0"/>
    <x v="2"/>
    <x v="2"/>
    <x v="0"/>
    <s v="Kachoris"/>
    <x v="0"/>
    <x v="0"/>
    <n v="1800"/>
    <n v="2000"/>
    <n v="7"/>
    <n v="14000"/>
    <n v="12600"/>
    <n v="1400"/>
  </r>
  <r>
    <n v="39"/>
    <d v="2022-10-04T00:00:00"/>
    <x v="0"/>
    <x v="2"/>
    <x v="6"/>
    <x v="0"/>
    <s v="Bhujia"/>
    <x v="0"/>
    <x v="0"/>
    <n v="48600"/>
    <n v="54000"/>
    <n v="56"/>
    <n v="3024000"/>
    <n v="2721600"/>
    <n v="302400"/>
  </r>
  <r>
    <n v="40"/>
    <d v="2022-10-04T00:00:00"/>
    <x v="0"/>
    <x v="2"/>
    <x v="5"/>
    <x v="0"/>
    <s v="Mixes"/>
    <x v="0"/>
    <x v="0"/>
    <n v="72900"/>
    <n v="81000"/>
    <n v="10"/>
    <n v="810000"/>
    <n v="729000"/>
    <n v="81000"/>
  </r>
  <r>
    <n v="41"/>
    <d v="2022-10-04T00:00:00"/>
    <x v="0"/>
    <x v="2"/>
    <x v="2"/>
    <x v="0"/>
    <s v="Ready-to-Eat Curries "/>
    <x v="1"/>
    <x v="0"/>
    <n v="9450"/>
    <n v="10500"/>
    <n v="9"/>
    <n v="94500"/>
    <n v="85050"/>
    <n v="9450"/>
  </r>
  <r>
    <n v="42"/>
    <d v="2022-10-04T00:00:00"/>
    <x v="0"/>
    <x v="2"/>
    <x v="3"/>
    <x v="0"/>
    <s v="Instant Mixes"/>
    <x v="1"/>
    <x v="0"/>
    <n v="36000"/>
    <n v="40000"/>
    <n v="27"/>
    <n v="1080000"/>
    <n v="972000"/>
    <n v="108000"/>
  </r>
  <r>
    <n v="43"/>
    <d v="2022-10-04T00:00:00"/>
    <x v="0"/>
    <x v="2"/>
    <x v="2"/>
    <x v="0"/>
    <s v="Frozen Snacks"/>
    <x v="1"/>
    <x v="2"/>
    <n v="24300"/>
    <n v="27000"/>
    <n v="15"/>
    <n v="405000"/>
    <n v="364500"/>
    <n v="40500"/>
  </r>
  <r>
    <n v="44"/>
    <d v="2022-05-28T00:00:00"/>
    <x v="0"/>
    <x v="1"/>
    <x v="13"/>
    <x v="0"/>
    <s v="Parathas"/>
    <x v="1"/>
    <x v="2"/>
    <n v="9180"/>
    <n v="10200"/>
    <n v="3"/>
    <n v="30600"/>
    <n v="27540"/>
    <n v="3060"/>
  </r>
  <r>
    <n v="45"/>
    <d v="2022-05-29T00:00:00"/>
    <x v="0"/>
    <x v="1"/>
    <x v="8"/>
    <x v="0"/>
    <s v="Nut-based Snacks "/>
    <x v="0"/>
    <x v="0"/>
    <n v="8640"/>
    <n v="9600"/>
    <n v="9"/>
    <n v="86400"/>
    <n v="77760"/>
    <n v="8640"/>
  </r>
  <r>
    <n v="46"/>
    <d v="2022-05-30T00:00:00"/>
    <x v="0"/>
    <x v="1"/>
    <x v="14"/>
    <x v="0"/>
    <s v="Papads"/>
    <x v="0"/>
    <x v="0"/>
    <n v="8280"/>
    <n v="9200"/>
    <n v="22"/>
    <n v="202400"/>
    <n v="182160"/>
    <n v="20240"/>
  </r>
  <r>
    <n v="47"/>
    <d v="2022-05-31T00:00:00"/>
    <x v="0"/>
    <x v="1"/>
    <x v="15"/>
    <x v="0"/>
    <s v="Namkeens"/>
    <x v="0"/>
    <x v="0"/>
    <n v="4950"/>
    <n v="5500"/>
    <n v="16"/>
    <n v="88000"/>
    <n v="79200"/>
    <n v="8800"/>
  </r>
  <r>
    <n v="48"/>
    <d v="2022-06-01T00:00:00"/>
    <x v="0"/>
    <x v="3"/>
    <x v="3"/>
    <x v="1"/>
    <s v="Chips &amp; Wafers "/>
    <x v="0"/>
    <x v="1"/>
    <n v="3150"/>
    <n v="3500"/>
    <n v="6"/>
    <n v="21000"/>
    <n v="18900"/>
    <n v="2100"/>
  </r>
  <r>
    <n v="49"/>
    <d v="2022-06-02T00:00:00"/>
    <x v="0"/>
    <x v="3"/>
    <x v="16"/>
    <x v="0"/>
    <s v="Samosas"/>
    <x v="0"/>
    <x v="0"/>
    <n v="2700"/>
    <n v="3000"/>
    <n v="3"/>
    <n v="9000"/>
    <n v="8100"/>
    <n v="900"/>
  </r>
  <r>
    <n v="50"/>
    <d v="2022-06-03T00:00:00"/>
    <x v="0"/>
    <x v="3"/>
    <x v="2"/>
    <x v="1"/>
    <s v="Kachoris"/>
    <x v="0"/>
    <x v="1"/>
    <n v="4050"/>
    <n v="4500"/>
    <n v="5"/>
    <n v="22500"/>
    <n v="20250"/>
    <n v="2250"/>
  </r>
  <r>
    <n v="51"/>
    <d v="2022-06-04T00:00:00"/>
    <x v="0"/>
    <x v="3"/>
    <x v="17"/>
    <x v="0"/>
    <s v="Bhujia"/>
    <x v="0"/>
    <x v="2"/>
    <n v="53100"/>
    <n v="59000"/>
    <n v="1"/>
    <n v="59000"/>
    <n v="53100"/>
    <n v="5900"/>
  </r>
  <r>
    <n v="52"/>
    <d v="2022-06-05T00:00:00"/>
    <x v="0"/>
    <x v="3"/>
    <x v="8"/>
    <x v="1"/>
    <s v="Mixes"/>
    <x v="0"/>
    <x v="2"/>
    <n v="88200"/>
    <n v="98000"/>
    <n v="5"/>
    <n v="490000"/>
    <n v="441000"/>
    <n v="49000"/>
  </r>
  <r>
    <n v="53"/>
    <d v="2022-06-06T00:00:00"/>
    <x v="0"/>
    <x v="3"/>
    <x v="8"/>
    <x v="0"/>
    <s v="Papads"/>
    <x v="0"/>
    <x v="2"/>
    <n v="8640"/>
    <n v="9600"/>
    <n v="7"/>
    <n v="67200"/>
    <n v="60480"/>
    <n v="6720"/>
  </r>
  <r>
    <n v="54"/>
    <d v="2022-06-07T00:00:00"/>
    <x v="0"/>
    <x v="3"/>
    <x v="5"/>
    <x v="1"/>
    <s v="Heat-and-Eat Meals"/>
    <x v="1"/>
    <x v="0"/>
    <n v="8280"/>
    <n v="9200"/>
    <n v="4"/>
    <n v="36800"/>
    <n v="33120"/>
    <n v="3680"/>
  </r>
  <r>
    <n v="55"/>
    <d v="2022-06-08T00:00:00"/>
    <x v="0"/>
    <x v="3"/>
    <x v="8"/>
    <x v="0"/>
    <s v="Ready-to-Eat Curries "/>
    <x v="1"/>
    <x v="0"/>
    <n v="4950"/>
    <n v="5500"/>
    <n v="8"/>
    <n v="44000"/>
    <n v="39600"/>
    <n v="4400"/>
  </r>
  <r>
    <n v="56"/>
    <d v="2022-06-09T00:00:00"/>
    <x v="0"/>
    <x v="3"/>
    <x v="18"/>
    <x v="1"/>
    <s v="Frozen Snacks"/>
    <x v="1"/>
    <x v="1"/>
    <n v="3150"/>
    <n v="3500"/>
    <n v="8"/>
    <n v="28000"/>
    <n v="25200"/>
    <n v="2800"/>
  </r>
  <r>
    <n v="57"/>
    <d v="2022-06-10T00:00:00"/>
    <x v="0"/>
    <x v="3"/>
    <x v="2"/>
    <x v="0"/>
    <s v="Traditional Sweets "/>
    <x v="2"/>
    <x v="0"/>
    <n v="2700"/>
    <n v="3000"/>
    <n v="9"/>
    <n v="27000"/>
    <n v="24300"/>
    <n v="2700"/>
  </r>
  <r>
    <n v="58"/>
    <d v="2022-06-11T00:00:00"/>
    <x v="0"/>
    <x v="3"/>
    <x v="17"/>
    <x v="1"/>
    <s v="Dry Sweets "/>
    <x v="2"/>
    <x v="0"/>
    <n v="4050"/>
    <n v="4500"/>
    <n v="2"/>
    <n v="9000"/>
    <n v="8100"/>
    <n v="900"/>
  </r>
  <r>
    <n v="59"/>
    <d v="2022-06-12T00:00:00"/>
    <x v="0"/>
    <x v="3"/>
    <x v="16"/>
    <x v="0"/>
    <s v="Milk-based Sweets "/>
    <x v="2"/>
    <x v="0"/>
    <n v="53100"/>
    <n v="59000"/>
    <n v="1"/>
    <n v="59000"/>
    <n v="53100"/>
    <n v="5900"/>
  </r>
  <r>
    <n v="60"/>
    <d v="2022-06-13T00:00:00"/>
    <x v="0"/>
    <x v="3"/>
    <x v="0"/>
    <x v="1"/>
    <s v="Syrup-based Sweets"/>
    <x v="2"/>
    <x v="0"/>
    <n v="88200"/>
    <n v="98000"/>
    <n v="22"/>
    <n v="2156000"/>
    <n v="1940400"/>
    <n v="215600"/>
  </r>
  <r>
    <n v="61"/>
    <d v="2022-06-14T00:00:00"/>
    <x v="0"/>
    <x v="3"/>
    <x v="5"/>
    <x v="0"/>
    <s v="Gift Packs"/>
    <x v="2"/>
    <x v="2"/>
    <n v="38250"/>
    <n v="42500"/>
    <n v="8"/>
    <n v="340000"/>
    <n v="306000"/>
    <n v="34000"/>
  </r>
  <r>
    <n v="62"/>
    <d v="2022-06-15T00:00:00"/>
    <x v="0"/>
    <x v="3"/>
    <x v="3"/>
    <x v="1"/>
    <s v="Traditional Sweets "/>
    <x v="2"/>
    <x v="2"/>
    <n v="2700"/>
    <n v="3000"/>
    <n v="7"/>
    <n v="21000"/>
    <n v="18900"/>
    <n v="2100"/>
  </r>
  <r>
    <n v="63"/>
    <d v="2022-06-16T00:00:00"/>
    <x v="0"/>
    <x v="3"/>
    <x v="19"/>
    <x v="0"/>
    <s v="Dry Sweets "/>
    <x v="2"/>
    <x v="0"/>
    <n v="23850"/>
    <n v="26500"/>
    <n v="56"/>
    <n v="1484000"/>
    <n v="1335600"/>
    <n v="148400"/>
  </r>
  <r>
    <n v="64"/>
    <d v="2022-06-17T00:00:00"/>
    <x v="0"/>
    <x v="3"/>
    <x v="15"/>
    <x v="1"/>
    <s v="Milk-based Sweets "/>
    <x v="2"/>
    <x v="0"/>
    <n v="24750"/>
    <n v="27500"/>
    <n v="10"/>
    <n v="275000"/>
    <n v="247500"/>
    <n v="27500"/>
  </r>
  <r>
    <n v="65"/>
    <d v="2022-06-18T00:00:00"/>
    <x v="0"/>
    <x v="3"/>
    <x v="20"/>
    <x v="0"/>
    <s v="Syrup-based Sweets"/>
    <x v="2"/>
    <x v="0"/>
    <n v="44550"/>
    <n v="49500"/>
    <n v="9"/>
    <n v="445500"/>
    <n v="400950"/>
    <n v="44550"/>
  </r>
  <r>
    <n v="66"/>
    <d v="2022-06-19T00:00:00"/>
    <x v="0"/>
    <x v="3"/>
    <x v="2"/>
    <x v="1"/>
    <s v="Gift Packs"/>
    <x v="2"/>
    <x v="0"/>
    <n v="9000"/>
    <n v="10000"/>
    <n v="27"/>
    <n v="270000"/>
    <n v="243000"/>
    <n v="27000"/>
  </r>
  <r>
    <n v="67"/>
    <d v="2022-06-20T00:00:00"/>
    <x v="0"/>
    <x v="3"/>
    <x v="2"/>
    <x v="0"/>
    <s v="Gift Packs"/>
    <x v="2"/>
    <x v="0"/>
    <n v="8640"/>
    <n v="9600"/>
    <n v="15"/>
    <n v="144000"/>
    <n v="129600"/>
    <n v="14400"/>
  </r>
  <r>
    <n v="68"/>
    <d v="2022-06-21T00:00:00"/>
    <x v="0"/>
    <x v="3"/>
    <x v="9"/>
    <x v="1"/>
    <s v="Traditional Sweets "/>
    <x v="2"/>
    <x v="0"/>
    <n v="9000"/>
    <n v="10000"/>
    <n v="3"/>
    <n v="30000"/>
    <n v="27000"/>
    <n v="3000"/>
  </r>
  <r>
    <n v="69"/>
    <d v="2022-06-22T00:00:00"/>
    <x v="0"/>
    <x v="3"/>
    <x v="9"/>
    <x v="0"/>
    <s v="Namkeen"/>
    <x v="0"/>
    <x v="2"/>
    <n v="3870"/>
    <n v="4300"/>
    <n v="9"/>
    <n v="38700"/>
    <n v="34830"/>
    <n v="3870"/>
  </r>
  <r>
    <n v="70"/>
    <d v="2022-06-23T00:00:00"/>
    <x v="0"/>
    <x v="3"/>
    <x v="8"/>
    <x v="1"/>
    <s v="Chips &amp; Wafers "/>
    <x v="0"/>
    <x v="2"/>
    <n v="8640"/>
    <n v="9600"/>
    <n v="22"/>
    <n v="211200"/>
    <n v="190080"/>
    <n v="21120"/>
  </r>
  <r>
    <n v="71"/>
    <d v="2022-06-24T00:00:00"/>
    <x v="0"/>
    <x v="3"/>
    <x v="1"/>
    <x v="0"/>
    <s v="Samosas"/>
    <x v="0"/>
    <x v="2"/>
    <n v="8280"/>
    <n v="9200"/>
    <n v="16"/>
    <n v="147200"/>
    <n v="132480"/>
    <n v="14720"/>
  </r>
  <r>
    <n v="72"/>
    <d v="2022-06-25T00:00:00"/>
    <x v="0"/>
    <x v="3"/>
    <x v="2"/>
    <x v="1"/>
    <s v="Kachoris"/>
    <x v="0"/>
    <x v="0"/>
    <n v="4950"/>
    <n v="5500"/>
    <n v="6"/>
    <n v="33000"/>
    <n v="29700"/>
    <n v="3300"/>
  </r>
  <r>
    <n v="73"/>
    <d v="2022-06-26T00:00:00"/>
    <x v="0"/>
    <x v="3"/>
    <x v="0"/>
    <x v="0"/>
    <s v="Bhujia"/>
    <x v="0"/>
    <x v="0"/>
    <n v="3150"/>
    <n v="3500"/>
    <n v="3"/>
    <n v="10500"/>
    <n v="9450"/>
    <n v="1050"/>
  </r>
  <r>
    <n v="74"/>
    <d v="2022-06-27T00:00:00"/>
    <x v="0"/>
    <x v="3"/>
    <x v="2"/>
    <x v="1"/>
    <s v="Mixes"/>
    <x v="0"/>
    <x v="0"/>
    <n v="2700"/>
    <n v="3000"/>
    <n v="5"/>
    <n v="15000"/>
    <n v="13500"/>
    <n v="1500"/>
  </r>
  <r>
    <n v="75"/>
    <d v="2022-06-28T00:00:00"/>
    <x v="0"/>
    <x v="3"/>
    <x v="9"/>
    <x v="0"/>
    <s v="Ready-to-Eat Curries "/>
    <x v="1"/>
    <x v="0"/>
    <n v="4050"/>
    <n v="4500"/>
    <n v="1"/>
    <n v="4500"/>
    <n v="4050"/>
    <n v="450"/>
  </r>
  <r>
    <n v="76"/>
    <d v="2022-06-29T00:00:00"/>
    <x v="0"/>
    <x v="3"/>
    <x v="0"/>
    <x v="1"/>
    <s v="Instant Mixes"/>
    <x v="1"/>
    <x v="0"/>
    <n v="53100"/>
    <n v="59000"/>
    <n v="5"/>
    <n v="295000"/>
    <n v="265500"/>
    <n v="29500"/>
  </r>
  <r>
    <n v="77"/>
    <d v="2022-06-30T00:00:00"/>
    <x v="0"/>
    <x v="3"/>
    <x v="9"/>
    <x v="0"/>
    <s v="Frozen Snacks"/>
    <x v="1"/>
    <x v="0"/>
    <n v="88200"/>
    <n v="98000"/>
    <n v="7"/>
    <n v="686000"/>
    <n v="617400"/>
    <n v="68600"/>
  </r>
  <r>
    <n v="78"/>
    <d v="2022-07-01T00:00:00"/>
    <x v="0"/>
    <x v="4"/>
    <x v="5"/>
    <x v="1"/>
    <s v="Parathas"/>
    <x v="1"/>
    <x v="0"/>
    <n v="38250"/>
    <n v="42500"/>
    <n v="4"/>
    <n v="170000"/>
    <n v="153000"/>
    <n v="17000"/>
  </r>
  <r>
    <n v="79"/>
    <d v="2022-07-02T00:00:00"/>
    <x v="0"/>
    <x v="4"/>
    <x v="12"/>
    <x v="0"/>
    <s v="Nut-based Snacks "/>
    <x v="0"/>
    <x v="2"/>
    <n v="2700"/>
    <n v="3000"/>
    <n v="8"/>
    <n v="24000"/>
    <n v="21600"/>
    <n v="2400"/>
  </r>
  <r>
    <n v="80"/>
    <d v="2022-07-03T00:00:00"/>
    <x v="0"/>
    <x v="4"/>
    <x v="6"/>
    <x v="1"/>
    <s v="Papads"/>
    <x v="0"/>
    <x v="2"/>
    <n v="23850"/>
    <n v="26500"/>
    <n v="8"/>
    <n v="212000"/>
    <n v="190800"/>
    <n v="21200"/>
  </r>
  <r>
    <n v="81"/>
    <d v="2022-07-04T00:00:00"/>
    <x v="0"/>
    <x v="4"/>
    <x v="8"/>
    <x v="0"/>
    <s v="Namkeens"/>
    <x v="0"/>
    <x v="0"/>
    <n v="24750"/>
    <n v="27500"/>
    <n v="9"/>
    <n v="247500"/>
    <n v="222750"/>
    <n v="24750"/>
  </r>
  <r>
    <n v="82"/>
    <d v="2022-07-05T00:00:00"/>
    <x v="0"/>
    <x v="4"/>
    <x v="9"/>
    <x v="0"/>
    <s v="Chips &amp; Wafers "/>
    <x v="0"/>
    <x v="0"/>
    <n v="44550"/>
    <n v="49500"/>
    <n v="2"/>
    <n v="99000"/>
    <n v="89100"/>
    <n v="9900"/>
  </r>
  <r>
    <n v="83"/>
    <d v="2022-07-06T00:00:00"/>
    <x v="0"/>
    <x v="4"/>
    <x v="7"/>
    <x v="1"/>
    <s v="Samosas"/>
    <x v="0"/>
    <x v="0"/>
    <n v="9000"/>
    <n v="10000"/>
    <n v="1"/>
    <n v="10000"/>
    <n v="9000"/>
    <n v="1000"/>
  </r>
  <r>
    <n v="84"/>
    <d v="2022-07-07T00:00:00"/>
    <x v="0"/>
    <x v="4"/>
    <x v="5"/>
    <x v="0"/>
    <s v="Kachoris"/>
    <x v="0"/>
    <x v="0"/>
    <n v="8640"/>
    <n v="9600"/>
    <n v="22"/>
    <n v="211200"/>
    <n v="190080"/>
    <n v="21120"/>
  </r>
  <r>
    <n v="85"/>
    <d v="2022-07-08T00:00:00"/>
    <x v="0"/>
    <x v="4"/>
    <x v="6"/>
    <x v="1"/>
    <s v="Bhujia"/>
    <x v="0"/>
    <x v="0"/>
    <n v="9000"/>
    <n v="10000"/>
    <n v="8"/>
    <n v="80000"/>
    <n v="72000"/>
    <n v="8000"/>
  </r>
  <r>
    <n v="86"/>
    <d v="2022-07-09T00:00:00"/>
    <x v="0"/>
    <x v="4"/>
    <x v="2"/>
    <x v="0"/>
    <s v="Mixes"/>
    <x v="0"/>
    <x v="0"/>
    <n v="3870"/>
    <n v="4300"/>
    <n v="7"/>
    <n v="30100"/>
    <n v="27090"/>
    <n v="3010"/>
  </r>
  <r>
    <n v="87"/>
    <d v="2022-07-10T00:00:00"/>
    <x v="0"/>
    <x v="4"/>
    <x v="6"/>
    <x v="1"/>
    <s v="Papads"/>
    <x v="0"/>
    <x v="2"/>
    <n v="8280"/>
    <n v="9200"/>
    <n v="56"/>
    <n v="515200"/>
    <n v="463680"/>
    <n v="51520"/>
  </r>
  <r>
    <n v="88"/>
    <d v="2022-07-11T00:00:00"/>
    <x v="0"/>
    <x v="4"/>
    <x v="2"/>
    <x v="0"/>
    <s v="Heat-and-Eat Meals"/>
    <x v="1"/>
    <x v="2"/>
    <n v="4950"/>
    <n v="5500"/>
    <n v="10"/>
    <n v="55000"/>
    <n v="49500"/>
    <n v="5500"/>
  </r>
  <r>
    <n v="89"/>
    <d v="2022-07-12T00:00:00"/>
    <x v="0"/>
    <x v="4"/>
    <x v="12"/>
    <x v="1"/>
    <s v="Ready-to-Eat Curries "/>
    <x v="1"/>
    <x v="2"/>
    <n v="3150"/>
    <n v="3500"/>
    <n v="9"/>
    <n v="31500"/>
    <n v="28350"/>
    <n v="3150"/>
  </r>
  <r>
    <n v="90"/>
    <d v="2022-07-13T00:00:00"/>
    <x v="0"/>
    <x v="4"/>
    <x v="2"/>
    <x v="0"/>
    <s v="Frozen Snacks"/>
    <x v="1"/>
    <x v="0"/>
    <n v="2700"/>
    <n v="3000"/>
    <n v="27"/>
    <n v="81000"/>
    <n v="72900"/>
    <n v="8100"/>
  </r>
  <r>
    <n v="91"/>
    <d v="2022-07-14T00:00:00"/>
    <x v="0"/>
    <x v="4"/>
    <x v="21"/>
    <x v="1"/>
    <s v="Traditional Sweets "/>
    <x v="2"/>
    <x v="0"/>
    <n v="4050"/>
    <n v="4500"/>
    <n v="15"/>
    <n v="67500"/>
    <n v="60750"/>
    <n v="6750"/>
  </r>
  <r>
    <n v="92"/>
    <d v="2022-07-15T00:00:00"/>
    <x v="0"/>
    <x v="4"/>
    <x v="8"/>
    <x v="0"/>
    <s v="Dry Sweets "/>
    <x v="2"/>
    <x v="0"/>
    <n v="8280"/>
    <n v="9200"/>
    <n v="3"/>
    <n v="27600"/>
    <n v="24840"/>
    <n v="2760"/>
  </r>
  <r>
    <n v="93"/>
    <d v="2022-07-16T00:00:00"/>
    <x v="0"/>
    <x v="4"/>
    <x v="3"/>
    <x v="1"/>
    <s v="Milk-based Sweets "/>
    <x v="2"/>
    <x v="0"/>
    <n v="4950"/>
    <n v="5500"/>
    <n v="9"/>
    <n v="49500"/>
    <n v="44550"/>
    <n v="4950"/>
  </r>
  <r>
    <n v="94"/>
    <d v="2022-07-17T00:00:00"/>
    <x v="0"/>
    <x v="4"/>
    <x v="3"/>
    <x v="0"/>
    <s v="Syrup-based Sweets"/>
    <x v="2"/>
    <x v="0"/>
    <n v="3150"/>
    <n v="3500"/>
    <n v="22"/>
    <n v="77000"/>
    <n v="69300"/>
    <n v="7700"/>
  </r>
  <r>
    <n v="95"/>
    <d v="2022-07-18T00:00:00"/>
    <x v="0"/>
    <x v="4"/>
    <x v="5"/>
    <x v="1"/>
    <s v="Gift Packs"/>
    <x v="2"/>
    <x v="0"/>
    <n v="2700"/>
    <n v="3000"/>
    <n v="16"/>
    <n v="48000"/>
    <n v="43200"/>
    <n v="4800"/>
  </r>
  <r>
    <n v="96"/>
    <d v="2022-07-19T00:00:00"/>
    <x v="0"/>
    <x v="4"/>
    <x v="8"/>
    <x v="0"/>
    <s v="Traditional Sweets "/>
    <x v="2"/>
    <x v="0"/>
    <n v="4050"/>
    <n v="4500"/>
    <n v="6"/>
    <n v="27000"/>
    <n v="24300"/>
    <n v="2700"/>
  </r>
  <r>
    <n v="97"/>
    <d v="2022-07-20T00:00:00"/>
    <x v="0"/>
    <x v="4"/>
    <x v="12"/>
    <x v="1"/>
    <s v="Dry Sweets "/>
    <x v="2"/>
    <x v="2"/>
    <n v="8280"/>
    <n v="9200"/>
    <n v="3"/>
    <n v="27600"/>
    <n v="24840"/>
    <n v="2760"/>
  </r>
  <r>
    <n v="98"/>
    <d v="2022-07-21T00:00:00"/>
    <x v="0"/>
    <x v="4"/>
    <x v="12"/>
    <x v="0"/>
    <s v="Milk-based Sweets "/>
    <x v="2"/>
    <x v="2"/>
    <n v="4950"/>
    <n v="5500"/>
    <n v="5"/>
    <n v="27500"/>
    <n v="24750"/>
    <n v="2750"/>
  </r>
  <r>
    <n v="99"/>
    <d v="2022-07-22T00:00:00"/>
    <x v="0"/>
    <x v="4"/>
    <x v="9"/>
    <x v="1"/>
    <s v="Syrup-based Sweets"/>
    <x v="2"/>
    <x v="0"/>
    <n v="3150"/>
    <n v="3500"/>
    <n v="1"/>
    <n v="3500"/>
    <n v="3150"/>
    <n v="350"/>
  </r>
  <r>
    <n v="100"/>
    <d v="2022-07-23T00:00:00"/>
    <x v="0"/>
    <x v="4"/>
    <x v="10"/>
    <x v="0"/>
    <s v="Gift Packs"/>
    <x v="2"/>
    <x v="0"/>
    <n v="2700"/>
    <n v="3000"/>
    <n v="5"/>
    <n v="15000"/>
    <n v="13500"/>
    <n v="1500"/>
  </r>
  <r>
    <n v="101"/>
    <d v="2022-07-24T00:00:00"/>
    <x v="0"/>
    <x v="4"/>
    <x v="18"/>
    <x v="1"/>
    <s v="Gift Packs"/>
    <x v="2"/>
    <x v="0"/>
    <n v="4050"/>
    <n v="4500"/>
    <n v="7"/>
    <n v="31500"/>
    <n v="28350"/>
    <n v="3150"/>
  </r>
  <r>
    <n v="102"/>
    <d v="2022-07-25T00:00:00"/>
    <x v="0"/>
    <x v="4"/>
    <x v="3"/>
    <x v="0"/>
    <s v="Traditional Sweets "/>
    <x v="2"/>
    <x v="0"/>
    <n v="8280"/>
    <n v="9200"/>
    <n v="4"/>
    <n v="36800"/>
    <n v="33120"/>
    <n v="3680"/>
  </r>
  <r>
    <n v="103"/>
    <d v="2022-07-26T00:00:00"/>
    <x v="0"/>
    <x v="4"/>
    <x v="0"/>
    <x v="1"/>
    <s v="Milk-based Sweets "/>
    <x v="2"/>
    <x v="0"/>
    <n v="4950"/>
    <n v="5500"/>
    <n v="8"/>
    <n v="44000"/>
    <n v="39600"/>
    <n v="4400"/>
  </r>
  <r>
    <n v="104"/>
    <d v="2022-07-27T00:00:00"/>
    <x v="0"/>
    <x v="4"/>
    <x v="9"/>
    <x v="0"/>
    <s v="Syrup-based Sweets"/>
    <x v="2"/>
    <x v="0"/>
    <n v="3150"/>
    <n v="3500"/>
    <n v="8"/>
    <n v="28000"/>
    <n v="25200"/>
    <n v="2800"/>
  </r>
  <r>
    <n v="105"/>
    <d v="2022-07-28T00:00:00"/>
    <x v="0"/>
    <x v="4"/>
    <x v="12"/>
    <x v="1"/>
    <s v="Gift Packs"/>
    <x v="2"/>
    <x v="2"/>
    <n v="2700"/>
    <n v="3000"/>
    <n v="9"/>
    <n v="27000"/>
    <n v="24300"/>
    <n v="2700"/>
  </r>
  <r>
    <n v="106"/>
    <d v="2022-07-29T00:00:00"/>
    <x v="0"/>
    <x v="4"/>
    <x v="7"/>
    <x v="0"/>
    <s v="Traditional Sweets "/>
    <x v="2"/>
    <x v="2"/>
    <n v="4050"/>
    <n v="4500"/>
    <n v="2"/>
    <n v="9000"/>
    <n v="8100"/>
    <n v="900"/>
  </r>
  <r>
    <n v="107"/>
    <d v="2022-07-30T00:00:00"/>
    <x v="0"/>
    <x v="4"/>
    <x v="20"/>
    <x v="1"/>
    <s v="Dry Sweets "/>
    <x v="2"/>
    <x v="0"/>
    <n v="24750"/>
    <n v="27500"/>
    <n v="1"/>
    <n v="27500"/>
    <n v="24750"/>
    <n v="2750"/>
  </r>
  <r>
    <n v="108"/>
    <d v="2022-07-31T00:00:00"/>
    <x v="0"/>
    <x v="4"/>
    <x v="8"/>
    <x v="0"/>
    <s v="Milk-based Sweets "/>
    <x v="2"/>
    <x v="1"/>
    <n v="44550"/>
    <n v="49500"/>
    <n v="22"/>
    <n v="1089000"/>
    <n v="980100"/>
    <n v="108900"/>
  </r>
  <r>
    <n v="109"/>
    <d v="2022-08-01T00:00:00"/>
    <x v="0"/>
    <x v="5"/>
    <x v="1"/>
    <x v="1"/>
    <s v="Syrup-based Sweets"/>
    <x v="2"/>
    <x v="0"/>
    <n v="9000"/>
    <n v="10000"/>
    <n v="8"/>
    <n v="80000"/>
    <n v="72000"/>
    <n v="8000"/>
  </r>
  <r>
    <n v="110"/>
    <d v="2022-08-02T00:00:00"/>
    <x v="0"/>
    <x v="5"/>
    <x v="9"/>
    <x v="0"/>
    <s v="Gift Packs"/>
    <x v="2"/>
    <x v="0"/>
    <n v="8640"/>
    <n v="9600"/>
    <n v="7"/>
    <n v="67200"/>
    <n v="60480"/>
    <n v="6720"/>
  </r>
  <r>
    <n v="111"/>
    <d v="2022-08-03T00:00:00"/>
    <x v="0"/>
    <x v="5"/>
    <x v="20"/>
    <x v="1"/>
    <s v="Gift Packs"/>
    <x v="2"/>
    <x v="0"/>
    <n v="9000"/>
    <n v="10000"/>
    <n v="56"/>
    <n v="560000"/>
    <n v="504000"/>
    <n v="56000"/>
  </r>
  <r>
    <n v="112"/>
    <d v="2022-08-04T00:00:00"/>
    <x v="0"/>
    <x v="5"/>
    <x v="18"/>
    <x v="0"/>
    <s v="Traditional Sweets "/>
    <x v="2"/>
    <x v="0"/>
    <n v="3870"/>
    <n v="4300"/>
    <n v="10"/>
    <n v="43000"/>
    <n v="38700"/>
    <n v="4300"/>
  </r>
  <r>
    <n v="113"/>
    <d v="2022-08-05T00:00:00"/>
    <x v="0"/>
    <x v="5"/>
    <x v="2"/>
    <x v="1"/>
    <s v="Namkeen"/>
    <x v="0"/>
    <x v="2"/>
    <n v="45450"/>
    <n v="50500"/>
    <n v="9"/>
    <n v="454500"/>
    <n v="409050"/>
    <n v="45450"/>
  </r>
  <r>
    <n v="114"/>
    <d v="2022-08-06T00:00:00"/>
    <x v="0"/>
    <x v="5"/>
    <x v="2"/>
    <x v="0"/>
    <s v="Heat-and-Eat Meals"/>
    <x v="1"/>
    <x v="2"/>
    <n v="18225"/>
    <n v="20250"/>
    <n v="27"/>
    <n v="546750"/>
    <n v="492075"/>
    <n v="54675"/>
  </r>
  <r>
    <n v="115"/>
    <d v="2022-08-07T00:00:00"/>
    <x v="0"/>
    <x v="5"/>
    <x v="2"/>
    <x v="1"/>
    <s v="Ready-to-Eat Curries "/>
    <x v="1"/>
    <x v="0"/>
    <n v="1800"/>
    <n v="2000"/>
    <n v="15"/>
    <n v="30000"/>
    <n v="27000"/>
    <n v="3000"/>
  </r>
  <r>
    <n v="116"/>
    <d v="2022-08-08T00:00:00"/>
    <x v="0"/>
    <x v="5"/>
    <x v="9"/>
    <x v="0"/>
    <s v="Frozen Snacks"/>
    <x v="1"/>
    <x v="0"/>
    <n v="48600"/>
    <n v="54000"/>
    <n v="3"/>
    <n v="162000"/>
    <n v="145800"/>
    <n v="16200"/>
  </r>
  <r>
    <n v="117"/>
    <d v="2022-08-09T00:00:00"/>
    <x v="0"/>
    <x v="5"/>
    <x v="6"/>
    <x v="1"/>
    <s v="Traditional Sweets "/>
    <x v="2"/>
    <x v="0"/>
    <n v="72900"/>
    <n v="81000"/>
    <n v="9"/>
    <n v="729000"/>
    <n v="656100"/>
    <n v="72900"/>
  </r>
  <r>
    <n v="118"/>
    <d v="2022-08-10T00:00:00"/>
    <x v="0"/>
    <x v="5"/>
    <x v="22"/>
    <x v="0"/>
    <s v="Dry Sweets "/>
    <x v="2"/>
    <x v="0"/>
    <n v="9450"/>
    <n v="10500"/>
    <n v="22"/>
    <n v="231000"/>
    <n v="207900"/>
    <n v="23100"/>
  </r>
  <r>
    <n v="119"/>
    <d v="2022-08-11T00:00:00"/>
    <x v="0"/>
    <x v="5"/>
    <x v="0"/>
    <x v="1"/>
    <s v="Milk-based Sweets "/>
    <x v="2"/>
    <x v="0"/>
    <n v="36000"/>
    <n v="40000"/>
    <n v="16"/>
    <n v="640000"/>
    <n v="576000"/>
    <n v="64000"/>
  </r>
  <r>
    <n v="120"/>
    <d v="2022-08-12T00:00:00"/>
    <x v="0"/>
    <x v="5"/>
    <x v="2"/>
    <x v="0"/>
    <s v="Syrup-based Sweets"/>
    <x v="2"/>
    <x v="0"/>
    <n v="24300"/>
    <n v="27000"/>
    <n v="6"/>
    <n v="162000"/>
    <n v="145800"/>
    <n v="16200"/>
  </r>
  <r>
    <n v="121"/>
    <d v="2022-08-13T00:00:00"/>
    <x v="0"/>
    <x v="5"/>
    <x v="8"/>
    <x v="1"/>
    <s v="Gift Packs"/>
    <x v="2"/>
    <x v="2"/>
    <n v="9180"/>
    <n v="10200"/>
    <n v="3"/>
    <n v="30600"/>
    <n v="27540"/>
    <n v="3060"/>
  </r>
  <r>
    <n v="122"/>
    <d v="2022-08-14T00:00:00"/>
    <x v="0"/>
    <x v="5"/>
    <x v="16"/>
    <x v="2"/>
    <s v="Traditional Sweets "/>
    <x v="2"/>
    <x v="2"/>
    <n v="8640"/>
    <n v="9600"/>
    <n v="5"/>
    <n v="48000"/>
    <n v="43200"/>
    <n v="4800"/>
  </r>
  <r>
    <n v="123"/>
    <d v="2022-08-15T00:00:00"/>
    <x v="0"/>
    <x v="5"/>
    <x v="8"/>
    <x v="1"/>
    <s v="Dry Sweets "/>
    <x v="2"/>
    <x v="2"/>
    <n v="8280"/>
    <n v="9200"/>
    <n v="1"/>
    <n v="9200"/>
    <n v="8280"/>
    <n v="920"/>
  </r>
  <r>
    <n v="124"/>
    <d v="2022-08-16T00:00:00"/>
    <x v="0"/>
    <x v="5"/>
    <x v="8"/>
    <x v="2"/>
    <s v="Milk-based Sweets "/>
    <x v="2"/>
    <x v="0"/>
    <n v="4950"/>
    <n v="5500"/>
    <n v="5"/>
    <n v="27500"/>
    <n v="24750"/>
    <n v="2750"/>
  </r>
  <r>
    <n v="125"/>
    <d v="2022-08-17T00:00:00"/>
    <x v="0"/>
    <x v="5"/>
    <x v="2"/>
    <x v="1"/>
    <s v="Syrup-based Sweets"/>
    <x v="2"/>
    <x v="0"/>
    <n v="3150"/>
    <n v="3500"/>
    <n v="7"/>
    <n v="24500"/>
    <n v="22050"/>
    <n v="2450"/>
  </r>
  <r>
    <n v="126"/>
    <d v="2022-08-18T00:00:00"/>
    <x v="0"/>
    <x v="5"/>
    <x v="7"/>
    <x v="2"/>
    <s v="Gift Packs"/>
    <x v="2"/>
    <x v="0"/>
    <n v="2700"/>
    <n v="3000"/>
    <n v="4"/>
    <n v="12000"/>
    <n v="10800"/>
    <n v="1200"/>
  </r>
  <r>
    <n v="127"/>
    <d v="2022-08-19T00:00:00"/>
    <x v="0"/>
    <x v="5"/>
    <x v="5"/>
    <x v="1"/>
    <s v="Gift Packs"/>
    <x v="2"/>
    <x v="1"/>
    <n v="4050"/>
    <n v="4500"/>
    <n v="8"/>
    <n v="36000"/>
    <n v="32400"/>
    <n v="3600"/>
  </r>
  <r>
    <n v="128"/>
    <d v="2022-08-20T00:00:00"/>
    <x v="0"/>
    <x v="5"/>
    <x v="15"/>
    <x v="2"/>
    <s v="Traditional Sweets "/>
    <x v="2"/>
    <x v="1"/>
    <n v="53100"/>
    <n v="59000"/>
    <n v="8"/>
    <n v="472000"/>
    <n v="424800"/>
    <n v="47200"/>
  </r>
  <r>
    <n v="129"/>
    <d v="2022-08-21T00:00:00"/>
    <x v="0"/>
    <x v="5"/>
    <x v="0"/>
    <x v="1"/>
    <s v="Ready-to-Eat Curries "/>
    <x v="1"/>
    <x v="1"/>
    <n v="88200"/>
    <n v="98000"/>
    <n v="9"/>
    <n v="882000"/>
    <n v="793800"/>
    <n v="88200"/>
  </r>
  <r>
    <n v="130"/>
    <d v="2022-08-22T00:00:00"/>
    <x v="0"/>
    <x v="5"/>
    <x v="12"/>
    <x v="2"/>
    <s v="Instant Mixes"/>
    <x v="1"/>
    <x v="0"/>
    <n v="38250"/>
    <n v="42500"/>
    <n v="2"/>
    <n v="85000"/>
    <n v="76500"/>
    <n v="8500"/>
  </r>
  <r>
    <n v="131"/>
    <d v="2022-08-23T00:00:00"/>
    <x v="0"/>
    <x v="5"/>
    <x v="18"/>
    <x v="1"/>
    <s v="Frozen Snacks"/>
    <x v="1"/>
    <x v="2"/>
    <n v="2700"/>
    <n v="3000"/>
    <n v="1"/>
    <n v="3000"/>
    <n v="2700"/>
    <n v="300"/>
  </r>
  <r>
    <n v="132"/>
    <d v="2022-08-24T00:00:00"/>
    <x v="0"/>
    <x v="5"/>
    <x v="2"/>
    <x v="2"/>
    <s v="Parathas"/>
    <x v="1"/>
    <x v="2"/>
    <n v="23850"/>
    <n v="26500"/>
    <n v="22"/>
    <n v="583000"/>
    <n v="524700"/>
    <n v="58300"/>
  </r>
  <r>
    <n v="133"/>
    <d v="2022-08-25T00:00:00"/>
    <x v="0"/>
    <x v="5"/>
    <x v="23"/>
    <x v="0"/>
    <s v="Heat-and-Eat Meals"/>
    <x v="1"/>
    <x v="0"/>
    <n v="24750"/>
    <n v="27500"/>
    <n v="8"/>
    <n v="220000"/>
    <n v="198000"/>
    <n v="22000"/>
  </r>
  <r>
    <n v="134"/>
    <d v="2022-08-26T00:00:00"/>
    <x v="0"/>
    <x v="5"/>
    <x v="9"/>
    <x v="2"/>
    <s v="Ready-to-Eat Curries "/>
    <x v="1"/>
    <x v="0"/>
    <n v="44550"/>
    <n v="49500"/>
    <n v="7"/>
    <n v="346500"/>
    <n v="311850"/>
    <n v="34650"/>
  </r>
  <r>
    <n v="135"/>
    <d v="2022-08-27T00:00:00"/>
    <x v="0"/>
    <x v="5"/>
    <x v="9"/>
    <x v="1"/>
    <s v="Frozen Snacks"/>
    <x v="1"/>
    <x v="0"/>
    <n v="9000"/>
    <n v="10000"/>
    <n v="56"/>
    <n v="560000"/>
    <n v="504000"/>
    <n v="56000"/>
  </r>
  <r>
    <n v="136"/>
    <d v="2022-08-28T00:00:00"/>
    <x v="0"/>
    <x v="5"/>
    <x v="9"/>
    <x v="0"/>
    <s v="Ready-to-Eat Curries "/>
    <x v="1"/>
    <x v="0"/>
    <n v="8640"/>
    <n v="9600"/>
    <n v="10"/>
    <n v="96000"/>
    <n v="86400"/>
    <n v="9600"/>
  </r>
  <r>
    <n v="137"/>
    <d v="2022-08-29T00:00:00"/>
    <x v="0"/>
    <x v="5"/>
    <x v="21"/>
    <x v="2"/>
    <s v="Instant Mixes"/>
    <x v="1"/>
    <x v="0"/>
    <n v="9000"/>
    <n v="10000"/>
    <n v="9"/>
    <n v="90000"/>
    <n v="81000"/>
    <n v="9000"/>
  </r>
  <r>
    <n v="138"/>
    <d v="2022-08-30T00:00:00"/>
    <x v="0"/>
    <x v="5"/>
    <x v="8"/>
    <x v="1"/>
    <s v="Frozen Snacks"/>
    <x v="1"/>
    <x v="0"/>
    <n v="3870"/>
    <n v="4300"/>
    <n v="27"/>
    <n v="116100"/>
    <n v="104490"/>
    <n v="11610"/>
  </r>
  <r>
    <n v="139"/>
    <d v="2022-08-31T00:00:00"/>
    <x v="0"/>
    <x v="5"/>
    <x v="10"/>
    <x v="0"/>
    <s v="Parathas"/>
    <x v="1"/>
    <x v="2"/>
    <n v="45450"/>
    <n v="50500"/>
    <n v="15"/>
    <n v="757500"/>
    <n v="681750"/>
    <n v="75750"/>
  </r>
  <r>
    <n v="140"/>
    <d v="2022-09-01T00:00:00"/>
    <x v="0"/>
    <x v="6"/>
    <x v="5"/>
    <x v="2"/>
    <s v="Heat-and-Eat Meals"/>
    <x v="1"/>
    <x v="2"/>
    <n v="18225"/>
    <n v="20250"/>
    <n v="3"/>
    <n v="60750"/>
    <n v="54675"/>
    <n v="6075"/>
  </r>
  <r>
    <n v="141"/>
    <d v="2022-09-02T00:00:00"/>
    <x v="0"/>
    <x v="6"/>
    <x v="8"/>
    <x v="1"/>
    <s v="Ready-to-Eat Curries "/>
    <x v="1"/>
    <x v="2"/>
    <n v="1800"/>
    <n v="2000"/>
    <n v="9"/>
    <n v="18000"/>
    <n v="16200"/>
    <n v="1800"/>
  </r>
  <r>
    <n v="142"/>
    <d v="2022-09-03T00:00:00"/>
    <x v="0"/>
    <x v="6"/>
    <x v="7"/>
    <x v="0"/>
    <s v="Frozen Snacks"/>
    <x v="1"/>
    <x v="0"/>
    <n v="48600"/>
    <n v="54000"/>
    <n v="22"/>
    <n v="1188000"/>
    <n v="1069200"/>
    <n v="118800"/>
  </r>
  <r>
    <n v="143"/>
    <d v="2022-09-04T00:00:00"/>
    <x v="0"/>
    <x v="6"/>
    <x v="5"/>
    <x v="2"/>
    <s v="Traditional Sweets "/>
    <x v="2"/>
    <x v="0"/>
    <n v="72900"/>
    <n v="81000"/>
    <n v="16"/>
    <n v="1296000"/>
    <n v="1166400"/>
    <n v="129600"/>
  </r>
  <r>
    <n v="144"/>
    <d v="2022-09-05T00:00:00"/>
    <x v="0"/>
    <x v="6"/>
    <x v="8"/>
    <x v="1"/>
    <s v="Dry Sweets "/>
    <x v="2"/>
    <x v="0"/>
    <n v="9450"/>
    <n v="10500"/>
    <n v="6"/>
    <n v="63000"/>
    <n v="56700"/>
    <n v="6300"/>
  </r>
  <r>
    <n v="145"/>
    <d v="2022-09-06T00:00:00"/>
    <x v="0"/>
    <x v="6"/>
    <x v="20"/>
    <x v="0"/>
    <s v="Milk-based Sweets "/>
    <x v="2"/>
    <x v="0"/>
    <n v="36000"/>
    <n v="40000"/>
    <n v="3"/>
    <n v="120000"/>
    <n v="108000"/>
    <n v="12000"/>
  </r>
  <r>
    <n v="146"/>
    <d v="2022-09-07T00:00:00"/>
    <x v="0"/>
    <x v="6"/>
    <x v="8"/>
    <x v="2"/>
    <s v="Syrup-based Sweets"/>
    <x v="2"/>
    <x v="0"/>
    <n v="24300"/>
    <n v="27000"/>
    <n v="5"/>
    <n v="135000"/>
    <n v="121500"/>
    <n v="13500"/>
  </r>
  <r>
    <n v="147"/>
    <d v="2022-09-08T00:00:00"/>
    <x v="0"/>
    <x v="6"/>
    <x v="8"/>
    <x v="1"/>
    <s v="Gift Packs"/>
    <x v="2"/>
    <x v="0"/>
    <n v="9180"/>
    <n v="10200"/>
    <n v="1"/>
    <n v="10200"/>
    <n v="9180"/>
    <n v="1020"/>
  </r>
  <r>
    <n v="148"/>
    <d v="2022-09-09T00:00:00"/>
    <x v="0"/>
    <x v="6"/>
    <x v="6"/>
    <x v="0"/>
    <s v="Traditional Sweets "/>
    <x v="2"/>
    <x v="0"/>
    <n v="8640"/>
    <n v="9600"/>
    <n v="5"/>
    <n v="48000"/>
    <n v="43200"/>
    <n v="4800"/>
  </r>
  <r>
    <n v="149"/>
    <d v="2022-09-10T00:00:00"/>
    <x v="0"/>
    <x v="6"/>
    <x v="24"/>
    <x v="2"/>
    <s v="Dry Sweets "/>
    <x v="2"/>
    <x v="2"/>
    <n v="8280"/>
    <n v="9200"/>
    <n v="7"/>
    <n v="64400"/>
    <n v="57960"/>
    <n v="6440"/>
  </r>
  <r>
    <n v="150"/>
    <d v="2022-09-11T00:00:00"/>
    <x v="0"/>
    <x v="6"/>
    <x v="8"/>
    <x v="1"/>
    <s v="Milk-based Sweets "/>
    <x v="2"/>
    <x v="2"/>
    <n v="4950"/>
    <n v="5500"/>
    <n v="4"/>
    <n v="22000"/>
    <n v="19800"/>
    <n v="2200"/>
  </r>
  <r>
    <n v="151"/>
    <d v="2022-09-12T00:00:00"/>
    <x v="0"/>
    <x v="6"/>
    <x v="25"/>
    <x v="0"/>
    <s v="Syrup-based Sweets"/>
    <x v="2"/>
    <x v="0"/>
    <n v="3150"/>
    <n v="3500"/>
    <n v="8"/>
    <n v="28000"/>
    <n v="25200"/>
    <n v="2800"/>
  </r>
  <r>
    <n v="152"/>
    <d v="2022-09-13T00:00:00"/>
    <x v="0"/>
    <x v="6"/>
    <x v="8"/>
    <x v="2"/>
    <s v="Gift Packs"/>
    <x v="2"/>
    <x v="0"/>
    <n v="2700"/>
    <n v="3000"/>
    <n v="8"/>
    <n v="24000"/>
    <n v="21600"/>
    <n v="2400"/>
  </r>
  <r>
    <n v="153"/>
    <d v="2022-09-14T00:00:00"/>
    <x v="0"/>
    <x v="6"/>
    <x v="2"/>
    <x v="1"/>
    <s v="Gift Packs"/>
    <x v="2"/>
    <x v="0"/>
    <n v="4050"/>
    <n v="4500"/>
    <n v="9"/>
    <n v="40500"/>
    <n v="36450"/>
    <n v="4050"/>
  </r>
  <r>
    <n v="154"/>
    <d v="2022-09-15T00:00:00"/>
    <x v="0"/>
    <x v="6"/>
    <x v="9"/>
    <x v="0"/>
    <s v="Traditional Sweets "/>
    <x v="2"/>
    <x v="1"/>
    <n v="53100"/>
    <n v="59000"/>
    <n v="2"/>
    <n v="118000"/>
    <n v="106200"/>
    <n v="11800"/>
  </r>
  <r>
    <n v="155"/>
    <d v="2022-09-16T00:00:00"/>
    <x v="0"/>
    <x v="6"/>
    <x v="15"/>
    <x v="2"/>
    <s v="Milk-based Sweets "/>
    <x v="2"/>
    <x v="0"/>
    <n v="88200"/>
    <n v="98000"/>
    <n v="1"/>
    <n v="98000"/>
    <n v="88200"/>
    <n v="9800"/>
  </r>
  <r>
    <n v="156"/>
    <d v="2022-09-17T00:00:00"/>
    <x v="0"/>
    <x v="6"/>
    <x v="12"/>
    <x v="1"/>
    <s v="Syrup-based Sweets"/>
    <x v="2"/>
    <x v="1"/>
    <n v="8640"/>
    <n v="9600"/>
    <n v="22"/>
    <n v="211200"/>
    <n v="190080"/>
    <n v="21120"/>
  </r>
  <r>
    <n v="157"/>
    <d v="2022-09-18T00:00:00"/>
    <x v="0"/>
    <x v="6"/>
    <x v="8"/>
    <x v="0"/>
    <s v="Gift Packs"/>
    <x v="2"/>
    <x v="2"/>
    <n v="8280"/>
    <n v="9200"/>
    <n v="8"/>
    <n v="73600"/>
    <n v="66240"/>
    <n v="7360"/>
  </r>
  <r>
    <n v="158"/>
    <d v="2022-09-19T00:00:00"/>
    <x v="0"/>
    <x v="6"/>
    <x v="9"/>
    <x v="2"/>
    <s v="Traditional Sweets "/>
    <x v="2"/>
    <x v="2"/>
    <n v="4950"/>
    <n v="5500"/>
    <n v="7"/>
    <n v="38500"/>
    <n v="34650"/>
    <n v="3850"/>
  </r>
  <r>
    <n v="159"/>
    <d v="2022-09-20T00:00:00"/>
    <x v="0"/>
    <x v="6"/>
    <x v="8"/>
    <x v="1"/>
    <s v="Dry Sweets "/>
    <x v="2"/>
    <x v="2"/>
    <n v="3150"/>
    <n v="3500"/>
    <n v="56"/>
    <n v="196000"/>
    <n v="176400"/>
    <n v="19600"/>
  </r>
  <r>
    <n v="160"/>
    <d v="2022-09-21T00:00:00"/>
    <x v="0"/>
    <x v="6"/>
    <x v="0"/>
    <x v="0"/>
    <s v="Milk-based Sweets "/>
    <x v="2"/>
    <x v="0"/>
    <n v="2700"/>
    <n v="3000"/>
    <n v="10"/>
    <n v="30000"/>
    <n v="27000"/>
    <n v="3000"/>
  </r>
  <r>
    <n v="161"/>
    <d v="2022-09-22T00:00:00"/>
    <x v="0"/>
    <x v="6"/>
    <x v="5"/>
    <x v="2"/>
    <s v="Syrup-based Sweets"/>
    <x v="2"/>
    <x v="0"/>
    <n v="4050"/>
    <n v="4500"/>
    <n v="9"/>
    <n v="40500"/>
    <n v="36450"/>
    <n v="4050"/>
  </r>
  <r>
    <n v="162"/>
    <d v="2022-09-23T00:00:00"/>
    <x v="0"/>
    <x v="6"/>
    <x v="2"/>
    <x v="1"/>
    <s v="Gift Packs"/>
    <x v="2"/>
    <x v="1"/>
    <n v="53100"/>
    <n v="59000"/>
    <n v="27"/>
    <n v="1593000"/>
    <n v="1433700"/>
    <n v="159300"/>
  </r>
  <r>
    <n v="163"/>
    <d v="2022-09-24T00:00:00"/>
    <x v="0"/>
    <x v="6"/>
    <x v="8"/>
    <x v="0"/>
    <s v="Gift Packs"/>
    <x v="2"/>
    <x v="0"/>
    <n v="88200"/>
    <n v="98000"/>
    <n v="15"/>
    <n v="1470000"/>
    <n v="1323000"/>
    <n v="147000"/>
  </r>
  <r>
    <n v="164"/>
    <d v="2022-09-25T00:00:00"/>
    <x v="0"/>
    <x v="6"/>
    <x v="9"/>
    <x v="2"/>
    <s v="Traditional Sweets "/>
    <x v="2"/>
    <x v="0"/>
    <n v="38250"/>
    <n v="42500"/>
    <n v="3"/>
    <n v="127500"/>
    <n v="114750"/>
    <n v="12750"/>
  </r>
  <r>
    <n v="165"/>
    <d v="2022-09-26T00:00:00"/>
    <x v="0"/>
    <x v="6"/>
    <x v="7"/>
    <x v="1"/>
    <s v="Namkeen"/>
    <x v="0"/>
    <x v="0"/>
    <n v="2700"/>
    <n v="3000"/>
    <n v="9"/>
    <n v="27000"/>
    <n v="24300"/>
    <n v="2700"/>
  </r>
  <r>
    <n v="166"/>
    <d v="2022-09-27T00:00:00"/>
    <x v="0"/>
    <x v="6"/>
    <x v="6"/>
    <x v="0"/>
    <s v="Heat-and-Eat Meals"/>
    <x v="1"/>
    <x v="0"/>
    <n v="23850"/>
    <n v="26500"/>
    <n v="22"/>
    <n v="583000"/>
    <n v="524700"/>
    <n v="58300"/>
  </r>
  <r>
    <n v="167"/>
    <d v="2022-09-28T00:00:00"/>
    <x v="0"/>
    <x v="6"/>
    <x v="8"/>
    <x v="2"/>
    <s v="Ready-to-Eat Curries "/>
    <x v="1"/>
    <x v="2"/>
    <n v="24750"/>
    <n v="27500"/>
    <n v="16"/>
    <n v="440000"/>
    <n v="396000"/>
    <n v="44000"/>
  </r>
  <r>
    <n v="168"/>
    <d v="2022-09-29T00:00:00"/>
    <x v="0"/>
    <x v="6"/>
    <x v="9"/>
    <x v="1"/>
    <s v="Frozen Snacks"/>
    <x v="1"/>
    <x v="2"/>
    <n v="44550"/>
    <n v="49500"/>
    <n v="6"/>
    <n v="297000"/>
    <n v="267300"/>
    <n v="29700"/>
  </r>
  <r>
    <n v="169"/>
    <d v="2022-09-30T00:00:00"/>
    <x v="0"/>
    <x v="6"/>
    <x v="9"/>
    <x v="0"/>
    <s v="Traditional Sweets "/>
    <x v="2"/>
    <x v="0"/>
    <n v="9000"/>
    <n v="10000"/>
    <n v="3"/>
    <n v="30000"/>
    <n v="27000"/>
    <n v="3000"/>
  </r>
  <r>
    <n v="170"/>
    <d v="2022-10-01T00:00:00"/>
    <x v="0"/>
    <x v="2"/>
    <x v="24"/>
    <x v="2"/>
    <s v="Dry Sweets "/>
    <x v="2"/>
    <x v="0"/>
    <n v="8640"/>
    <n v="9600"/>
    <n v="5"/>
    <n v="48000"/>
    <n v="43200"/>
    <n v="4800"/>
  </r>
  <r>
    <n v="171"/>
    <d v="2022-10-02T00:00:00"/>
    <x v="0"/>
    <x v="2"/>
    <x v="7"/>
    <x v="1"/>
    <s v="Milk-based Sweets "/>
    <x v="2"/>
    <x v="0"/>
    <n v="9000"/>
    <n v="10000"/>
    <n v="1"/>
    <n v="10000"/>
    <n v="9000"/>
    <n v="1000"/>
  </r>
  <r>
    <n v="172"/>
    <d v="2022-10-03T00:00:00"/>
    <x v="0"/>
    <x v="2"/>
    <x v="16"/>
    <x v="0"/>
    <s v="Syrup-based Sweets"/>
    <x v="2"/>
    <x v="0"/>
    <n v="3870"/>
    <n v="4300"/>
    <n v="5"/>
    <n v="21500"/>
    <n v="19350"/>
    <n v="2150"/>
  </r>
  <r>
    <n v="173"/>
    <d v="2022-10-04T00:00:00"/>
    <x v="0"/>
    <x v="2"/>
    <x v="18"/>
    <x v="2"/>
    <s v="Gift Packs"/>
    <x v="2"/>
    <x v="0"/>
    <n v="8640"/>
    <n v="9600"/>
    <n v="7"/>
    <n v="67200"/>
    <n v="60480"/>
    <n v="6720"/>
  </r>
  <r>
    <n v="174"/>
    <d v="2022-10-05T00:00:00"/>
    <x v="0"/>
    <x v="2"/>
    <x v="8"/>
    <x v="1"/>
    <s v="Traditional Sweets "/>
    <x v="2"/>
    <x v="0"/>
    <n v="8280"/>
    <n v="9200"/>
    <n v="4"/>
    <n v="36800"/>
    <n v="33120"/>
    <n v="3680"/>
  </r>
  <r>
    <n v="175"/>
    <d v="2022-10-06T00:00:00"/>
    <x v="0"/>
    <x v="2"/>
    <x v="3"/>
    <x v="0"/>
    <s v="Dry Sweets "/>
    <x v="2"/>
    <x v="2"/>
    <n v="4950"/>
    <n v="5500"/>
    <n v="8"/>
    <n v="44000"/>
    <n v="39600"/>
    <n v="4400"/>
  </r>
  <r>
    <n v="176"/>
    <d v="2022-10-07T00:00:00"/>
    <x v="0"/>
    <x v="2"/>
    <x v="9"/>
    <x v="2"/>
    <s v="Milk-based Sweets "/>
    <x v="2"/>
    <x v="2"/>
    <n v="3150"/>
    <n v="3500"/>
    <n v="8"/>
    <n v="28000"/>
    <n v="25200"/>
    <n v="2800"/>
  </r>
  <r>
    <n v="177"/>
    <d v="2022-10-08T00:00:00"/>
    <x v="0"/>
    <x v="2"/>
    <x v="0"/>
    <x v="1"/>
    <s v="Syrup-based Sweets"/>
    <x v="2"/>
    <x v="2"/>
    <n v="2700"/>
    <n v="3000"/>
    <n v="9"/>
    <n v="27000"/>
    <n v="24300"/>
    <n v="2700"/>
  </r>
  <r>
    <n v="178"/>
    <d v="2022-10-09T00:00:00"/>
    <x v="0"/>
    <x v="2"/>
    <x v="11"/>
    <x v="0"/>
    <s v="Gift Packs"/>
    <x v="2"/>
    <x v="0"/>
    <n v="4050"/>
    <n v="4500"/>
    <n v="2"/>
    <n v="9000"/>
    <n v="8100"/>
    <n v="900"/>
  </r>
  <r>
    <n v="179"/>
    <d v="2022-10-10T00:00:00"/>
    <x v="0"/>
    <x v="2"/>
    <x v="19"/>
    <x v="2"/>
    <s v="Gift Packs"/>
    <x v="2"/>
    <x v="0"/>
    <n v="53100"/>
    <n v="59000"/>
    <n v="1"/>
    <n v="59000"/>
    <n v="53100"/>
    <n v="5900"/>
  </r>
  <r>
    <n v="180"/>
    <d v="2022-10-11T00:00:00"/>
    <x v="0"/>
    <x v="2"/>
    <x v="6"/>
    <x v="1"/>
    <s v="Traditional Sweets "/>
    <x v="2"/>
    <x v="0"/>
    <n v="88200"/>
    <n v="98000"/>
    <n v="22"/>
    <n v="2156000"/>
    <n v="1940400"/>
    <n v="215600"/>
  </r>
  <r>
    <n v="181"/>
    <d v="2022-10-12T00:00:00"/>
    <x v="0"/>
    <x v="2"/>
    <x v="8"/>
    <x v="0"/>
    <s v="Namkeen"/>
    <x v="0"/>
    <x v="1"/>
    <n v="38250"/>
    <n v="42500"/>
    <n v="8"/>
    <n v="340000"/>
    <n v="306000"/>
    <n v="34000"/>
  </r>
  <r>
    <n v="182"/>
    <d v="2022-10-13T00:00:00"/>
    <x v="0"/>
    <x v="2"/>
    <x v="14"/>
    <x v="2"/>
    <s v="Chips &amp; Wafers "/>
    <x v="0"/>
    <x v="1"/>
    <n v="2700"/>
    <n v="3000"/>
    <n v="7"/>
    <n v="21000"/>
    <n v="18900"/>
    <n v="2100"/>
  </r>
  <r>
    <n v="183"/>
    <d v="2022-10-14T00:00:00"/>
    <x v="0"/>
    <x v="2"/>
    <x v="18"/>
    <x v="1"/>
    <s v="Samosas"/>
    <x v="0"/>
    <x v="1"/>
    <n v="23850"/>
    <n v="26500"/>
    <n v="56"/>
    <n v="1484000"/>
    <n v="1335600"/>
    <n v="148400"/>
  </r>
  <r>
    <n v="184"/>
    <d v="2022-10-15T00:00:00"/>
    <x v="0"/>
    <x v="2"/>
    <x v="2"/>
    <x v="0"/>
    <s v="Kachoris"/>
    <x v="0"/>
    <x v="0"/>
    <n v="24750"/>
    <n v="27500"/>
    <n v="10"/>
    <n v="275000"/>
    <n v="247500"/>
    <n v="27500"/>
  </r>
  <r>
    <n v="185"/>
    <d v="2022-10-16T00:00:00"/>
    <x v="0"/>
    <x v="2"/>
    <x v="8"/>
    <x v="2"/>
    <s v="Bhujia"/>
    <x v="0"/>
    <x v="2"/>
    <n v="44550"/>
    <n v="49500"/>
    <n v="9"/>
    <n v="445500"/>
    <n v="400950"/>
    <n v="44550"/>
  </r>
  <r>
    <n v="186"/>
    <d v="2022-10-17T00:00:00"/>
    <x v="0"/>
    <x v="2"/>
    <x v="2"/>
    <x v="1"/>
    <s v="Mixes"/>
    <x v="0"/>
    <x v="2"/>
    <n v="9000"/>
    <n v="10000"/>
    <n v="27"/>
    <n v="270000"/>
    <n v="243000"/>
    <n v="27000"/>
  </r>
  <r>
    <n v="187"/>
    <d v="2022-10-18T00:00:00"/>
    <x v="0"/>
    <x v="2"/>
    <x v="12"/>
    <x v="0"/>
    <s v="Ready-to-Eat Curries "/>
    <x v="1"/>
    <x v="0"/>
    <n v="8640"/>
    <n v="9600"/>
    <n v="15"/>
    <n v="144000"/>
    <n v="129600"/>
    <n v="14400"/>
  </r>
  <r>
    <n v="188"/>
    <d v="2022-10-19T00:00:00"/>
    <x v="0"/>
    <x v="2"/>
    <x v="10"/>
    <x v="2"/>
    <s v="Instant Mixes"/>
    <x v="1"/>
    <x v="0"/>
    <n v="9000"/>
    <n v="10000"/>
    <n v="3"/>
    <n v="30000"/>
    <n v="27000"/>
    <n v="3000"/>
  </r>
  <r>
    <n v="189"/>
    <d v="2022-10-20T00:00:00"/>
    <x v="0"/>
    <x v="2"/>
    <x v="8"/>
    <x v="1"/>
    <s v="Frozen Snacks"/>
    <x v="1"/>
    <x v="1"/>
    <n v="3870"/>
    <n v="4300"/>
    <n v="9"/>
    <n v="38700"/>
    <n v="34830"/>
    <n v="3870"/>
  </r>
  <r>
    <n v="190"/>
    <d v="2022-10-21T00:00:00"/>
    <x v="0"/>
    <x v="2"/>
    <x v="0"/>
    <x v="0"/>
    <s v="Parathas"/>
    <x v="1"/>
    <x v="0"/>
    <n v="8280"/>
    <n v="9200"/>
    <n v="22"/>
    <n v="202400"/>
    <n v="182160"/>
    <n v="20240"/>
  </r>
  <r>
    <n v="191"/>
    <d v="2022-10-22T00:00:00"/>
    <x v="0"/>
    <x v="2"/>
    <x v="5"/>
    <x v="2"/>
    <s v="Nut-based Snacks "/>
    <x v="0"/>
    <x v="0"/>
    <n v="4950"/>
    <n v="5500"/>
    <n v="16"/>
    <n v="88000"/>
    <n v="79200"/>
    <n v="8800"/>
  </r>
  <r>
    <n v="192"/>
    <d v="2022-10-23T00:00:00"/>
    <x v="0"/>
    <x v="2"/>
    <x v="9"/>
    <x v="1"/>
    <s v="Papads"/>
    <x v="0"/>
    <x v="0"/>
    <n v="3150"/>
    <n v="3500"/>
    <n v="6"/>
    <n v="21000"/>
    <n v="18900"/>
    <n v="2100"/>
  </r>
  <r>
    <n v="193"/>
    <d v="2022-10-24T00:00:00"/>
    <x v="0"/>
    <x v="2"/>
    <x v="9"/>
    <x v="0"/>
    <s v="Namkeens"/>
    <x v="0"/>
    <x v="2"/>
    <n v="2700"/>
    <n v="3000"/>
    <n v="3"/>
    <n v="9000"/>
    <n v="8100"/>
    <n v="900"/>
  </r>
  <r>
    <n v="194"/>
    <d v="2022-10-25T00:00:00"/>
    <x v="0"/>
    <x v="2"/>
    <x v="11"/>
    <x v="2"/>
    <s v="Chips &amp; Wafers "/>
    <x v="0"/>
    <x v="2"/>
    <n v="4050"/>
    <n v="4500"/>
    <n v="5"/>
    <n v="22500"/>
    <n v="20250"/>
    <n v="2250"/>
  </r>
  <r>
    <n v="195"/>
    <d v="2022-10-26T00:00:00"/>
    <x v="0"/>
    <x v="2"/>
    <x v="8"/>
    <x v="1"/>
    <s v="Samosas"/>
    <x v="0"/>
    <x v="2"/>
    <n v="8280"/>
    <n v="9200"/>
    <n v="1"/>
    <n v="9200"/>
    <n v="8280"/>
    <n v="920"/>
  </r>
  <r>
    <n v="196"/>
    <d v="2022-10-27T00:00:00"/>
    <x v="0"/>
    <x v="2"/>
    <x v="15"/>
    <x v="0"/>
    <s v="Kachoris"/>
    <x v="0"/>
    <x v="0"/>
    <n v="4950"/>
    <n v="5500"/>
    <n v="5"/>
    <n v="27500"/>
    <n v="24750"/>
    <n v="2750"/>
  </r>
  <r>
    <n v="197"/>
    <d v="2022-10-28T00:00:00"/>
    <x v="0"/>
    <x v="2"/>
    <x v="20"/>
    <x v="2"/>
    <s v="Bhujia"/>
    <x v="0"/>
    <x v="0"/>
    <n v="3150"/>
    <n v="3500"/>
    <n v="7"/>
    <n v="24500"/>
    <n v="22050"/>
    <n v="2450"/>
  </r>
  <r>
    <n v="198"/>
    <d v="2022-10-29T00:00:00"/>
    <x v="0"/>
    <x v="2"/>
    <x v="8"/>
    <x v="1"/>
    <s v="Mixes"/>
    <x v="0"/>
    <x v="0"/>
    <n v="2700"/>
    <n v="3000"/>
    <n v="4"/>
    <n v="12000"/>
    <n v="10800"/>
    <n v="1200"/>
  </r>
  <r>
    <n v="199"/>
    <d v="2022-10-30T00:00:00"/>
    <x v="0"/>
    <x v="2"/>
    <x v="5"/>
    <x v="0"/>
    <s v="Papads"/>
    <x v="0"/>
    <x v="0"/>
    <n v="4050"/>
    <n v="4500"/>
    <n v="8"/>
    <n v="36000"/>
    <n v="32400"/>
    <n v="3600"/>
  </r>
  <r>
    <n v="200"/>
    <d v="2022-10-31T00:00:00"/>
    <x v="0"/>
    <x v="2"/>
    <x v="2"/>
    <x v="2"/>
    <s v="Heat-and-Eat Meals"/>
    <x v="1"/>
    <x v="0"/>
    <n v="8280"/>
    <n v="9200"/>
    <n v="8"/>
    <n v="73600"/>
    <n v="66240"/>
    <n v="7360"/>
  </r>
  <r>
    <n v="201"/>
    <d v="2022-11-01T00:00:00"/>
    <x v="0"/>
    <x v="7"/>
    <x v="9"/>
    <x v="1"/>
    <s v="Namkeen"/>
    <x v="0"/>
    <x v="0"/>
    <n v="4950"/>
    <n v="5500"/>
    <n v="9"/>
    <n v="49500"/>
    <n v="44550"/>
    <n v="4950"/>
  </r>
  <r>
    <n v="202"/>
    <d v="2022-11-02T00:00:00"/>
    <x v="0"/>
    <x v="7"/>
    <x v="6"/>
    <x v="0"/>
    <s v="Chips &amp; Wafers "/>
    <x v="0"/>
    <x v="0"/>
    <n v="3150"/>
    <n v="3500"/>
    <n v="2"/>
    <n v="7000"/>
    <n v="6300"/>
    <n v="700"/>
  </r>
  <r>
    <n v="203"/>
    <d v="2022-11-03T00:00:00"/>
    <x v="0"/>
    <x v="7"/>
    <x v="6"/>
    <x v="2"/>
    <s v="Samosas"/>
    <x v="0"/>
    <x v="2"/>
    <n v="2700"/>
    <n v="3000"/>
    <n v="1"/>
    <n v="3000"/>
    <n v="2700"/>
    <n v="300"/>
  </r>
  <r>
    <n v="204"/>
    <d v="2022-11-04T00:00:00"/>
    <x v="0"/>
    <x v="7"/>
    <x v="8"/>
    <x v="1"/>
    <s v="Kachoris"/>
    <x v="0"/>
    <x v="2"/>
    <n v="4050"/>
    <n v="4500"/>
    <n v="22"/>
    <n v="99000"/>
    <n v="89100"/>
    <n v="9900"/>
  </r>
  <r>
    <n v="205"/>
    <d v="2022-11-05T00:00:00"/>
    <x v="0"/>
    <x v="7"/>
    <x v="2"/>
    <x v="0"/>
    <s v="Bhujia"/>
    <x v="0"/>
    <x v="0"/>
    <n v="8280"/>
    <n v="9200"/>
    <n v="8"/>
    <n v="73600"/>
    <n v="66240"/>
    <n v="7360"/>
  </r>
  <r>
    <n v="206"/>
    <d v="2022-11-06T00:00:00"/>
    <x v="0"/>
    <x v="7"/>
    <x v="9"/>
    <x v="2"/>
    <s v="Mixes"/>
    <x v="0"/>
    <x v="0"/>
    <n v="4950"/>
    <n v="5500"/>
    <n v="7"/>
    <n v="38500"/>
    <n v="34650"/>
    <n v="3850"/>
  </r>
  <r>
    <n v="207"/>
    <d v="2022-11-07T00:00:00"/>
    <x v="0"/>
    <x v="7"/>
    <x v="11"/>
    <x v="1"/>
    <s v="Ready-to-Eat Curries "/>
    <x v="1"/>
    <x v="0"/>
    <n v="3150"/>
    <n v="3500"/>
    <n v="56"/>
    <n v="196000"/>
    <n v="176400"/>
    <n v="19600"/>
  </r>
  <r>
    <n v="208"/>
    <d v="2022-11-08T00:00:00"/>
    <x v="0"/>
    <x v="7"/>
    <x v="2"/>
    <x v="0"/>
    <s v="Instant Mixes"/>
    <x v="1"/>
    <x v="0"/>
    <n v="2700"/>
    <n v="3000"/>
    <n v="10"/>
    <n v="30000"/>
    <n v="27000"/>
    <n v="3000"/>
  </r>
  <r>
    <n v="209"/>
    <d v="2022-11-09T00:00:00"/>
    <x v="0"/>
    <x v="7"/>
    <x v="8"/>
    <x v="2"/>
    <s v="Frozen Snacks"/>
    <x v="1"/>
    <x v="0"/>
    <n v="4050"/>
    <n v="4500"/>
    <n v="9"/>
    <n v="40500"/>
    <n v="36450"/>
    <n v="4050"/>
  </r>
  <r>
    <n v="210"/>
    <d v="2022-11-10T00:00:00"/>
    <x v="0"/>
    <x v="7"/>
    <x v="20"/>
    <x v="1"/>
    <s v="Parathas"/>
    <x v="1"/>
    <x v="0"/>
    <n v="24750"/>
    <n v="27500"/>
    <n v="27"/>
    <n v="742500"/>
    <n v="668250"/>
    <n v="74250"/>
  </r>
  <r>
    <n v="211"/>
    <d v="2022-11-11T00:00:00"/>
    <x v="0"/>
    <x v="7"/>
    <x v="5"/>
    <x v="0"/>
    <s v="Nut-based Snacks "/>
    <x v="0"/>
    <x v="2"/>
    <n v="44550"/>
    <n v="49500"/>
    <n v="15"/>
    <n v="742500"/>
    <n v="668250"/>
    <n v="74250"/>
  </r>
  <r>
    <n v="212"/>
    <d v="2022-11-12T00:00:00"/>
    <x v="0"/>
    <x v="7"/>
    <x v="12"/>
    <x v="2"/>
    <s v="Papads"/>
    <x v="0"/>
    <x v="2"/>
    <n v="9000"/>
    <n v="10000"/>
    <n v="3"/>
    <n v="30000"/>
    <n v="27000"/>
    <n v="3000"/>
  </r>
  <r>
    <n v="213"/>
    <d v="2022-11-13T00:00:00"/>
    <x v="0"/>
    <x v="7"/>
    <x v="16"/>
    <x v="1"/>
    <s v="Namkeens"/>
    <x v="0"/>
    <x v="0"/>
    <n v="8640"/>
    <n v="9600"/>
    <n v="9"/>
    <n v="86400"/>
    <n v="77760"/>
    <n v="8640"/>
  </r>
  <r>
    <n v="214"/>
    <d v="2022-11-14T00:00:00"/>
    <x v="0"/>
    <x v="7"/>
    <x v="6"/>
    <x v="0"/>
    <s v="Chips &amp; Wafers "/>
    <x v="0"/>
    <x v="1"/>
    <n v="9000"/>
    <n v="10000"/>
    <n v="22"/>
    <n v="220000"/>
    <n v="198000"/>
    <n v="22000"/>
  </r>
  <r>
    <n v="215"/>
    <d v="2022-11-15T00:00:00"/>
    <x v="0"/>
    <x v="7"/>
    <x v="2"/>
    <x v="2"/>
    <s v="Samosas"/>
    <x v="0"/>
    <x v="0"/>
    <n v="3870"/>
    <n v="4300"/>
    <n v="16"/>
    <n v="68800"/>
    <n v="61920"/>
    <n v="6880"/>
  </r>
  <r>
    <n v="216"/>
    <d v="2022-11-16T00:00:00"/>
    <x v="0"/>
    <x v="7"/>
    <x v="24"/>
    <x v="1"/>
    <s v="Kachoris"/>
    <x v="0"/>
    <x v="0"/>
    <n v="45450"/>
    <n v="50500"/>
    <n v="6"/>
    <n v="303000"/>
    <n v="272700"/>
    <n v="30300"/>
  </r>
  <r>
    <n v="217"/>
    <d v="2022-11-17T00:00:00"/>
    <x v="0"/>
    <x v="7"/>
    <x v="5"/>
    <x v="0"/>
    <s v="Bhujia"/>
    <x v="0"/>
    <x v="0"/>
    <n v="18225"/>
    <n v="20250"/>
    <n v="3"/>
    <n v="60750"/>
    <n v="54675"/>
    <n v="6075"/>
  </r>
  <r>
    <n v="218"/>
    <d v="2022-11-18T00:00:00"/>
    <x v="0"/>
    <x v="7"/>
    <x v="3"/>
    <x v="2"/>
    <s v="Mixes"/>
    <x v="0"/>
    <x v="0"/>
    <n v="1800"/>
    <n v="2000"/>
    <n v="5"/>
    <n v="10000"/>
    <n v="9000"/>
    <n v="1000"/>
  </r>
  <r>
    <n v="219"/>
    <d v="2022-11-19T00:00:00"/>
    <x v="0"/>
    <x v="7"/>
    <x v="9"/>
    <x v="1"/>
    <s v="Papads"/>
    <x v="0"/>
    <x v="2"/>
    <n v="48600"/>
    <n v="54000"/>
    <n v="1"/>
    <n v="54000"/>
    <n v="48600"/>
    <n v="5400"/>
  </r>
  <r>
    <n v="220"/>
    <d v="2022-11-20T00:00:00"/>
    <x v="0"/>
    <x v="7"/>
    <x v="7"/>
    <x v="0"/>
    <s v="Heat-and-Eat Meals"/>
    <x v="1"/>
    <x v="2"/>
    <n v="72900"/>
    <n v="81000"/>
    <n v="5"/>
    <n v="405000"/>
    <n v="364500"/>
    <n v="40500"/>
  </r>
  <r>
    <n v="221"/>
    <d v="2022-11-21T00:00:00"/>
    <x v="0"/>
    <x v="7"/>
    <x v="0"/>
    <x v="2"/>
    <s v="Namkeen"/>
    <x v="0"/>
    <x v="0"/>
    <n v="9450"/>
    <n v="10500"/>
    <n v="7"/>
    <n v="73500"/>
    <n v="66150"/>
    <n v="7350"/>
  </r>
  <r>
    <n v="222"/>
    <d v="2022-11-22T00:00:00"/>
    <x v="0"/>
    <x v="7"/>
    <x v="8"/>
    <x v="1"/>
    <s v="Chips &amp; Wafers "/>
    <x v="0"/>
    <x v="0"/>
    <n v="36000"/>
    <n v="40000"/>
    <n v="4"/>
    <n v="160000"/>
    <n v="144000"/>
    <n v="16000"/>
  </r>
  <r>
    <n v="223"/>
    <d v="2022-11-23T00:00:00"/>
    <x v="0"/>
    <x v="7"/>
    <x v="26"/>
    <x v="0"/>
    <s v="Samosas"/>
    <x v="0"/>
    <x v="0"/>
    <n v="24300"/>
    <n v="27000"/>
    <n v="8"/>
    <n v="216000"/>
    <n v="194400"/>
    <n v="21600"/>
  </r>
  <r>
    <n v="224"/>
    <d v="2022-11-24T00:00:00"/>
    <x v="0"/>
    <x v="7"/>
    <x v="2"/>
    <x v="2"/>
    <s v="Kachoris"/>
    <x v="0"/>
    <x v="0"/>
    <n v="9180"/>
    <n v="10200"/>
    <n v="8"/>
    <n v="81600"/>
    <n v="73440"/>
    <n v="8160"/>
  </r>
  <r>
    <n v="225"/>
    <d v="2022-11-25T00:00:00"/>
    <x v="0"/>
    <x v="7"/>
    <x v="8"/>
    <x v="1"/>
    <s v="Bhujia"/>
    <x v="0"/>
    <x v="0"/>
    <n v="8640"/>
    <n v="9600"/>
    <n v="9"/>
    <n v="86400"/>
    <n v="77760"/>
    <n v="8640"/>
  </r>
  <r>
    <n v="226"/>
    <d v="2022-11-26T00:00:00"/>
    <x v="0"/>
    <x v="7"/>
    <x v="18"/>
    <x v="0"/>
    <s v="Mixes"/>
    <x v="0"/>
    <x v="0"/>
    <n v="8280"/>
    <n v="9200"/>
    <n v="2"/>
    <n v="18400"/>
    <n v="16560"/>
    <n v="1840"/>
  </r>
  <r>
    <n v="227"/>
    <d v="2022-11-27T00:00:00"/>
    <x v="0"/>
    <x v="7"/>
    <x v="4"/>
    <x v="2"/>
    <s v="Ready-to-Eat Curries "/>
    <x v="1"/>
    <x v="2"/>
    <n v="4950"/>
    <n v="5500"/>
    <n v="1"/>
    <n v="5500"/>
    <n v="4950"/>
    <n v="550"/>
  </r>
  <r>
    <n v="228"/>
    <d v="2022-11-28T00:00:00"/>
    <x v="0"/>
    <x v="7"/>
    <x v="19"/>
    <x v="1"/>
    <s v="Instant Mixes"/>
    <x v="1"/>
    <x v="2"/>
    <n v="3150"/>
    <n v="3500"/>
    <n v="22"/>
    <n v="77000"/>
    <n v="69300"/>
    <n v="7700"/>
  </r>
  <r>
    <n v="229"/>
    <d v="2022-11-29T00:00:00"/>
    <x v="0"/>
    <x v="7"/>
    <x v="3"/>
    <x v="0"/>
    <s v="Frozen Snacks"/>
    <x v="1"/>
    <x v="2"/>
    <n v="2700"/>
    <n v="3000"/>
    <n v="8"/>
    <n v="24000"/>
    <n v="21600"/>
    <n v="2400"/>
  </r>
  <r>
    <n v="230"/>
    <d v="2022-11-30T00:00:00"/>
    <x v="0"/>
    <x v="7"/>
    <x v="8"/>
    <x v="2"/>
    <s v="Parathas"/>
    <x v="1"/>
    <x v="0"/>
    <n v="4050"/>
    <n v="4500"/>
    <n v="7"/>
    <n v="31500"/>
    <n v="28350"/>
    <n v="3150"/>
  </r>
  <r>
    <n v="231"/>
    <d v="2022-12-01T00:00:00"/>
    <x v="0"/>
    <x v="8"/>
    <x v="5"/>
    <x v="1"/>
    <s v="Nut-based Snacks "/>
    <x v="0"/>
    <x v="0"/>
    <n v="53100"/>
    <n v="59000"/>
    <n v="56"/>
    <n v="3304000"/>
    <n v="2973600"/>
    <n v="330400"/>
  </r>
  <r>
    <n v="232"/>
    <d v="2022-12-02T00:00:00"/>
    <x v="0"/>
    <x v="8"/>
    <x v="2"/>
    <x v="0"/>
    <s v="Papads"/>
    <x v="0"/>
    <x v="0"/>
    <n v="88200"/>
    <n v="98000"/>
    <n v="10"/>
    <n v="980000"/>
    <n v="882000"/>
    <n v="98000"/>
  </r>
  <r>
    <n v="233"/>
    <d v="2022-12-03T00:00:00"/>
    <x v="0"/>
    <x v="8"/>
    <x v="15"/>
    <x v="2"/>
    <s v="Namkeens"/>
    <x v="0"/>
    <x v="1"/>
    <n v="38250"/>
    <n v="42500"/>
    <n v="9"/>
    <n v="382500"/>
    <n v="344250"/>
    <n v="38250"/>
  </r>
  <r>
    <n v="234"/>
    <d v="2022-12-04T00:00:00"/>
    <x v="0"/>
    <x v="8"/>
    <x v="18"/>
    <x v="1"/>
    <s v="Chips &amp; Wafers "/>
    <x v="0"/>
    <x v="1"/>
    <n v="2700"/>
    <n v="3000"/>
    <n v="27"/>
    <n v="81000"/>
    <n v="72900"/>
    <n v="8100"/>
  </r>
  <r>
    <n v="235"/>
    <d v="2022-12-05T00:00:00"/>
    <x v="0"/>
    <x v="8"/>
    <x v="8"/>
    <x v="0"/>
    <s v="Samosas"/>
    <x v="0"/>
    <x v="1"/>
    <n v="23850"/>
    <n v="26500"/>
    <n v="15"/>
    <n v="397500"/>
    <n v="357750"/>
    <n v="39750"/>
  </r>
  <r>
    <n v="236"/>
    <d v="2022-12-06T00:00:00"/>
    <x v="0"/>
    <x v="8"/>
    <x v="8"/>
    <x v="2"/>
    <s v="Kachoris"/>
    <x v="0"/>
    <x v="0"/>
    <n v="24750"/>
    <n v="27500"/>
    <n v="3"/>
    <n v="82500"/>
    <n v="74250"/>
    <n v="8250"/>
  </r>
  <r>
    <n v="237"/>
    <d v="2022-12-07T00:00:00"/>
    <x v="0"/>
    <x v="8"/>
    <x v="15"/>
    <x v="1"/>
    <s v="Bhujia"/>
    <x v="0"/>
    <x v="2"/>
    <n v="44550"/>
    <n v="49500"/>
    <n v="9"/>
    <n v="445500"/>
    <n v="400950"/>
    <n v="44550"/>
  </r>
  <r>
    <n v="238"/>
    <d v="2022-12-08T00:00:00"/>
    <x v="0"/>
    <x v="8"/>
    <x v="12"/>
    <x v="0"/>
    <s v="Mixes"/>
    <x v="0"/>
    <x v="2"/>
    <n v="9000"/>
    <n v="10000"/>
    <n v="22"/>
    <n v="220000"/>
    <n v="198000"/>
    <n v="22000"/>
  </r>
  <r>
    <n v="239"/>
    <d v="2022-12-09T00:00:00"/>
    <x v="0"/>
    <x v="8"/>
    <x v="8"/>
    <x v="2"/>
    <s v="Papads"/>
    <x v="0"/>
    <x v="0"/>
    <n v="8640"/>
    <n v="9600"/>
    <n v="16"/>
    <n v="153600"/>
    <n v="138240"/>
    <n v="15360"/>
  </r>
  <r>
    <n v="240"/>
    <d v="2022-12-10T00:00:00"/>
    <x v="0"/>
    <x v="8"/>
    <x v="6"/>
    <x v="1"/>
    <s v="Heat-and-Eat Meals"/>
    <x v="1"/>
    <x v="0"/>
    <n v="9000"/>
    <n v="10000"/>
    <n v="6"/>
    <n v="60000"/>
    <n v="54000"/>
    <n v="6000"/>
  </r>
  <r>
    <n v="241"/>
    <d v="2022-12-11T00:00:00"/>
    <x v="0"/>
    <x v="8"/>
    <x v="5"/>
    <x v="0"/>
    <s v="Namkeen"/>
    <x v="0"/>
    <x v="0"/>
    <n v="3870"/>
    <n v="4300"/>
    <n v="3"/>
    <n v="12900"/>
    <n v="11610"/>
    <n v="1290"/>
  </r>
  <r>
    <n v="242"/>
    <d v="2022-12-12T00:00:00"/>
    <x v="0"/>
    <x v="8"/>
    <x v="8"/>
    <x v="2"/>
    <s v="Chips &amp; Wafers "/>
    <x v="0"/>
    <x v="0"/>
    <n v="45450"/>
    <n v="50500"/>
    <n v="5"/>
    <n v="252500"/>
    <n v="227250"/>
    <n v="25250"/>
  </r>
  <r>
    <n v="243"/>
    <d v="2022-12-13T00:00:00"/>
    <x v="0"/>
    <x v="8"/>
    <x v="20"/>
    <x v="1"/>
    <s v="Samosas"/>
    <x v="0"/>
    <x v="0"/>
    <n v="18225"/>
    <n v="20250"/>
    <n v="1"/>
    <n v="20250"/>
    <n v="18225"/>
    <n v="2025"/>
  </r>
  <r>
    <n v="244"/>
    <d v="2022-12-14T00:00:00"/>
    <x v="0"/>
    <x v="8"/>
    <x v="7"/>
    <x v="0"/>
    <s v="Kachoris"/>
    <x v="0"/>
    <x v="0"/>
    <n v="1800"/>
    <n v="2000"/>
    <n v="5"/>
    <n v="10000"/>
    <n v="9000"/>
    <n v="1000"/>
  </r>
  <r>
    <n v="245"/>
    <d v="2022-12-15T00:00:00"/>
    <x v="0"/>
    <x v="8"/>
    <x v="5"/>
    <x v="2"/>
    <s v="Bhujia"/>
    <x v="0"/>
    <x v="2"/>
    <n v="48600"/>
    <n v="54000"/>
    <n v="7"/>
    <n v="378000"/>
    <n v="340200"/>
    <n v="37800"/>
  </r>
  <r>
    <n v="246"/>
    <d v="2022-12-16T00:00:00"/>
    <x v="0"/>
    <x v="8"/>
    <x v="0"/>
    <x v="1"/>
    <s v="Mixes"/>
    <x v="0"/>
    <x v="2"/>
    <n v="72900"/>
    <n v="81000"/>
    <n v="4"/>
    <n v="324000"/>
    <n v="291600"/>
    <n v="32400"/>
  </r>
  <r>
    <n v="247"/>
    <d v="2022-12-17T00:00:00"/>
    <x v="0"/>
    <x v="8"/>
    <x v="24"/>
    <x v="0"/>
    <s v="Ready-to-Eat Curries "/>
    <x v="1"/>
    <x v="2"/>
    <n v="9450"/>
    <n v="10500"/>
    <n v="8"/>
    <n v="84000"/>
    <n v="75600"/>
    <n v="8400"/>
  </r>
  <r>
    <n v="248"/>
    <d v="2022-12-18T00:00:00"/>
    <x v="0"/>
    <x v="8"/>
    <x v="18"/>
    <x v="2"/>
    <s v="Instant Mixes"/>
    <x v="1"/>
    <x v="0"/>
    <n v="36000"/>
    <n v="40000"/>
    <n v="8"/>
    <n v="320000"/>
    <n v="288000"/>
    <n v="32000"/>
  </r>
  <r>
    <n v="249"/>
    <d v="2022-12-19T00:00:00"/>
    <x v="0"/>
    <x v="8"/>
    <x v="16"/>
    <x v="1"/>
    <s v="Frozen Snacks"/>
    <x v="1"/>
    <x v="0"/>
    <n v="24300"/>
    <n v="27000"/>
    <n v="9"/>
    <n v="243000"/>
    <n v="218700"/>
    <n v="24300"/>
  </r>
  <r>
    <n v="250"/>
    <d v="2022-12-20T00:00:00"/>
    <x v="0"/>
    <x v="8"/>
    <x v="3"/>
    <x v="0"/>
    <s v="Parathas"/>
    <x v="1"/>
    <x v="0"/>
    <n v="9180"/>
    <n v="10200"/>
    <n v="2"/>
    <n v="20400"/>
    <n v="18360"/>
    <n v="2040"/>
  </r>
  <r>
    <n v="251"/>
    <d v="2022-12-21T00:00:00"/>
    <x v="0"/>
    <x v="8"/>
    <x v="9"/>
    <x v="2"/>
    <s v="Nut-based Snacks "/>
    <x v="0"/>
    <x v="0"/>
    <n v="8640"/>
    <n v="9600"/>
    <n v="1"/>
    <n v="9600"/>
    <n v="8640"/>
    <n v="960"/>
  </r>
  <r>
    <n v="252"/>
    <d v="2022-12-22T00:00:00"/>
    <x v="0"/>
    <x v="8"/>
    <x v="8"/>
    <x v="1"/>
    <s v="Papads"/>
    <x v="0"/>
    <x v="0"/>
    <n v="8280"/>
    <n v="9200"/>
    <n v="22"/>
    <n v="202400"/>
    <n v="182160"/>
    <n v="20240"/>
  </r>
  <r>
    <n v="253"/>
    <d v="2022-12-23T00:00:00"/>
    <x v="0"/>
    <x v="8"/>
    <x v="8"/>
    <x v="0"/>
    <s v="Namkeens"/>
    <x v="0"/>
    <x v="0"/>
    <n v="4950"/>
    <n v="5500"/>
    <n v="8"/>
    <n v="44000"/>
    <n v="39600"/>
    <n v="4400"/>
  </r>
  <r>
    <n v="254"/>
    <d v="2022-12-24T00:00:00"/>
    <x v="0"/>
    <x v="8"/>
    <x v="8"/>
    <x v="2"/>
    <s v="Chips &amp; Wafers "/>
    <x v="0"/>
    <x v="0"/>
    <n v="3150"/>
    <n v="3500"/>
    <n v="7"/>
    <n v="24500"/>
    <n v="22050"/>
    <n v="2450"/>
  </r>
  <r>
    <n v="255"/>
    <d v="2022-12-25T00:00:00"/>
    <x v="0"/>
    <x v="8"/>
    <x v="3"/>
    <x v="1"/>
    <s v="Samosas"/>
    <x v="0"/>
    <x v="2"/>
    <n v="2700"/>
    <n v="3000"/>
    <n v="56"/>
    <n v="168000"/>
    <n v="151200"/>
    <n v="16800"/>
  </r>
  <r>
    <n v="256"/>
    <d v="2022-12-26T00:00:00"/>
    <x v="0"/>
    <x v="8"/>
    <x v="12"/>
    <x v="0"/>
    <s v="Kachoris"/>
    <x v="0"/>
    <x v="2"/>
    <n v="4050"/>
    <n v="4500"/>
    <n v="10"/>
    <n v="45000"/>
    <n v="40500"/>
    <n v="4500"/>
  </r>
  <r>
    <n v="257"/>
    <d v="2022-12-27T00:00:00"/>
    <x v="0"/>
    <x v="8"/>
    <x v="6"/>
    <x v="2"/>
    <s v="Bhujia"/>
    <x v="0"/>
    <x v="0"/>
    <n v="53100"/>
    <n v="59000"/>
    <n v="9"/>
    <n v="531000"/>
    <n v="477900"/>
    <n v="53100"/>
  </r>
  <r>
    <n v="258"/>
    <d v="2022-12-28T00:00:00"/>
    <x v="0"/>
    <x v="8"/>
    <x v="9"/>
    <x v="1"/>
    <s v="Mixes"/>
    <x v="0"/>
    <x v="0"/>
    <n v="88200"/>
    <n v="98000"/>
    <n v="27"/>
    <n v="2646000"/>
    <n v="2381400"/>
    <n v="264600"/>
  </r>
  <r>
    <n v="259"/>
    <d v="2022-12-29T00:00:00"/>
    <x v="0"/>
    <x v="8"/>
    <x v="8"/>
    <x v="0"/>
    <s v="Papads"/>
    <x v="0"/>
    <x v="0"/>
    <n v="8640"/>
    <n v="9600"/>
    <n v="15"/>
    <n v="144000"/>
    <n v="129600"/>
    <n v="14400"/>
  </r>
  <r>
    <n v="260"/>
    <d v="2022-12-30T00:00:00"/>
    <x v="0"/>
    <x v="8"/>
    <x v="5"/>
    <x v="2"/>
    <s v="Heat-and-Eat Meals"/>
    <x v="1"/>
    <x v="1"/>
    <n v="8280"/>
    <n v="9200"/>
    <n v="3"/>
    <n v="27600"/>
    <n v="24840"/>
    <n v="2760"/>
  </r>
  <r>
    <n v="261"/>
    <d v="2022-12-31T00:00:00"/>
    <x v="0"/>
    <x v="8"/>
    <x v="7"/>
    <x v="1"/>
    <s v="Ready-to-Eat Curries "/>
    <x v="1"/>
    <x v="0"/>
    <n v="4950"/>
    <n v="5500"/>
    <n v="9"/>
    <n v="49500"/>
    <n v="44550"/>
    <n v="4950"/>
  </r>
  <r>
    <n v="262"/>
    <d v="2023-01-01T00:00:00"/>
    <x v="1"/>
    <x v="9"/>
    <x v="5"/>
    <x v="0"/>
    <s v="Frozen Snacks"/>
    <x v="1"/>
    <x v="1"/>
    <n v="3150"/>
    <n v="3500"/>
    <n v="22"/>
    <n v="77000"/>
    <n v="69300"/>
    <n v="7700"/>
  </r>
  <r>
    <n v="263"/>
    <d v="2023-01-02T00:00:00"/>
    <x v="1"/>
    <x v="9"/>
    <x v="8"/>
    <x v="2"/>
    <s v="Traditional Sweets "/>
    <x v="2"/>
    <x v="2"/>
    <n v="2700"/>
    <n v="3000"/>
    <n v="16"/>
    <n v="48000"/>
    <n v="43200"/>
    <n v="4800"/>
  </r>
  <r>
    <n v="264"/>
    <d v="2023-01-03T00:00:00"/>
    <x v="1"/>
    <x v="9"/>
    <x v="8"/>
    <x v="1"/>
    <s v="Dry Sweets "/>
    <x v="2"/>
    <x v="2"/>
    <n v="4050"/>
    <n v="4500"/>
    <n v="6"/>
    <n v="27000"/>
    <n v="24300"/>
    <n v="2700"/>
  </r>
  <r>
    <n v="265"/>
    <d v="2023-01-04T00:00:00"/>
    <x v="1"/>
    <x v="9"/>
    <x v="24"/>
    <x v="0"/>
    <s v="Milk-based Sweets "/>
    <x v="2"/>
    <x v="2"/>
    <n v="53100"/>
    <n v="59000"/>
    <n v="3"/>
    <n v="177000"/>
    <n v="159300"/>
    <n v="17700"/>
  </r>
  <r>
    <n v="266"/>
    <d v="2023-01-05T00:00:00"/>
    <x v="1"/>
    <x v="9"/>
    <x v="18"/>
    <x v="2"/>
    <s v="Syrup-based Sweets"/>
    <x v="2"/>
    <x v="0"/>
    <n v="88200"/>
    <n v="98000"/>
    <n v="5"/>
    <n v="490000"/>
    <n v="441000"/>
    <n v="49000"/>
  </r>
  <r>
    <n v="267"/>
    <d v="2023-01-06T00:00:00"/>
    <x v="1"/>
    <x v="9"/>
    <x v="5"/>
    <x v="1"/>
    <s v="Gift Packs"/>
    <x v="2"/>
    <x v="0"/>
    <n v="38250"/>
    <n v="42500"/>
    <n v="1"/>
    <n v="42500"/>
    <n v="38250"/>
    <n v="4250"/>
  </r>
  <r>
    <n v="268"/>
    <d v="2023-01-07T00:00:00"/>
    <x v="1"/>
    <x v="9"/>
    <x v="9"/>
    <x v="0"/>
    <s v="Traditional Sweets "/>
    <x v="2"/>
    <x v="1"/>
    <n v="2700"/>
    <n v="3000"/>
    <n v="5"/>
    <n v="15000"/>
    <n v="13500"/>
    <n v="1500"/>
  </r>
  <r>
    <n v="269"/>
    <d v="2023-01-08T00:00:00"/>
    <x v="1"/>
    <x v="9"/>
    <x v="2"/>
    <x v="2"/>
    <s v="Dry Sweets "/>
    <x v="2"/>
    <x v="0"/>
    <n v="23850"/>
    <n v="26500"/>
    <n v="7"/>
    <n v="185500"/>
    <n v="166950"/>
    <n v="18550"/>
  </r>
  <r>
    <n v="270"/>
    <d v="2023-01-09T00:00:00"/>
    <x v="1"/>
    <x v="9"/>
    <x v="5"/>
    <x v="1"/>
    <s v="Milk-based Sweets "/>
    <x v="2"/>
    <x v="0"/>
    <n v="24750"/>
    <n v="27500"/>
    <n v="4"/>
    <n v="110000"/>
    <n v="99000"/>
    <n v="11000"/>
  </r>
  <r>
    <n v="271"/>
    <d v="2023-01-10T00:00:00"/>
    <x v="1"/>
    <x v="9"/>
    <x v="8"/>
    <x v="1"/>
    <s v="Syrup-based Sweets"/>
    <x v="2"/>
    <x v="0"/>
    <n v="44550"/>
    <n v="49500"/>
    <n v="8"/>
    <n v="396000"/>
    <n v="356400"/>
    <n v="39600"/>
  </r>
  <r>
    <n v="272"/>
    <d v="2023-01-11T00:00:00"/>
    <x v="1"/>
    <x v="9"/>
    <x v="3"/>
    <x v="0"/>
    <s v="Gift Packs"/>
    <x v="2"/>
    <x v="0"/>
    <n v="9000"/>
    <n v="10000"/>
    <n v="8"/>
    <n v="80000"/>
    <n v="72000"/>
    <n v="8000"/>
  </r>
  <r>
    <n v="273"/>
    <d v="2023-01-12T00:00:00"/>
    <x v="1"/>
    <x v="9"/>
    <x v="21"/>
    <x v="2"/>
    <s v="Gift Packs"/>
    <x v="2"/>
    <x v="2"/>
    <n v="8640"/>
    <n v="9600"/>
    <n v="9"/>
    <n v="86400"/>
    <n v="77760"/>
    <n v="8640"/>
  </r>
  <r>
    <n v="274"/>
    <d v="2023-01-13T00:00:00"/>
    <x v="1"/>
    <x v="9"/>
    <x v="9"/>
    <x v="1"/>
    <s v="Traditional Sweets "/>
    <x v="2"/>
    <x v="2"/>
    <n v="9000"/>
    <n v="10000"/>
    <n v="2"/>
    <n v="20000"/>
    <n v="18000"/>
    <n v="2000"/>
  </r>
  <r>
    <n v="275"/>
    <d v="2023-01-14T00:00:00"/>
    <x v="1"/>
    <x v="9"/>
    <x v="5"/>
    <x v="1"/>
    <s v="Traditional Sweets "/>
    <x v="2"/>
    <x v="0"/>
    <n v="3870"/>
    <n v="4300"/>
    <n v="1"/>
    <n v="4300"/>
    <n v="3870"/>
    <n v="430"/>
  </r>
  <r>
    <n v="276"/>
    <d v="2023-01-15T00:00:00"/>
    <x v="1"/>
    <x v="9"/>
    <x v="2"/>
    <x v="0"/>
    <s v="Dry Sweets "/>
    <x v="2"/>
    <x v="0"/>
    <n v="8640"/>
    <n v="9600"/>
    <n v="22"/>
    <n v="211200"/>
    <n v="190080"/>
    <n v="21120"/>
  </r>
  <r>
    <n v="277"/>
    <d v="2023-01-16T00:00:00"/>
    <x v="1"/>
    <x v="9"/>
    <x v="3"/>
    <x v="2"/>
    <s v="Milk-based Sweets "/>
    <x v="2"/>
    <x v="0"/>
    <n v="8280"/>
    <n v="9200"/>
    <n v="8"/>
    <n v="73600"/>
    <n v="66240"/>
    <n v="7360"/>
  </r>
  <r>
    <n v="278"/>
    <d v="2023-01-17T00:00:00"/>
    <x v="1"/>
    <x v="9"/>
    <x v="6"/>
    <x v="1"/>
    <s v="Syrup-based Sweets"/>
    <x v="2"/>
    <x v="0"/>
    <n v="4950"/>
    <n v="5500"/>
    <n v="7"/>
    <n v="38500"/>
    <n v="34650"/>
    <n v="3850"/>
  </r>
  <r>
    <n v="279"/>
    <d v="2023-01-18T00:00:00"/>
    <x v="1"/>
    <x v="9"/>
    <x v="20"/>
    <x v="1"/>
    <s v="Gift Packs"/>
    <x v="2"/>
    <x v="0"/>
    <n v="3150"/>
    <n v="3500"/>
    <n v="56"/>
    <n v="196000"/>
    <n v="176400"/>
    <n v="19600"/>
  </r>
  <r>
    <n v="280"/>
    <d v="2023-01-19T00:00:00"/>
    <x v="1"/>
    <x v="9"/>
    <x v="8"/>
    <x v="1"/>
    <s v="Traditional Sweets "/>
    <x v="2"/>
    <x v="0"/>
    <n v="2700"/>
    <n v="3000"/>
    <n v="10"/>
    <n v="30000"/>
    <n v="27000"/>
    <n v="3000"/>
  </r>
  <r>
    <n v="281"/>
    <d v="2023-01-20T00:00:00"/>
    <x v="1"/>
    <x v="9"/>
    <x v="15"/>
    <x v="1"/>
    <s v="Dry Sweets "/>
    <x v="2"/>
    <x v="2"/>
    <n v="4050"/>
    <n v="4500"/>
    <n v="9"/>
    <n v="40500"/>
    <n v="36450"/>
    <n v="4050"/>
  </r>
  <r>
    <n v="282"/>
    <d v="2023-01-21T00:00:00"/>
    <x v="1"/>
    <x v="9"/>
    <x v="15"/>
    <x v="1"/>
    <s v="Milk-based Sweets "/>
    <x v="2"/>
    <x v="2"/>
    <n v="53100"/>
    <n v="59000"/>
    <n v="27"/>
    <n v="1593000"/>
    <n v="1433700"/>
    <n v="159300"/>
  </r>
  <r>
    <n v="283"/>
    <d v="2023-01-22T00:00:00"/>
    <x v="1"/>
    <x v="9"/>
    <x v="0"/>
    <x v="1"/>
    <s v="Syrup-based Sweets"/>
    <x v="2"/>
    <x v="2"/>
    <n v="88200"/>
    <n v="98000"/>
    <n v="15"/>
    <n v="1470000"/>
    <n v="1323000"/>
    <n v="147000"/>
  </r>
  <r>
    <n v="284"/>
    <d v="2023-01-23T00:00:00"/>
    <x v="1"/>
    <x v="9"/>
    <x v="2"/>
    <x v="1"/>
    <s v="Gift Packs"/>
    <x v="2"/>
    <x v="0"/>
    <n v="38250"/>
    <n v="42500"/>
    <n v="3"/>
    <n v="127500"/>
    <n v="114750"/>
    <n v="12750"/>
  </r>
  <r>
    <n v="285"/>
    <d v="2023-01-24T00:00:00"/>
    <x v="1"/>
    <x v="9"/>
    <x v="18"/>
    <x v="1"/>
    <s v="Gift Packs"/>
    <x v="2"/>
    <x v="0"/>
    <n v="2700"/>
    <n v="3000"/>
    <n v="9"/>
    <n v="27000"/>
    <n v="24300"/>
    <n v="2700"/>
  </r>
  <r>
    <n v="286"/>
    <d v="2023-01-25T00:00:00"/>
    <x v="1"/>
    <x v="9"/>
    <x v="18"/>
    <x v="1"/>
    <s v="Traditional Sweets "/>
    <x v="2"/>
    <x v="0"/>
    <n v="23850"/>
    <n v="26500"/>
    <n v="22"/>
    <n v="583000"/>
    <n v="524700"/>
    <n v="58300"/>
  </r>
  <r>
    <n v="287"/>
    <d v="2023-01-26T00:00:00"/>
    <x v="1"/>
    <x v="9"/>
    <x v="5"/>
    <x v="1"/>
    <s v="Namkeens"/>
    <x v="0"/>
    <x v="1"/>
    <n v="24750"/>
    <n v="27500"/>
    <n v="16"/>
    <n v="440000"/>
    <n v="396000"/>
    <n v="44000"/>
  </r>
  <r>
    <n v="288"/>
    <d v="2023-01-27T00:00:00"/>
    <x v="1"/>
    <x v="9"/>
    <x v="0"/>
    <x v="1"/>
    <s v="Chips &amp; Wafers "/>
    <x v="0"/>
    <x v="1"/>
    <n v="44550"/>
    <n v="49500"/>
    <n v="6"/>
    <n v="297000"/>
    <n v="267300"/>
    <n v="29700"/>
  </r>
  <r>
    <n v="289"/>
    <d v="2023-01-28T00:00:00"/>
    <x v="1"/>
    <x v="9"/>
    <x v="2"/>
    <x v="1"/>
    <s v="Samosas"/>
    <x v="0"/>
    <x v="1"/>
    <n v="9000"/>
    <n v="10000"/>
    <n v="3"/>
    <n v="30000"/>
    <n v="27000"/>
    <n v="3000"/>
  </r>
  <r>
    <n v="290"/>
    <d v="2023-01-29T00:00:00"/>
    <x v="1"/>
    <x v="9"/>
    <x v="5"/>
    <x v="1"/>
    <s v="Kachoris"/>
    <x v="0"/>
    <x v="0"/>
    <n v="8640"/>
    <n v="9600"/>
    <n v="5"/>
    <n v="48000"/>
    <n v="43200"/>
    <n v="4800"/>
  </r>
  <r>
    <n v="291"/>
    <d v="2023-01-30T00:00:00"/>
    <x v="1"/>
    <x v="9"/>
    <x v="2"/>
    <x v="1"/>
    <s v="Bhujia"/>
    <x v="0"/>
    <x v="2"/>
    <n v="9000"/>
    <n v="10000"/>
    <n v="1"/>
    <n v="10000"/>
    <n v="9000"/>
    <n v="1000"/>
  </r>
  <r>
    <n v="292"/>
    <d v="2023-01-31T00:00:00"/>
    <x v="1"/>
    <x v="9"/>
    <x v="9"/>
    <x v="1"/>
    <s v="Mixes"/>
    <x v="0"/>
    <x v="2"/>
    <n v="3870"/>
    <n v="4300"/>
    <n v="5"/>
    <n v="21500"/>
    <n v="19350"/>
    <n v="2150"/>
  </r>
  <r>
    <n v="293"/>
    <d v="2023-02-01T00:00:00"/>
    <x v="1"/>
    <x v="10"/>
    <x v="11"/>
    <x v="1"/>
    <s v="Papads"/>
    <x v="0"/>
    <x v="0"/>
    <n v="8280"/>
    <n v="9200"/>
    <n v="7"/>
    <n v="64400"/>
    <n v="57960"/>
    <n v="6440"/>
  </r>
  <r>
    <n v="294"/>
    <d v="2023-02-02T00:00:00"/>
    <x v="1"/>
    <x v="10"/>
    <x v="2"/>
    <x v="1"/>
    <s v="Heat-and-Eat Meals"/>
    <x v="1"/>
    <x v="0"/>
    <n v="4950"/>
    <n v="5500"/>
    <n v="4"/>
    <n v="22000"/>
    <n v="19800"/>
    <n v="2200"/>
  </r>
  <r>
    <n v="295"/>
    <d v="2023-02-03T00:00:00"/>
    <x v="1"/>
    <x v="10"/>
    <x v="8"/>
    <x v="1"/>
    <s v="Ready-to-Eat Curries "/>
    <x v="1"/>
    <x v="1"/>
    <n v="3150"/>
    <n v="3500"/>
    <n v="8"/>
    <n v="28000"/>
    <n v="25200"/>
    <n v="2800"/>
  </r>
  <r>
    <n v="296"/>
    <d v="2023-02-04T00:00:00"/>
    <x v="1"/>
    <x v="10"/>
    <x v="6"/>
    <x v="1"/>
    <s v="Frozen Snacks"/>
    <x v="1"/>
    <x v="0"/>
    <n v="2700"/>
    <n v="3000"/>
    <n v="8"/>
    <n v="24000"/>
    <n v="21600"/>
    <n v="2400"/>
  </r>
  <r>
    <n v="297"/>
    <d v="2023-02-05T00:00:00"/>
    <x v="1"/>
    <x v="10"/>
    <x v="18"/>
    <x v="1"/>
    <s v="Traditional Sweets "/>
    <x v="2"/>
    <x v="0"/>
    <n v="4050"/>
    <n v="4500"/>
    <n v="9"/>
    <n v="40500"/>
    <n v="36450"/>
    <n v="4050"/>
  </r>
  <r>
    <n v="298"/>
    <d v="2023-02-06T00:00:00"/>
    <x v="1"/>
    <x v="10"/>
    <x v="19"/>
    <x v="1"/>
    <s v="Dry Sweets "/>
    <x v="2"/>
    <x v="0"/>
    <n v="8280"/>
    <n v="9200"/>
    <n v="2"/>
    <n v="18400"/>
    <n v="16560"/>
    <n v="1840"/>
  </r>
  <r>
    <n v="299"/>
    <d v="2023-02-07T00:00:00"/>
    <x v="1"/>
    <x v="10"/>
    <x v="5"/>
    <x v="1"/>
    <s v="Milk-based Sweets "/>
    <x v="2"/>
    <x v="2"/>
    <n v="4950"/>
    <n v="5500"/>
    <n v="1"/>
    <n v="5500"/>
    <n v="4950"/>
    <n v="550"/>
  </r>
  <r>
    <n v="300"/>
    <d v="2023-02-08T00:00:00"/>
    <x v="1"/>
    <x v="10"/>
    <x v="0"/>
    <x v="1"/>
    <s v="Syrup-based Sweets"/>
    <x v="2"/>
    <x v="2"/>
    <n v="3150"/>
    <n v="3500"/>
    <n v="22"/>
    <n v="77000"/>
    <n v="69300"/>
    <n v="7700"/>
  </r>
  <r>
    <n v="301"/>
    <d v="2023-02-09T00:00:00"/>
    <x v="1"/>
    <x v="10"/>
    <x v="9"/>
    <x v="2"/>
    <s v="Gift Packs"/>
    <x v="2"/>
    <x v="2"/>
    <n v="2700"/>
    <n v="3000"/>
    <n v="8"/>
    <n v="24000"/>
    <n v="21600"/>
    <n v="2400"/>
  </r>
  <r>
    <n v="302"/>
    <d v="2023-02-10T00:00:00"/>
    <x v="1"/>
    <x v="10"/>
    <x v="7"/>
    <x v="2"/>
    <s v="Traditional Sweets "/>
    <x v="2"/>
    <x v="0"/>
    <n v="4050"/>
    <n v="4500"/>
    <n v="7"/>
    <n v="31500"/>
    <n v="28350"/>
    <n v="3150"/>
  </r>
  <r>
    <n v="303"/>
    <d v="2023-02-11T00:00:00"/>
    <x v="1"/>
    <x v="10"/>
    <x v="18"/>
    <x v="2"/>
    <s v="Dry Sweets "/>
    <x v="2"/>
    <x v="0"/>
    <n v="8280"/>
    <n v="9200"/>
    <n v="56"/>
    <n v="515200"/>
    <n v="463680"/>
    <n v="51520"/>
  </r>
  <r>
    <n v="304"/>
    <d v="2023-02-12T00:00:00"/>
    <x v="1"/>
    <x v="10"/>
    <x v="18"/>
    <x v="2"/>
    <s v="Milk-based Sweets "/>
    <x v="2"/>
    <x v="0"/>
    <n v="4950"/>
    <n v="5500"/>
    <n v="10"/>
    <n v="55000"/>
    <n v="49500"/>
    <n v="5500"/>
  </r>
  <r>
    <n v="305"/>
    <d v="2023-02-13T00:00:00"/>
    <x v="1"/>
    <x v="10"/>
    <x v="24"/>
    <x v="2"/>
    <s v="Syrup-based Sweets"/>
    <x v="2"/>
    <x v="0"/>
    <n v="3150"/>
    <n v="3500"/>
    <n v="9"/>
    <n v="31500"/>
    <n v="28350"/>
    <n v="3150"/>
  </r>
  <r>
    <n v="306"/>
    <d v="2023-02-14T00:00:00"/>
    <x v="1"/>
    <x v="10"/>
    <x v="5"/>
    <x v="2"/>
    <s v="Gift Packs"/>
    <x v="2"/>
    <x v="0"/>
    <n v="2700"/>
    <n v="3000"/>
    <n v="27"/>
    <n v="81000"/>
    <n v="72900"/>
    <n v="8100"/>
  </r>
  <r>
    <n v="307"/>
    <d v="2023-02-15T00:00:00"/>
    <x v="1"/>
    <x v="10"/>
    <x v="2"/>
    <x v="2"/>
    <s v="Gift Packs"/>
    <x v="2"/>
    <x v="0"/>
    <n v="4050"/>
    <n v="4500"/>
    <n v="15"/>
    <n v="67500"/>
    <n v="60750"/>
    <n v="6750"/>
  </r>
  <r>
    <n v="308"/>
    <d v="2023-02-16T00:00:00"/>
    <x v="1"/>
    <x v="10"/>
    <x v="18"/>
    <x v="2"/>
    <s v="Traditional Sweets "/>
    <x v="2"/>
    <x v="0"/>
    <n v="8280"/>
    <n v="9200"/>
    <n v="3"/>
    <n v="27600"/>
    <n v="24840"/>
    <n v="2760"/>
  </r>
  <r>
    <n v="309"/>
    <d v="2023-02-17T00:00:00"/>
    <x v="1"/>
    <x v="10"/>
    <x v="15"/>
    <x v="2"/>
    <s v="Namkeen"/>
    <x v="0"/>
    <x v="2"/>
    <n v="4950"/>
    <n v="5500"/>
    <n v="9"/>
    <n v="49500"/>
    <n v="44550"/>
    <n v="4950"/>
  </r>
  <r>
    <n v="310"/>
    <d v="2023-02-18T00:00:00"/>
    <x v="1"/>
    <x v="10"/>
    <x v="2"/>
    <x v="2"/>
    <s v="Chips &amp; Wafers "/>
    <x v="0"/>
    <x v="2"/>
    <n v="3150"/>
    <n v="3500"/>
    <n v="22"/>
    <n v="77000"/>
    <n v="69300"/>
    <n v="7700"/>
  </r>
  <r>
    <n v="311"/>
    <d v="2023-02-19T00:00:00"/>
    <x v="1"/>
    <x v="10"/>
    <x v="6"/>
    <x v="2"/>
    <s v="Samosas"/>
    <x v="0"/>
    <x v="0"/>
    <n v="2700"/>
    <n v="3000"/>
    <n v="16"/>
    <n v="48000"/>
    <n v="43200"/>
    <n v="4800"/>
  </r>
  <r>
    <n v="312"/>
    <d v="2023-02-20T00:00:00"/>
    <x v="1"/>
    <x v="10"/>
    <x v="8"/>
    <x v="2"/>
    <s v="Kachoris"/>
    <x v="0"/>
    <x v="0"/>
    <n v="4050"/>
    <n v="4500"/>
    <n v="6"/>
    <n v="27000"/>
    <n v="24300"/>
    <n v="2700"/>
  </r>
  <r>
    <n v="313"/>
    <d v="2023-02-21T00:00:00"/>
    <x v="1"/>
    <x v="10"/>
    <x v="8"/>
    <x v="2"/>
    <s v="Bhujia"/>
    <x v="0"/>
    <x v="0"/>
    <n v="38250"/>
    <n v="42500"/>
    <n v="3"/>
    <n v="127500"/>
    <n v="114750"/>
    <n v="12750"/>
  </r>
  <r>
    <n v="314"/>
    <d v="2023-02-22T00:00:00"/>
    <x v="1"/>
    <x v="10"/>
    <x v="11"/>
    <x v="1"/>
    <s v="Mixes"/>
    <x v="0"/>
    <x v="1"/>
    <n v="2700"/>
    <n v="3000"/>
    <n v="5"/>
    <n v="15000"/>
    <n v="13500"/>
    <n v="1500"/>
  </r>
  <r>
    <n v="315"/>
    <d v="2023-02-23T00:00:00"/>
    <x v="1"/>
    <x v="10"/>
    <x v="12"/>
    <x v="1"/>
    <s v="Ready-to-Eat Curries "/>
    <x v="1"/>
    <x v="1"/>
    <n v="23850"/>
    <n v="26500"/>
    <n v="1"/>
    <n v="26500"/>
    <n v="23850"/>
    <n v="2650"/>
  </r>
  <r>
    <n v="316"/>
    <d v="2023-02-24T00:00:00"/>
    <x v="1"/>
    <x v="10"/>
    <x v="0"/>
    <x v="1"/>
    <s v="Instant Mixes"/>
    <x v="1"/>
    <x v="0"/>
    <n v="24750"/>
    <n v="27500"/>
    <n v="5"/>
    <n v="137500"/>
    <n v="123750"/>
    <n v="13750"/>
  </r>
  <r>
    <n v="317"/>
    <d v="2023-02-25T00:00:00"/>
    <x v="1"/>
    <x v="10"/>
    <x v="8"/>
    <x v="1"/>
    <s v="Frozen Snacks"/>
    <x v="1"/>
    <x v="2"/>
    <n v="44550"/>
    <n v="49500"/>
    <n v="7"/>
    <n v="346500"/>
    <n v="311850"/>
    <n v="34650"/>
  </r>
  <r>
    <n v="318"/>
    <d v="2023-02-26T00:00:00"/>
    <x v="1"/>
    <x v="10"/>
    <x v="18"/>
    <x v="1"/>
    <s v="Parathas"/>
    <x v="1"/>
    <x v="2"/>
    <n v="9000"/>
    <n v="10000"/>
    <n v="4"/>
    <n v="40000"/>
    <n v="36000"/>
    <n v="4000"/>
  </r>
  <r>
    <n v="319"/>
    <d v="2023-02-27T00:00:00"/>
    <x v="1"/>
    <x v="10"/>
    <x v="3"/>
    <x v="1"/>
    <s v="Nut-based Snacks "/>
    <x v="0"/>
    <x v="0"/>
    <n v="8640"/>
    <n v="9600"/>
    <n v="8"/>
    <n v="76800"/>
    <n v="69120"/>
    <n v="7680"/>
  </r>
  <r>
    <n v="320"/>
    <d v="2023-02-28T00:00:00"/>
    <x v="1"/>
    <x v="10"/>
    <x v="6"/>
    <x v="1"/>
    <s v="Papads"/>
    <x v="0"/>
    <x v="1"/>
    <n v="9000"/>
    <n v="10000"/>
    <n v="8"/>
    <n v="80000"/>
    <n v="72000"/>
    <n v="8000"/>
  </r>
  <r>
    <n v="321"/>
    <d v="2023-03-01T00:00:00"/>
    <x v="1"/>
    <x v="11"/>
    <x v="9"/>
    <x v="1"/>
    <s v="Namkeens"/>
    <x v="0"/>
    <x v="0"/>
    <n v="3870"/>
    <n v="4300"/>
    <n v="9"/>
    <n v="38700"/>
    <n v="34830"/>
    <n v="3870"/>
  </r>
  <r>
    <n v="322"/>
    <d v="2023-03-02T00:00:00"/>
    <x v="1"/>
    <x v="11"/>
    <x v="16"/>
    <x v="1"/>
    <s v="Chips &amp; Wafers "/>
    <x v="0"/>
    <x v="0"/>
    <n v="45450"/>
    <n v="50500"/>
    <n v="2"/>
    <n v="101000"/>
    <n v="90900"/>
    <n v="10100"/>
  </r>
  <r>
    <n v="323"/>
    <d v="2023-03-03T00:00:00"/>
    <x v="1"/>
    <x v="11"/>
    <x v="14"/>
    <x v="1"/>
    <s v="Samosas"/>
    <x v="0"/>
    <x v="0"/>
    <n v="18225"/>
    <n v="20250"/>
    <n v="1"/>
    <n v="20250"/>
    <n v="18225"/>
    <n v="2025"/>
  </r>
  <r>
    <n v="324"/>
    <d v="2023-03-04T00:00:00"/>
    <x v="1"/>
    <x v="11"/>
    <x v="26"/>
    <x v="1"/>
    <s v="Kachoris"/>
    <x v="0"/>
    <x v="0"/>
    <n v="1800"/>
    <n v="2000"/>
    <n v="22"/>
    <n v="44000"/>
    <n v="39600"/>
    <n v="4400"/>
  </r>
  <r>
    <n v="325"/>
    <d v="2023-03-05T00:00:00"/>
    <x v="1"/>
    <x v="11"/>
    <x v="0"/>
    <x v="1"/>
    <s v="Bhujia"/>
    <x v="0"/>
    <x v="2"/>
    <n v="48600"/>
    <n v="54000"/>
    <n v="8"/>
    <n v="432000"/>
    <n v="388800"/>
    <n v="43200"/>
  </r>
  <r>
    <n v="326"/>
    <d v="2023-03-06T00:00:00"/>
    <x v="1"/>
    <x v="11"/>
    <x v="8"/>
    <x v="1"/>
    <s v="Mixes"/>
    <x v="0"/>
    <x v="2"/>
    <n v="72900"/>
    <n v="81000"/>
    <n v="7"/>
    <n v="567000"/>
    <n v="510300"/>
    <n v="56700"/>
  </r>
  <r>
    <n v="327"/>
    <d v="2023-03-07T00:00:00"/>
    <x v="1"/>
    <x v="11"/>
    <x v="24"/>
    <x v="1"/>
    <s v="Papads"/>
    <x v="0"/>
    <x v="0"/>
    <n v="9450"/>
    <n v="10500"/>
    <n v="56"/>
    <n v="588000"/>
    <n v="529200"/>
    <n v="58800"/>
  </r>
  <r>
    <n v="328"/>
    <d v="2023-03-08T00:00:00"/>
    <x v="1"/>
    <x v="11"/>
    <x v="8"/>
    <x v="1"/>
    <s v="Heat-and-Eat Meals"/>
    <x v="1"/>
    <x v="0"/>
    <n v="36000"/>
    <n v="40000"/>
    <n v="10"/>
    <n v="400000"/>
    <n v="360000"/>
    <n v="40000"/>
  </r>
  <r>
    <n v="329"/>
    <d v="2023-03-09T00:00:00"/>
    <x v="1"/>
    <x v="11"/>
    <x v="8"/>
    <x v="1"/>
    <s v="Ready-to-Eat Curries "/>
    <x v="1"/>
    <x v="0"/>
    <n v="24300"/>
    <n v="27000"/>
    <n v="9"/>
    <n v="243000"/>
    <n v="218700"/>
    <n v="24300"/>
  </r>
  <r>
    <n v="330"/>
    <d v="2023-03-10T00:00:00"/>
    <x v="1"/>
    <x v="11"/>
    <x v="5"/>
    <x v="1"/>
    <s v="Frozen Snacks"/>
    <x v="1"/>
    <x v="0"/>
    <n v="9180"/>
    <n v="10200"/>
    <n v="27"/>
    <n v="275400"/>
    <n v="247860"/>
    <n v="27540"/>
  </r>
  <r>
    <n v="331"/>
    <d v="2023-03-11T00:00:00"/>
    <x v="1"/>
    <x v="11"/>
    <x v="12"/>
    <x v="1"/>
    <s v="Traditional Sweets "/>
    <x v="2"/>
    <x v="0"/>
    <n v="8640"/>
    <n v="9600"/>
    <n v="15"/>
    <n v="144000"/>
    <n v="129600"/>
    <n v="14400"/>
  </r>
  <r>
    <n v="332"/>
    <d v="2023-03-12T00:00:00"/>
    <x v="1"/>
    <x v="11"/>
    <x v="20"/>
    <x v="1"/>
    <s v="Dry Sweets "/>
    <x v="2"/>
    <x v="0"/>
    <n v="8280"/>
    <n v="9200"/>
    <n v="3"/>
    <n v="27600"/>
    <n v="24840"/>
    <n v="2760"/>
  </r>
  <r>
    <n v="333"/>
    <d v="2023-03-13T00:00:00"/>
    <x v="1"/>
    <x v="11"/>
    <x v="20"/>
    <x v="1"/>
    <s v="Milk-based Sweets "/>
    <x v="2"/>
    <x v="2"/>
    <n v="4950"/>
    <n v="5500"/>
    <n v="9"/>
    <n v="49500"/>
    <n v="44550"/>
    <n v="4950"/>
  </r>
  <r>
    <n v="334"/>
    <d v="2023-03-14T00:00:00"/>
    <x v="1"/>
    <x v="11"/>
    <x v="0"/>
    <x v="1"/>
    <s v="Syrup-based Sweets"/>
    <x v="2"/>
    <x v="2"/>
    <n v="3150"/>
    <n v="3500"/>
    <n v="22"/>
    <n v="77000"/>
    <n v="69300"/>
    <n v="7700"/>
  </r>
  <r>
    <n v="335"/>
    <d v="2023-03-15T00:00:00"/>
    <x v="1"/>
    <x v="11"/>
    <x v="11"/>
    <x v="2"/>
    <s v="Gift Packs"/>
    <x v="2"/>
    <x v="2"/>
    <n v="2700"/>
    <n v="3000"/>
    <n v="16"/>
    <n v="48000"/>
    <n v="43200"/>
    <n v="4800"/>
  </r>
  <r>
    <n v="336"/>
    <d v="2023-03-16T00:00:00"/>
    <x v="1"/>
    <x v="11"/>
    <x v="24"/>
    <x v="2"/>
    <s v="Traditional Sweets "/>
    <x v="2"/>
    <x v="0"/>
    <n v="4050"/>
    <n v="4500"/>
    <n v="6"/>
    <n v="27000"/>
    <n v="24300"/>
    <n v="2700"/>
  </r>
  <r>
    <n v="337"/>
    <d v="2023-03-17T00:00:00"/>
    <x v="1"/>
    <x v="11"/>
    <x v="2"/>
    <x v="2"/>
    <s v="Dry Sweets "/>
    <x v="2"/>
    <x v="0"/>
    <n v="53100"/>
    <n v="59000"/>
    <n v="3"/>
    <n v="177000"/>
    <n v="159300"/>
    <n v="17700"/>
  </r>
  <r>
    <n v="338"/>
    <d v="2023-03-18T00:00:00"/>
    <x v="1"/>
    <x v="11"/>
    <x v="3"/>
    <x v="2"/>
    <s v="Milk-based Sweets "/>
    <x v="2"/>
    <x v="0"/>
    <n v="88200"/>
    <n v="98000"/>
    <n v="5"/>
    <n v="490000"/>
    <n v="441000"/>
    <n v="49000"/>
  </r>
  <r>
    <n v="339"/>
    <d v="2023-03-19T00:00:00"/>
    <x v="1"/>
    <x v="11"/>
    <x v="8"/>
    <x v="2"/>
    <s v="Syrup-based Sweets"/>
    <x v="2"/>
    <x v="1"/>
    <n v="38250"/>
    <n v="42500"/>
    <n v="1"/>
    <n v="42500"/>
    <n v="38250"/>
    <n v="4250"/>
  </r>
  <r>
    <n v="340"/>
    <d v="2023-03-20T00:00:00"/>
    <x v="1"/>
    <x v="11"/>
    <x v="8"/>
    <x v="2"/>
    <s v="Gift Packs"/>
    <x v="2"/>
    <x v="1"/>
    <n v="2700"/>
    <n v="3000"/>
    <n v="5"/>
    <n v="15000"/>
    <n v="13500"/>
    <n v="1500"/>
  </r>
  <r>
    <n v="341"/>
    <d v="2023-03-21T00:00:00"/>
    <x v="1"/>
    <x v="11"/>
    <x v="18"/>
    <x v="2"/>
    <s v="Gift Packs"/>
    <x v="2"/>
    <x v="1"/>
    <n v="23850"/>
    <n v="26500"/>
    <n v="7"/>
    <n v="185500"/>
    <n v="166950"/>
    <n v="18550"/>
  </r>
  <r>
    <n v="342"/>
    <d v="2023-03-22T00:00:00"/>
    <x v="1"/>
    <x v="11"/>
    <x v="2"/>
    <x v="2"/>
    <s v="Traditional Sweets "/>
    <x v="2"/>
    <x v="0"/>
    <n v="24750"/>
    <n v="27500"/>
    <n v="4"/>
    <n v="110000"/>
    <n v="99000"/>
    <n v="11000"/>
  </r>
  <r>
    <n v="343"/>
    <d v="2023-03-23T00:00:00"/>
    <x v="1"/>
    <x v="11"/>
    <x v="0"/>
    <x v="2"/>
    <s v="Ready-to-Eat Curries "/>
    <x v="1"/>
    <x v="2"/>
    <n v="44550"/>
    <n v="49500"/>
    <n v="8"/>
    <n v="396000"/>
    <n v="356400"/>
    <n v="39600"/>
  </r>
  <r>
    <n v="344"/>
    <d v="2023-03-24T00:00:00"/>
    <x v="1"/>
    <x v="11"/>
    <x v="2"/>
    <x v="2"/>
    <s v="Instant Mixes"/>
    <x v="1"/>
    <x v="2"/>
    <n v="9000"/>
    <n v="10000"/>
    <n v="8"/>
    <n v="80000"/>
    <n v="72000"/>
    <n v="8000"/>
  </r>
  <r>
    <n v="345"/>
    <d v="2023-03-25T00:00:00"/>
    <x v="1"/>
    <x v="11"/>
    <x v="6"/>
    <x v="2"/>
    <s v="Frozen Snacks"/>
    <x v="1"/>
    <x v="0"/>
    <n v="8640"/>
    <n v="9600"/>
    <n v="9"/>
    <n v="86400"/>
    <n v="77760"/>
    <n v="8640"/>
  </r>
  <r>
    <n v="346"/>
    <d v="2023-03-26T00:00:00"/>
    <x v="1"/>
    <x v="11"/>
    <x v="20"/>
    <x v="2"/>
    <s v="Parathas"/>
    <x v="1"/>
    <x v="0"/>
    <n v="9000"/>
    <n v="10000"/>
    <n v="2"/>
    <n v="20000"/>
    <n v="18000"/>
    <n v="2000"/>
  </r>
  <r>
    <n v="347"/>
    <d v="2023-03-27T00:00:00"/>
    <x v="1"/>
    <x v="11"/>
    <x v="12"/>
    <x v="2"/>
    <s v="Heat-and-Eat Meals"/>
    <x v="1"/>
    <x v="0"/>
    <n v="3870"/>
    <n v="4300"/>
    <n v="1"/>
    <n v="4300"/>
    <n v="3870"/>
    <n v="430"/>
  </r>
  <r>
    <n v="348"/>
    <d v="2023-03-28T00:00:00"/>
    <x v="1"/>
    <x v="11"/>
    <x v="8"/>
    <x v="2"/>
    <s v="Ready-to-Eat Curries "/>
    <x v="1"/>
    <x v="0"/>
    <n v="45450"/>
    <n v="50500"/>
    <n v="22"/>
    <n v="1111000"/>
    <n v="999900"/>
    <n v="111100"/>
  </r>
  <r>
    <n v="349"/>
    <d v="2023-03-29T00:00:00"/>
    <x v="1"/>
    <x v="11"/>
    <x v="20"/>
    <x v="2"/>
    <s v="Frozen Snacks"/>
    <x v="1"/>
    <x v="0"/>
    <n v="18225"/>
    <n v="20250"/>
    <n v="8"/>
    <n v="162000"/>
    <n v="145800"/>
    <n v="16200"/>
  </r>
  <r>
    <n v="350"/>
    <d v="2023-03-30T00:00:00"/>
    <x v="1"/>
    <x v="11"/>
    <x v="8"/>
    <x v="2"/>
    <s v="Ready-to-Eat Curries "/>
    <x v="1"/>
    <x v="0"/>
    <n v="1800"/>
    <n v="2000"/>
    <n v="7"/>
    <n v="14000"/>
    <n v="12600"/>
    <n v="1400"/>
  </r>
  <r>
    <n v="351"/>
    <d v="2023-03-31T00:00:00"/>
    <x v="1"/>
    <x v="11"/>
    <x v="27"/>
    <x v="2"/>
    <s v="Instant Mixes"/>
    <x v="1"/>
    <x v="2"/>
    <n v="48600"/>
    <n v="54000"/>
    <n v="56"/>
    <n v="3024000"/>
    <n v="2721600"/>
    <n v="302400"/>
  </r>
  <r>
    <n v="352"/>
    <d v="2023-04-01T00:00:00"/>
    <x v="1"/>
    <x v="0"/>
    <x v="8"/>
    <x v="2"/>
    <s v="Frozen Snacks"/>
    <x v="1"/>
    <x v="2"/>
    <n v="72900"/>
    <n v="81000"/>
    <n v="10"/>
    <n v="810000"/>
    <n v="729000"/>
    <n v="81000"/>
  </r>
  <r>
    <n v="353"/>
    <d v="2023-04-02T00:00:00"/>
    <x v="1"/>
    <x v="0"/>
    <x v="5"/>
    <x v="2"/>
    <s v="Parathas"/>
    <x v="1"/>
    <x v="2"/>
    <n v="9450"/>
    <n v="10500"/>
    <n v="9"/>
    <n v="94500"/>
    <n v="85050"/>
    <n v="9450"/>
  </r>
  <r>
    <n v="354"/>
    <d v="2023-04-03T00:00:00"/>
    <x v="1"/>
    <x v="0"/>
    <x v="27"/>
    <x v="2"/>
    <s v="Heat-and-Eat Meals"/>
    <x v="1"/>
    <x v="0"/>
    <n v="36000"/>
    <n v="40000"/>
    <n v="27"/>
    <n v="1080000"/>
    <n v="972000"/>
    <n v="108000"/>
  </r>
  <r>
    <n v="355"/>
    <d v="2023-04-04T00:00:00"/>
    <x v="1"/>
    <x v="0"/>
    <x v="16"/>
    <x v="2"/>
    <s v="Ready-to-Eat Curries "/>
    <x v="1"/>
    <x v="0"/>
    <n v="24300"/>
    <n v="27000"/>
    <n v="15"/>
    <n v="405000"/>
    <n v="364500"/>
    <n v="40500"/>
  </r>
  <r>
    <n v="356"/>
    <d v="2023-04-05T00:00:00"/>
    <x v="1"/>
    <x v="0"/>
    <x v="8"/>
    <x v="2"/>
    <s v="Frozen Snacks"/>
    <x v="1"/>
    <x v="0"/>
    <n v="9180"/>
    <n v="10200"/>
    <n v="3"/>
    <n v="30600"/>
    <n v="27540"/>
    <n v="3060"/>
  </r>
  <r>
    <n v="357"/>
    <d v="2023-04-06T00:00:00"/>
    <x v="1"/>
    <x v="0"/>
    <x v="2"/>
    <x v="2"/>
    <s v="Traditional Sweets "/>
    <x v="2"/>
    <x v="0"/>
    <n v="8640"/>
    <n v="9600"/>
    <n v="9"/>
    <n v="86400"/>
    <n v="77760"/>
    <n v="8640"/>
  </r>
  <r>
    <n v="358"/>
    <d v="2023-04-07T00:00:00"/>
    <x v="1"/>
    <x v="0"/>
    <x v="9"/>
    <x v="0"/>
    <s v="Dry Sweets "/>
    <x v="2"/>
    <x v="0"/>
    <n v="8280"/>
    <n v="9200"/>
    <n v="22"/>
    <n v="202400"/>
    <n v="182160"/>
    <n v="20240"/>
  </r>
  <r>
    <n v="359"/>
    <d v="2023-04-08T00:00:00"/>
    <x v="1"/>
    <x v="0"/>
    <x v="12"/>
    <x v="0"/>
    <s v="Milk-based Sweets "/>
    <x v="2"/>
    <x v="0"/>
    <n v="4950"/>
    <n v="5500"/>
    <n v="16"/>
    <n v="88000"/>
    <n v="79200"/>
    <n v="8800"/>
  </r>
  <r>
    <n v="360"/>
    <d v="2023-04-09T00:00:00"/>
    <x v="1"/>
    <x v="0"/>
    <x v="18"/>
    <x v="0"/>
    <s v="Syrup-based Sweets"/>
    <x v="2"/>
    <x v="0"/>
    <n v="3150"/>
    <n v="3500"/>
    <n v="6"/>
    <n v="21000"/>
    <n v="18900"/>
    <n v="2100"/>
  </r>
  <r>
    <n v="361"/>
    <d v="2023-04-10T00:00:00"/>
    <x v="1"/>
    <x v="0"/>
    <x v="2"/>
    <x v="0"/>
    <s v="Gift Packs"/>
    <x v="2"/>
    <x v="2"/>
    <n v="2700"/>
    <n v="3000"/>
    <n v="3"/>
    <n v="9000"/>
    <n v="8100"/>
    <n v="900"/>
  </r>
  <r>
    <n v="362"/>
    <d v="2023-04-11T00:00:00"/>
    <x v="1"/>
    <x v="0"/>
    <x v="2"/>
    <x v="0"/>
    <s v="Traditional Sweets "/>
    <x v="2"/>
    <x v="2"/>
    <n v="4050"/>
    <n v="4500"/>
    <n v="5"/>
    <n v="22500"/>
    <n v="20250"/>
    <n v="2250"/>
  </r>
  <r>
    <n v="363"/>
    <d v="2023-04-12T00:00:00"/>
    <x v="1"/>
    <x v="0"/>
    <x v="3"/>
    <x v="0"/>
    <s v="Dry Sweets "/>
    <x v="2"/>
    <x v="0"/>
    <n v="53100"/>
    <n v="59000"/>
    <n v="1"/>
    <n v="59000"/>
    <n v="53100"/>
    <n v="5900"/>
  </r>
  <r>
    <n v="364"/>
    <d v="2023-04-13T00:00:00"/>
    <x v="1"/>
    <x v="0"/>
    <x v="19"/>
    <x v="0"/>
    <s v="Milk-based Sweets "/>
    <x v="2"/>
    <x v="0"/>
    <n v="88200"/>
    <n v="98000"/>
    <n v="5"/>
    <n v="490000"/>
    <n v="441000"/>
    <n v="49000"/>
  </r>
  <r>
    <n v="365"/>
    <d v="2023-04-14T00:00:00"/>
    <x v="1"/>
    <x v="0"/>
    <x v="21"/>
    <x v="0"/>
    <s v="Syrup-based Sweets"/>
    <x v="2"/>
    <x v="0"/>
    <n v="8640"/>
    <n v="9600"/>
    <n v="7"/>
    <n v="67200"/>
    <n v="60480"/>
    <n v="6720"/>
  </r>
  <r>
    <n v="366"/>
    <d v="2023-04-15T00:00:00"/>
    <x v="1"/>
    <x v="0"/>
    <x v="2"/>
    <x v="0"/>
    <s v="Gift Packs"/>
    <x v="2"/>
    <x v="1"/>
    <n v="8280"/>
    <n v="9200"/>
    <n v="4"/>
    <n v="36800"/>
    <n v="33120"/>
    <n v="3680"/>
  </r>
  <r>
    <n v="367"/>
    <d v="2022-02-16T00:00:00"/>
    <x v="0"/>
    <x v="10"/>
    <x v="8"/>
    <x v="0"/>
    <s v="Gift Packs"/>
    <x v="2"/>
    <x v="0"/>
    <n v="4950"/>
    <n v="5500"/>
    <n v="8"/>
    <n v="44000"/>
    <n v="39600"/>
    <n v="4400"/>
  </r>
  <r>
    <n v="368"/>
    <d v="2022-02-16T00:00:00"/>
    <x v="0"/>
    <x v="10"/>
    <x v="20"/>
    <x v="0"/>
    <s v="Traditional Sweets "/>
    <x v="2"/>
    <x v="1"/>
    <n v="3150"/>
    <n v="3500"/>
    <n v="8"/>
    <n v="28000"/>
    <n v="25200"/>
    <n v="2800"/>
  </r>
  <r>
    <n v="369"/>
    <d v="2022-02-16T00:00:00"/>
    <x v="0"/>
    <x v="10"/>
    <x v="24"/>
    <x v="0"/>
    <s v="Ready-to-Eat Curries "/>
    <x v="1"/>
    <x v="2"/>
    <n v="2700"/>
    <n v="3000"/>
    <n v="9"/>
    <n v="27000"/>
    <n v="24300"/>
    <n v="2700"/>
  </r>
  <r>
    <n v="370"/>
    <d v="2022-02-16T00:00:00"/>
    <x v="0"/>
    <x v="10"/>
    <x v="12"/>
    <x v="0"/>
    <s v="Instant Mixes"/>
    <x v="1"/>
    <x v="2"/>
    <n v="4050"/>
    <n v="4500"/>
    <n v="2"/>
    <n v="9000"/>
    <n v="8100"/>
    <n v="900"/>
  </r>
  <r>
    <n v="371"/>
    <d v="2022-02-16T00:00:00"/>
    <x v="0"/>
    <x v="10"/>
    <x v="9"/>
    <x v="0"/>
    <s v="Frozen Snacks"/>
    <x v="1"/>
    <x v="2"/>
    <n v="53100"/>
    <n v="59000"/>
    <n v="1"/>
    <n v="59000"/>
    <n v="53100"/>
    <n v="5900"/>
  </r>
  <r>
    <n v="372"/>
    <d v="2022-02-16T00:00:00"/>
    <x v="0"/>
    <x v="10"/>
    <x v="8"/>
    <x v="0"/>
    <s v="Parathas"/>
    <x v="1"/>
    <x v="0"/>
    <n v="88200"/>
    <n v="98000"/>
    <n v="22"/>
    <n v="2156000"/>
    <n v="1940400"/>
    <n v="215600"/>
  </r>
  <r>
    <n v="373"/>
    <d v="2022-02-16T00:00:00"/>
    <x v="0"/>
    <x v="10"/>
    <x v="8"/>
    <x v="0"/>
    <s v="Heat-and-Eat Meals"/>
    <x v="1"/>
    <x v="0"/>
    <n v="38250"/>
    <n v="42500"/>
    <n v="8"/>
    <n v="340000"/>
    <n v="306000"/>
    <n v="34000"/>
  </r>
  <r>
    <n v="374"/>
    <d v="2022-02-16T00:00:00"/>
    <x v="0"/>
    <x v="10"/>
    <x v="8"/>
    <x v="0"/>
    <s v="Ready-to-Eat Curries "/>
    <x v="1"/>
    <x v="1"/>
    <n v="2700"/>
    <n v="3000"/>
    <n v="7"/>
    <n v="21000"/>
    <n v="18900"/>
    <n v="2100"/>
  </r>
  <r>
    <n v="375"/>
    <d v="2022-02-16T00:00:00"/>
    <x v="0"/>
    <x v="10"/>
    <x v="2"/>
    <x v="0"/>
    <s v="Frozen Snacks"/>
    <x v="1"/>
    <x v="0"/>
    <n v="23850"/>
    <n v="26500"/>
    <n v="56"/>
    <n v="1484000"/>
    <n v="1335600"/>
    <n v="148400"/>
  </r>
  <r>
    <n v="376"/>
    <d v="2023-04-25T00:00:00"/>
    <x v="1"/>
    <x v="0"/>
    <x v="8"/>
    <x v="0"/>
    <s v="Ready-to-Eat Curries "/>
    <x v="1"/>
    <x v="0"/>
    <n v="24750"/>
    <n v="27500"/>
    <n v="10"/>
    <n v="275000"/>
    <n v="247500"/>
    <n v="27500"/>
  </r>
  <r>
    <n v="377"/>
    <d v="2023-04-26T00:00:00"/>
    <x v="1"/>
    <x v="0"/>
    <x v="8"/>
    <x v="0"/>
    <s v="Namkeen"/>
    <x v="0"/>
    <x v="0"/>
    <n v="44550"/>
    <n v="49500"/>
    <n v="9"/>
    <n v="445500"/>
    <n v="400950"/>
    <n v="44550"/>
  </r>
  <r>
    <n v="378"/>
    <d v="2023-04-27T00:00:00"/>
    <x v="1"/>
    <x v="0"/>
    <x v="2"/>
    <x v="0"/>
    <s v="Chips &amp; Wafers "/>
    <x v="0"/>
    <x v="0"/>
    <n v="9000"/>
    <n v="10000"/>
    <n v="27"/>
    <n v="270000"/>
    <n v="243000"/>
    <n v="27000"/>
  </r>
  <r>
    <n v="379"/>
    <d v="2023-04-28T00:00:00"/>
    <x v="1"/>
    <x v="0"/>
    <x v="2"/>
    <x v="0"/>
    <s v="Samosas"/>
    <x v="0"/>
    <x v="2"/>
    <n v="8640"/>
    <n v="9600"/>
    <n v="15"/>
    <n v="144000"/>
    <n v="129600"/>
    <n v="14400"/>
  </r>
  <r>
    <n v="380"/>
    <d v="2023-04-29T00:00:00"/>
    <x v="1"/>
    <x v="0"/>
    <x v="8"/>
    <x v="0"/>
    <s v="Kachoris"/>
    <x v="0"/>
    <x v="2"/>
    <n v="9000"/>
    <n v="10000"/>
    <n v="3"/>
    <n v="30000"/>
    <n v="27000"/>
    <n v="3000"/>
  </r>
  <r>
    <n v="381"/>
    <d v="2023-04-30T00:00:00"/>
    <x v="1"/>
    <x v="0"/>
    <x v="8"/>
    <x v="0"/>
    <s v="Bhujia"/>
    <x v="0"/>
    <x v="0"/>
    <n v="3870"/>
    <n v="4300"/>
    <n v="9"/>
    <n v="38700"/>
    <n v="34830"/>
    <n v="3870"/>
  </r>
  <r>
    <n v="382"/>
    <d v="2023-05-01T00:00:00"/>
    <x v="1"/>
    <x v="1"/>
    <x v="24"/>
    <x v="0"/>
    <s v="Mixes"/>
    <x v="0"/>
    <x v="0"/>
    <n v="8640"/>
    <n v="9600"/>
    <n v="22"/>
    <n v="211200"/>
    <n v="190080"/>
    <n v="21120"/>
  </r>
  <r>
    <n v="383"/>
    <d v="2023-05-02T00:00:00"/>
    <x v="1"/>
    <x v="1"/>
    <x v="6"/>
    <x v="0"/>
    <s v="Ready-to-Eat Curries "/>
    <x v="1"/>
    <x v="0"/>
    <n v="8280"/>
    <n v="9200"/>
    <n v="16"/>
    <n v="147200"/>
    <n v="132480"/>
    <n v="14720"/>
  </r>
  <r>
    <n v="384"/>
    <d v="2023-05-03T00:00:00"/>
    <x v="1"/>
    <x v="1"/>
    <x v="2"/>
    <x v="0"/>
    <s v="Instant Mixes"/>
    <x v="1"/>
    <x v="0"/>
    <n v="4950"/>
    <n v="5500"/>
    <n v="6"/>
    <n v="33000"/>
    <n v="29700"/>
    <n v="3300"/>
  </r>
  <r>
    <n v="385"/>
    <d v="2023-05-04T00:00:00"/>
    <x v="1"/>
    <x v="1"/>
    <x v="8"/>
    <x v="0"/>
    <s v="Frozen Snacks"/>
    <x v="1"/>
    <x v="0"/>
    <n v="3150"/>
    <n v="3500"/>
    <n v="3"/>
    <n v="10500"/>
    <n v="9450"/>
    <n v="1050"/>
  </r>
  <r>
    <n v="386"/>
    <d v="2023-05-05T00:00:00"/>
    <x v="1"/>
    <x v="1"/>
    <x v="9"/>
    <x v="0"/>
    <s v="Parathas"/>
    <x v="1"/>
    <x v="0"/>
    <n v="2700"/>
    <n v="3000"/>
    <n v="5"/>
    <n v="15000"/>
    <n v="13500"/>
    <n v="1500"/>
  </r>
  <r>
    <n v="387"/>
    <d v="2023-05-06T00:00:00"/>
    <x v="1"/>
    <x v="1"/>
    <x v="8"/>
    <x v="0"/>
    <s v="Nut-based Snacks "/>
    <x v="0"/>
    <x v="2"/>
    <n v="4050"/>
    <n v="4500"/>
    <n v="1"/>
    <n v="4500"/>
    <n v="4050"/>
    <n v="450"/>
  </r>
  <r>
    <n v="388"/>
    <d v="2023-05-07T00:00:00"/>
    <x v="1"/>
    <x v="1"/>
    <x v="8"/>
    <x v="0"/>
    <s v="Papads"/>
    <x v="0"/>
    <x v="2"/>
    <n v="53100"/>
    <n v="59000"/>
    <n v="5"/>
    <n v="295000"/>
    <n v="265500"/>
    <n v="29500"/>
  </r>
  <r>
    <n v="389"/>
    <d v="2023-05-08T00:00:00"/>
    <x v="1"/>
    <x v="1"/>
    <x v="7"/>
    <x v="0"/>
    <s v="Namkeens"/>
    <x v="0"/>
    <x v="2"/>
    <n v="88200"/>
    <n v="98000"/>
    <n v="7"/>
    <n v="686000"/>
    <n v="617400"/>
    <n v="68600"/>
  </r>
  <r>
    <n v="390"/>
    <d v="2023-05-09T00:00:00"/>
    <x v="1"/>
    <x v="1"/>
    <x v="9"/>
    <x v="0"/>
    <s v="Chips &amp; Wafers "/>
    <x v="0"/>
    <x v="0"/>
    <n v="38250"/>
    <n v="42500"/>
    <n v="4"/>
    <n v="170000"/>
    <n v="153000"/>
    <n v="17000"/>
  </r>
  <r>
    <n v="391"/>
    <d v="2023-05-10T00:00:00"/>
    <x v="1"/>
    <x v="1"/>
    <x v="11"/>
    <x v="0"/>
    <s v="Samosas"/>
    <x v="0"/>
    <x v="0"/>
    <n v="2700"/>
    <n v="3000"/>
    <n v="8"/>
    <n v="24000"/>
    <n v="21600"/>
    <n v="2400"/>
  </r>
  <r>
    <n v="392"/>
    <d v="2023-05-11T00:00:00"/>
    <x v="1"/>
    <x v="1"/>
    <x v="0"/>
    <x v="0"/>
    <s v="Kachoris"/>
    <x v="0"/>
    <x v="0"/>
    <n v="23850"/>
    <n v="26500"/>
    <n v="8"/>
    <n v="212000"/>
    <n v="190800"/>
    <n v="21200"/>
  </r>
  <r>
    <n v="393"/>
    <d v="2023-05-12T00:00:00"/>
    <x v="1"/>
    <x v="1"/>
    <x v="8"/>
    <x v="0"/>
    <s v="Bhujia"/>
    <x v="0"/>
    <x v="1"/>
    <n v="24750"/>
    <n v="27500"/>
    <n v="9"/>
    <n v="247500"/>
    <n v="222750"/>
    <n v="24750"/>
  </r>
  <r>
    <n v="394"/>
    <d v="2023-05-13T00:00:00"/>
    <x v="1"/>
    <x v="1"/>
    <x v="21"/>
    <x v="0"/>
    <s v="Mixes"/>
    <x v="0"/>
    <x v="1"/>
    <n v="44550"/>
    <n v="49500"/>
    <n v="2"/>
    <n v="99000"/>
    <n v="89100"/>
    <n v="9900"/>
  </r>
  <r>
    <n v="395"/>
    <d v="2023-05-14T00:00:00"/>
    <x v="1"/>
    <x v="1"/>
    <x v="2"/>
    <x v="0"/>
    <s v="Papads"/>
    <x v="0"/>
    <x v="1"/>
    <n v="9000"/>
    <n v="10000"/>
    <n v="1"/>
    <n v="10000"/>
    <n v="9000"/>
    <n v="1000"/>
  </r>
  <r>
    <n v="396"/>
    <d v="2023-05-15T00:00:00"/>
    <x v="1"/>
    <x v="1"/>
    <x v="8"/>
    <x v="0"/>
    <s v="Heat-and-Eat Meals"/>
    <x v="1"/>
    <x v="0"/>
    <n v="8640"/>
    <n v="9600"/>
    <n v="22"/>
    <n v="211200"/>
    <n v="190080"/>
    <n v="21120"/>
  </r>
  <r>
    <n v="397"/>
    <d v="2023-05-16T00:00:00"/>
    <x v="1"/>
    <x v="1"/>
    <x v="9"/>
    <x v="0"/>
    <s v="Ready-to-Eat Curries "/>
    <x v="1"/>
    <x v="2"/>
    <n v="9000"/>
    <n v="10000"/>
    <n v="8"/>
    <n v="80000"/>
    <n v="72000"/>
    <n v="8000"/>
  </r>
  <r>
    <n v="398"/>
    <d v="2023-05-17T00:00:00"/>
    <x v="1"/>
    <x v="1"/>
    <x v="0"/>
    <x v="0"/>
    <s v="Frozen Snacks"/>
    <x v="1"/>
    <x v="2"/>
    <n v="3870"/>
    <n v="4300"/>
    <n v="7"/>
    <n v="30100"/>
    <n v="27090"/>
    <n v="3010"/>
  </r>
  <r>
    <n v="399"/>
    <d v="2023-05-18T00:00:00"/>
    <x v="1"/>
    <x v="1"/>
    <x v="9"/>
    <x v="0"/>
    <s v="Traditional Sweets "/>
    <x v="2"/>
    <x v="0"/>
    <n v="8280"/>
    <n v="9200"/>
    <n v="56"/>
    <n v="515200"/>
    <n v="463680"/>
    <n v="51520"/>
  </r>
  <r>
    <n v="400"/>
    <d v="2023-05-19T00:00:00"/>
    <x v="1"/>
    <x v="1"/>
    <x v="5"/>
    <x v="0"/>
    <s v="Dry Sweets "/>
    <x v="2"/>
    <x v="0"/>
    <n v="4950"/>
    <n v="5500"/>
    <n v="10"/>
    <n v="55000"/>
    <n v="49500"/>
    <n v="5500"/>
  </r>
  <r>
    <n v="401"/>
    <d v="2023-05-20T00:00:00"/>
    <x v="1"/>
    <x v="1"/>
    <x v="8"/>
    <x v="0"/>
    <s v="Milk-based Sweets "/>
    <x v="2"/>
    <x v="1"/>
    <n v="3150"/>
    <n v="3500"/>
    <n v="9"/>
    <n v="31500"/>
    <n v="28350"/>
    <n v="3150"/>
  </r>
  <r>
    <n v="402"/>
    <d v="2023-05-21T00:00:00"/>
    <x v="1"/>
    <x v="1"/>
    <x v="5"/>
    <x v="0"/>
    <s v="Syrup-based Sweets"/>
    <x v="2"/>
    <x v="0"/>
    <n v="2700"/>
    <n v="3000"/>
    <n v="27"/>
    <n v="81000"/>
    <n v="72900"/>
    <n v="8100"/>
  </r>
  <r>
    <n v="403"/>
    <d v="2023-05-22T00:00:00"/>
    <x v="1"/>
    <x v="1"/>
    <x v="9"/>
    <x v="0"/>
    <s v="Gift Packs"/>
    <x v="2"/>
    <x v="0"/>
    <n v="4050"/>
    <n v="4500"/>
    <n v="15"/>
    <n v="67500"/>
    <n v="60750"/>
    <n v="6750"/>
  </r>
  <r>
    <n v="404"/>
    <d v="2023-05-23T00:00:00"/>
    <x v="1"/>
    <x v="1"/>
    <x v="23"/>
    <x v="0"/>
    <s v="Traditional Sweets "/>
    <x v="2"/>
    <x v="0"/>
    <n v="8280"/>
    <n v="9200"/>
    <n v="3"/>
    <n v="27600"/>
    <n v="24840"/>
    <n v="2760"/>
  </r>
  <r>
    <n v="405"/>
    <d v="2023-05-24T00:00:00"/>
    <x v="1"/>
    <x v="1"/>
    <x v="17"/>
    <x v="0"/>
    <s v="Dry Sweets "/>
    <x v="2"/>
    <x v="2"/>
    <n v="4950"/>
    <n v="5500"/>
    <n v="9"/>
    <n v="49500"/>
    <n v="44550"/>
    <n v="4950"/>
  </r>
  <r>
    <n v="406"/>
    <d v="2022-01-26T00:00:00"/>
    <x v="0"/>
    <x v="9"/>
    <x v="2"/>
    <x v="0"/>
    <s v="Milk-based Sweets "/>
    <x v="2"/>
    <x v="2"/>
    <n v="3150"/>
    <n v="3500"/>
    <n v="22"/>
    <n v="77000"/>
    <n v="69300"/>
    <n v="7700"/>
  </r>
  <r>
    <n v="407"/>
    <d v="2022-01-26T00:00:00"/>
    <x v="0"/>
    <x v="9"/>
    <x v="6"/>
    <x v="0"/>
    <s v="Syrup-based Sweets"/>
    <x v="2"/>
    <x v="2"/>
    <n v="2700"/>
    <n v="3000"/>
    <n v="16"/>
    <n v="48000"/>
    <n v="43200"/>
    <n v="4800"/>
  </r>
  <r>
    <n v="408"/>
    <d v="2022-01-26T00:00:00"/>
    <x v="0"/>
    <x v="9"/>
    <x v="5"/>
    <x v="0"/>
    <s v="Gift Packs"/>
    <x v="2"/>
    <x v="0"/>
    <n v="4050"/>
    <n v="4500"/>
    <n v="6"/>
    <n v="27000"/>
    <n v="24300"/>
    <n v="2700"/>
  </r>
  <r>
    <n v="409"/>
    <d v="2022-01-26T00:00:00"/>
    <x v="0"/>
    <x v="9"/>
    <x v="2"/>
    <x v="0"/>
    <s v="Gift Packs"/>
    <x v="2"/>
    <x v="0"/>
    <n v="8280"/>
    <n v="9200"/>
    <n v="3"/>
    <n v="27600"/>
    <n v="24840"/>
    <n v="2760"/>
  </r>
  <r>
    <n v="410"/>
    <d v="2022-01-26T00:00:00"/>
    <x v="0"/>
    <x v="9"/>
    <x v="10"/>
    <x v="0"/>
    <s v="Traditional Sweets "/>
    <x v="2"/>
    <x v="0"/>
    <n v="4950"/>
    <n v="5500"/>
    <n v="5"/>
    <n v="27500"/>
    <n v="24750"/>
    <n v="2750"/>
  </r>
  <r>
    <n v="411"/>
    <d v="2022-01-26T00:00:00"/>
    <x v="0"/>
    <x v="9"/>
    <x v="2"/>
    <x v="0"/>
    <s v="Namkeen"/>
    <x v="0"/>
    <x v="0"/>
    <n v="3150"/>
    <n v="3500"/>
    <n v="1"/>
    <n v="3500"/>
    <n v="3150"/>
    <n v="350"/>
  </r>
  <r>
    <n v="412"/>
    <d v="2022-01-26T00:00:00"/>
    <x v="0"/>
    <x v="9"/>
    <x v="8"/>
    <x v="0"/>
    <s v="Chips &amp; Wafers "/>
    <x v="0"/>
    <x v="0"/>
    <n v="2700"/>
    <n v="3000"/>
    <n v="5"/>
    <n v="15000"/>
    <n v="13500"/>
    <n v="1500"/>
  </r>
  <r>
    <n v="413"/>
    <d v="2022-01-26T00:00:00"/>
    <x v="0"/>
    <x v="9"/>
    <x v="11"/>
    <x v="0"/>
    <s v="Samosas"/>
    <x v="0"/>
    <x v="0"/>
    <n v="4050"/>
    <n v="4500"/>
    <n v="7"/>
    <n v="31500"/>
    <n v="28350"/>
    <n v="3150"/>
  </r>
  <r>
    <n v="414"/>
    <d v="2022-01-26T00:00:00"/>
    <x v="0"/>
    <x v="9"/>
    <x v="12"/>
    <x v="0"/>
    <s v="Kachoris"/>
    <x v="0"/>
    <x v="0"/>
    <n v="8280"/>
    <n v="9200"/>
    <n v="4"/>
    <n v="36800"/>
    <n v="33120"/>
    <n v="3680"/>
  </r>
  <r>
    <n v="415"/>
    <d v="2022-01-26T00:00:00"/>
    <x v="0"/>
    <x v="9"/>
    <x v="8"/>
    <x v="0"/>
    <s v="Bhujia"/>
    <x v="0"/>
    <x v="2"/>
    <n v="4950"/>
    <n v="5500"/>
    <n v="8"/>
    <n v="44000"/>
    <n v="39600"/>
    <n v="4400"/>
  </r>
  <r>
    <n v="416"/>
    <d v="2022-01-26T00:00:00"/>
    <x v="0"/>
    <x v="9"/>
    <x v="6"/>
    <x v="0"/>
    <s v="Mixes"/>
    <x v="0"/>
    <x v="2"/>
    <n v="3150"/>
    <n v="3500"/>
    <n v="8"/>
    <n v="28000"/>
    <n v="25200"/>
    <n v="2800"/>
  </r>
  <r>
    <n v="417"/>
    <d v="2022-01-26T00:00:00"/>
    <x v="0"/>
    <x v="9"/>
    <x v="1"/>
    <x v="0"/>
    <s v="Ready-to-Eat Curries "/>
    <x v="1"/>
    <x v="0"/>
    <n v="2700"/>
    <n v="3000"/>
    <n v="9"/>
    <n v="27000"/>
    <n v="24300"/>
    <n v="2700"/>
  </r>
  <r>
    <n v="418"/>
    <d v="2022-01-26T00:00:00"/>
    <x v="0"/>
    <x v="9"/>
    <x v="0"/>
    <x v="0"/>
    <s v="Instant Mixes"/>
    <x v="1"/>
    <x v="0"/>
    <n v="4050"/>
    <n v="4500"/>
    <n v="2"/>
    <n v="9000"/>
    <n v="8100"/>
    <n v="900"/>
  </r>
  <r>
    <n v="419"/>
    <d v="2022-01-26T00:00:00"/>
    <x v="0"/>
    <x v="9"/>
    <x v="6"/>
    <x v="0"/>
    <s v="Frozen Snacks"/>
    <x v="1"/>
    <x v="0"/>
    <n v="24750"/>
    <n v="27500"/>
    <n v="1"/>
    <n v="27500"/>
    <n v="24750"/>
    <n v="2750"/>
  </r>
  <r>
    <n v="420"/>
    <d v="2022-01-26T00:00:00"/>
    <x v="0"/>
    <x v="9"/>
    <x v="18"/>
    <x v="0"/>
    <s v="Parathas"/>
    <x v="1"/>
    <x v="1"/>
    <n v="44550"/>
    <n v="49500"/>
    <n v="22"/>
    <n v="1089000"/>
    <n v="980100"/>
    <n v="108900"/>
  </r>
  <r>
    <n v="421"/>
    <d v="2022-01-26T00:00:00"/>
    <x v="0"/>
    <x v="9"/>
    <x v="16"/>
    <x v="0"/>
    <s v="Nut-based Snacks "/>
    <x v="0"/>
    <x v="1"/>
    <n v="9000"/>
    <n v="10000"/>
    <n v="8"/>
    <n v="80000"/>
    <n v="72000"/>
    <n v="8000"/>
  </r>
  <r>
    <n v="422"/>
    <d v="2022-01-26T00:00:00"/>
    <x v="0"/>
    <x v="9"/>
    <x v="20"/>
    <x v="0"/>
    <s v="Papads"/>
    <x v="0"/>
    <x v="0"/>
    <n v="8640"/>
    <n v="9600"/>
    <n v="7"/>
    <n v="67200"/>
    <n v="60480"/>
    <n v="6720"/>
  </r>
  <r>
    <n v="423"/>
    <d v="2022-01-26T00:00:00"/>
    <x v="0"/>
    <x v="9"/>
    <x v="2"/>
    <x v="0"/>
    <s v="Namkeens"/>
    <x v="0"/>
    <x v="2"/>
    <n v="9000"/>
    <n v="10000"/>
    <n v="56"/>
    <n v="560000"/>
    <n v="504000"/>
    <n v="56000"/>
  </r>
  <r>
    <n v="424"/>
    <d v="2022-01-26T00:00:00"/>
    <x v="0"/>
    <x v="9"/>
    <x v="12"/>
    <x v="0"/>
    <s v="Chips &amp; Wafers "/>
    <x v="0"/>
    <x v="2"/>
    <n v="3870"/>
    <n v="4300"/>
    <n v="10"/>
    <n v="43000"/>
    <n v="38700"/>
    <n v="4300"/>
  </r>
  <r>
    <n v="425"/>
    <d v="2022-01-26T00:00:00"/>
    <x v="0"/>
    <x v="9"/>
    <x v="12"/>
    <x v="0"/>
    <s v="Samosas"/>
    <x v="0"/>
    <x v="0"/>
    <n v="45450"/>
    <n v="50500"/>
    <n v="9"/>
    <n v="454500"/>
    <n v="409050"/>
    <n v="45450"/>
  </r>
  <r>
    <n v="426"/>
    <d v="2023-06-14T00:00:00"/>
    <x v="1"/>
    <x v="3"/>
    <x v="9"/>
    <x v="0"/>
    <s v="Kachoris"/>
    <x v="0"/>
    <x v="2"/>
    <n v="18225"/>
    <n v="20250"/>
    <n v="27"/>
    <n v="546750"/>
    <n v="492075"/>
    <n v="54675"/>
  </r>
  <r>
    <n v="427"/>
    <d v="2023-06-15T00:00:00"/>
    <x v="1"/>
    <x v="3"/>
    <x v="19"/>
    <x v="0"/>
    <s v="Bhujia"/>
    <x v="0"/>
    <x v="2"/>
    <n v="1800"/>
    <n v="2000"/>
    <n v="15"/>
    <n v="30000"/>
    <n v="27000"/>
    <n v="3000"/>
  </r>
  <r>
    <n v="428"/>
    <d v="2023-06-16T00:00:00"/>
    <x v="1"/>
    <x v="3"/>
    <x v="24"/>
    <x v="0"/>
    <s v="Mixes"/>
    <x v="0"/>
    <x v="2"/>
    <n v="48600"/>
    <n v="54000"/>
    <n v="3"/>
    <n v="162000"/>
    <n v="145800"/>
    <n v="16200"/>
  </r>
  <r>
    <n v="429"/>
    <d v="2023-06-17T00:00:00"/>
    <x v="1"/>
    <x v="3"/>
    <x v="0"/>
    <x v="0"/>
    <s v="Papads"/>
    <x v="0"/>
    <x v="0"/>
    <n v="72900"/>
    <n v="81000"/>
    <n v="9"/>
    <n v="729000"/>
    <n v="656100"/>
    <n v="72900"/>
  </r>
  <r>
    <n v="430"/>
    <d v="2023-06-18T00:00:00"/>
    <x v="1"/>
    <x v="3"/>
    <x v="0"/>
    <x v="0"/>
    <s v="Heat-and-Eat Meals"/>
    <x v="1"/>
    <x v="0"/>
    <n v="9450"/>
    <n v="10500"/>
    <n v="22"/>
    <n v="231000"/>
    <n v="207900"/>
    <n v="23100"/>
  </r>
  <r>
    <n v="431"/>
    <d v="2023-06-19T00:00:00"/>
    <x v="1"/>
    <x v="3"/>
    <x v="2"/>
    <x v="0"/>
    <s v="Ready-to-Eat Curries "/>
    <x v="1"/>
    <x v="0"/>
    <n v="36000"/>
    <n v="40000"/>
    <n v="16"/>
    <n v="640000"/>
    <n v="576000"/>
    <n v="64000"/>
  </r>
  <r>
    <n v="432"/>
    <d v="2023-06-20T00:00:00"/>
    <x v="1"/>
    <x v="3"/>
    <x v="6"/>
    <x v="0"/>
    <s v="Frozen Snacks"/>
    <x v="1"/>
    <x v="0"/>
    <n v="24300"/>
    <n v="27000"/>
    <n v="6"/>
    <n v="162000"/>
    <n v="145800"/>
    <n v="16200"/>
  </r>
  <r>
    <n v="433"/>
    <d v="2023-06-21T00:00:00"/>
    <x v="1"/>
    <x v="3"/>
    <x v="16"/>
    <x v="0"/>
    <s v="Traditional Sweets "/>
    <x v="2"/>
    <x v="0"/>
    <n v="9180"/>
    <n v="10200"/>
    <n v="3"/>
    <n v="30600"/>
    <n v="27540"/>
    <n v="3060"/>
  </r>
  <r>
    <n v="434"/>
    <d v="2022-03-26T00:00:00"/>
    <x v="0"/>
    <x v="11"/>
    <x v="24"/>
    <x v="0"/>
    <s v="Dry Sweets "/>
    <x v="2"/>
    <x v="0"/>
    <n v="8640"/>
    <n v="9600"/>
    <n v="5"/>
    <n v="48000"/>
    <n v="43200"/>
    <n v="4800"/>
  </r>
  <r>
    <n v="435"/>
    <d v="2022-03-26T00:00:00"/>
    <x v="0"/>
    <x v="11"/>
    <x v="9"/>
    <x v="0"/>
    <s v="Milk-based Sweets "/>
    <x v="2"/>
    <x v="0"/>
    <n v="8280"/>
    <n v="9200"/>
    <n v="1"/>
    <n v="9200"/>
    <n v="8280"/>
    <n v="920"/>
  </r>
  <r>
    <n v="436"/>
    <d v="2022-03-26T00:00:00"/>
    <x v="0"/>
    <x v="11"/>
    <x v="16"/>
    <x v="0"/>
    <s v="Syrup-based Sweets"/>
    <x v="2"/>
    <x v="2"/>
    <n v="4950"/>
    <n v="5500"/>
    <n v="5"/>
    <n v="27500"/>
    <n v="24750"/>
    <n v="2750"/>
  </r>
  <r>
    <n v="437"/>
    <d v="2022-03-26T00:00:00"/>
    <x v="0"/>
    <x v="11"/>
    <x v="19"/>
    <x v="0"/>
    <s v="Gift Packs"/>
    <x v="2"/>
    <x v="2"/>
    <n v="3150"/>
    <n v="3500"/>
    <n v="7"/>
    <n v="24500"/>
    <n v="22050"/>
    <n v="2450"/>
  </r>
  <r>
    <n v="438"/>
    <d v="2022-03-26T00:00:00"/>
    <x v="0"/>
    <x v="11"/>
    <x v="8"/>
    <x v="0"/>
    <s v="Traditional Sweets "/>
    <x v="2"/>
    <x v="0"/>
    <n v="2700"/>
    <n v="3000"/>
    <n v="4"/>
    <n v="12000"/>
    <n v="10800"/>
    <n v="1200"/>
  </r>
  <r>
    <n v="439"/>
    <d v="2023-06-27T00:00:00"/>
    <x v="1"/>
    <x v="3"/>
    <x v="8"/>
    <x v="0"/>
    <s v="Dry Sweets "/>
    <x v="2"/>
    <x v="0"/>
    <n v="4050"/>
    <n v="4500"/>
    <n v="8"/>
    <n v="36000"/>
    <n v="32400"/>
    <n v="3600"/>
  </r>
  <r>
    <n v="440"/>
    <d v="2023-06-28T00:00:00"/>
    <x v="1"/>
    <x v="3"/>
    <x v="9"/>
    <x v="0"/>
    <s v="Milk-based Sweets "/>
    <x v="2"/>
    <x v="0"/>
    <n v="53100"/>
    <n v="59000"/>
    <n v="8"/>
    <n v="472000"/>
    <n v="424800"/>
    <n v="47200"/>
  </r>
  <r>
    <n v="441"/>
    <d v="2023-06-29T00:00:00"/>
    <x v="1"/>
    <x v="3"/>
    <x v="8"/>
    <x v="0"/>
    <s v="Syrup-based Sweets"/>
    <x v="2"/>
    <x v="1"/>
    <n v="88200"/>
    <n v="98000"/>
    <n v="9"/>
    <n v="882000"/>
    <n v="793800"/>
    <n v="88200"/>
  </r>
  <r>
    <n v="442"/>
    <d v="2023-06-30T00:00:00"/>
    <x v="1"/>
    <x v="3"/>
    <x v="0"/>
    <x v="0"/>
    <s v="Gift Packs"/>
    <x v="2"/>
    <x v="0"/>
    <n v="38250"/>
    <n v="42500"/>
    <n v="2"/>
    <n v="85000"/>
    <n v="76500"/>
    <n v="8500"/>
  </r>
  <r>
    <n v="443"/>
    <d v="2022-01-26T00:00:00"/>
    <x v="0"/>
    <x v="9"/>
    <x v="5"/>
    <x v="0"/>
    <s v="Gift Packs"/>
    <x v="2"/>
    <x v="1"/>
    <n v="2700"/>
    <n v="3000"/>
    <n v="1"/>
    <n v="3000"/>
    <n v="2700"/>
    <n v="300"/>
  </r>
  <r>
    <n v="444"/>
    <d v="2023-07-02T00:00:00"/>
    <x v="1"/>
    <x v="4"/>
    <x v="0"/>
    <x v="0"/>
    <s v="Traditional Sweets "/>
    <x v="2"/>
    <x v="2"/>
    <n v="23850"/>
    <n v="26500"/>
    <n v="22"/>
    <n v="583000"/>
    <n v="524700"/>
    <n v="58300"/>
  </r>
  <r>
    <n v="445"/>
    <d v="2023-07-03T00:00:00"/>
    <x v="1"/>
    <x v="4"/>
    <x v="5"/>
    <x v="0"/>
    <s v="Namkeen"/>
    <x v="0"/>
    <x v="2"/>
    <n v="24750"/>
    <n v="27500"/>
    <n v="8"/>
    <n v="220000"/>
    <n v="198000"/>
    <n v="22000"/>
  </r>
  <r>
    <n v="446"/>
    <d v="2023-07-04T00:00:00"/>
    <x v="1"/>
    <x v="4"/>
    <x v="13"/>
    <x v="0"/>
    <s v="Chips &amp; Wafers "/>
    <x v="0"/>
    <x v="2"/>
    <n v="44550"/>
    <n v="49500"/>
    <n v="7"/>
    <n v="346500"/>
    <n v="311850"/>
    <n v="34650"/>
  </r>
  <r>
    <n v="447"/>
    <d v="2023-07-05T00:00:00"/>
    <x v="1"/>
    <x v="4"/>
    <x v="8"/>
    <x v="0"/>
    <s v="Samosas"/>
    <x v="0"/>
    <x v="0"/>
    <n v="9000"/>
    <n v="10000"/>
    <n v="56"/>
    <n v="560000"/>
    <n v="504000"/>
    <n v="56000"/>
  </r>
  <r>
    <n v="448"/>
    <d v="2023-07-06T00:00:00"/>
    <x v="1"/>
    <x v="4"/>
    <x v="8"/>
    <x v="1"/>
    <s v="Kachoris"/>
    <x v="0"/>
    <x v="0"/>
    <n v="8640"/>
    <n v="9600"/>
    <n v="10"/>
    <n v="96000"/>
    <n v="86400"/>
    <n v="9600"/>
  </r>
  <r>
    <n v="449"/>
    <d v="2023-07-07T00:00:00"/>
    <x v="1"/>
    <x v="4"/>
    <x v="12"/>
    <x v="0"/>
    <s v="Bhujia"/>
    <x v="0"/>
    <x v="1"/>
    <n v="9000"/>
    <n v="10000"/>
    <n v="9"/>
    <n v="90000"/>
    <n v="81000"/>
    <n v="9000"/>
  </r>
  <r>
    <n v="450"/>
    <d v="2022-03-26T00:00:00"/>
    <x v="0"/>
    <x v="11"/>
    <x v="2"/>
    <x v="2"/>
    <s v="Mixes"/>
    <x v="0"/>
    <x v="0"/>
    <n v="3870"/>
    <n v="4300"/>
    <n v="27"/>
    <n v="116100"/>
    <n v="104490"/>
    <n v="11610"/>
  </r>
  <r>
    <n v="451"/>
    <d v="2022-03-26T00:00:00"/>
    <x v="0"/>
    <x v="11"/>
    <x v="13"/>
    <x v="1"/>
    <s v="Ready-to-Eat Curries "/>
    <x v="1"/>
    <x v="0"/>
    <n v="45450"/>
    <n v="50500"/>
    <n v="15"/>
    <n v="757500"/>
    <n v="681750"/>
    <n v="75750"/>
  </r>
  <r>
    <n v="452"/>
    <d v="2022-03-26T00:00:00"/>
    <x v="0"/>
    <x v="11"/>
    <x v="18"/>
    <x v="0"/>
    <s v="Instant Mixes"/>
    <x v="1"/>
    <x v="0"/>
    <n v="18225"/>
    <n v="20250"/>
    <n v="3"/>
    <n v="60750"/>
    <n v="54675"/>
    <n v="6075"/>
  </r>
  <r>
    <n v="453"/>
    <d v="2022-03-26T00:00:00"/>
    <x v="0"/>
    <x v="11"/>
    <x v="17"/>
    <x v="2"/>
    <s v="Frozen Snacks"/>
    <x v="1"/>
    <x v="0"/>
    <n v="1800"/>
    <n v="2000"/>
    <n v="9"/>
    <n v="18000"/>
    <n v="16200"/>
    <n v="1800"/>
  </r>
  <r>
    <n v="454"/>
    <d v="2022-03-26T00:00:00"/>
    <x v="0"/>
    <x v="11"/>
    <x v="10"/>
    <x v="1"/>
    <s v="Parathas"/>
    <x v="1"/>
    <x v="2"/>
    <n v="48600"/>
    <n v="54000"/>
    <n v="22"/>
    <n v="1188000"/>
    <n v="1069200"/>
    <n v="118800"/>
  </r>
  <r>
    <n v="455"/>
    <d v="2022-03-26T00:00:00"/>
    <x v="0"/>
    <x v="11"/>
    <x v="8"/>
    <x v="0"/>
    <s v="Nut-based Snacks "/>
    <x v="0"/>
    <x v="2"/>
    <n v="72900"/>
    <n v="81000"/>
    <n v="16"/>
    <n v="1296000"/>
    <n v="1166400"/>
    <n v="129600"/>
  </r>
  <r>
    <n v="456"/>
    <d v="2023-07-14T00:00:00"/>
    <x v="1"/>
    <x v="4"/>
    <x v="19"/>
    <x v="2"/>
    <s v="Papads"/>
    <x v="0"/>
    <x v="0"/>
    <n v="9450"/>
    <n v="10500"/>
    <n v="6"/>
    <n v="63000"/>
    <n v="56700"/>
    <n v="6300"/>
  </r>
  <r>
    <n v="457"/>
    <d v="2023-07-15T00:00:00"/>
    <x v="1"/>
    <x v="4"/>
    <x v="5"/>
    <x v="1"/>
    <s v="Namkeens"/>
    <x v="0"/>
    <x v="0"/>
    <n v="36000"/>
    <n v="40000"/>
    <n v="3"/>
    <n v="120000"/>
    <n v="108000"/>
    <n v="12000"/>
  </r>
  <r>
    <n v="458"/>
    <d v="2023-07-16T00:00:00"/>
    <x v="1"/>
    <x v="4"/>
    <x v="12"/>
    <x v="0"/>
    <s v="Chips &amp; Wafers "/>
    <x v="0"/>
    <x v="0"/>
    <n v="24300"/>
    <n v="27000"/>
    <n v="5"/>
    <n v="135000"/>
    <n v="121500"/>
    <n v="13500"/>
  </r>
  <r>
    <n v="459"/>
    <d v="2023-07-17T00:00:00"/>
    <x v="1"/>
    <x v="4"/>
    <x v="18"/>
    <x v="2"/>
    <s v="Samosas"/>
    <x v="0"/>
    <x v="0"/>
    <n v="9180"/>
    <n v="10200"/>
    <n v="1"/>
    <n v="10200"/>
    <n v="9180"/>
    <n v="1020"/>
  </r>
  <r>
    <n v="460"/>
    <d v="2023-07-18T00:00:00"/>
    <x v="1"/>
    <x v="4"/>
    <x v="8"/>
    <x v="1"/>
    <s v="Kachoris"/>
    <x v="0"/>
    <x v="0"/>
    <n v="8640"/>
    <n v="9600"/>
    <n v="5"/>
    <n v="48000"/>
    <n v="43200"/>
    <n v="4800"/>
  </r>
  <r>
    <n v="461"/>
    <d v="2023-07-19T00:00:00"/>
    <x v="1"/>
    <x v="4"/>
    <x v="6"/>
    <x v="0"/>
    <s v="Bhujia"/>
    <x v="0"/>
    <x v="0"/>
    <n v="8280"/>
    <n v="9200"/>
    <n v="7"/>
    <n v="64400"/>
    <n v="57960"/>
    <n v="6440"/>
  </r>
  <r>
    <n v="462"/>
    <d v="2023-07-20T00:00:00"/>
    <x v="1"/>
    <x v="4"/>
    <x v="6"/>
    <x v="2"/>
    <s v="Mixes"/>
    <x v="0"/>
    <x v="2"/>
    <n v="4950"/>
    <n v="5500"/>
    <n v="4"/>
    <n v="22000"/>
    <n v="19800"/>
    <n v="2200"/>
  </r>
  <r>
    <n v="463"/>
    <d v="2023-07-21T00:00:00"/>
    <x v="1"/>
    <x v="4"/>
    <x v="8"/>
    <x v="1"/>
    <s v="Papads"/>
    <x v="0"/>
    <x v="2"/>
    <n v="3150"/>
    <n v="3500"/>
    <n v="8"/>
    <n v="28000"/>
    <n v="25200"/>
    <n v="2800"/>
  </r>
  <r>
    <n v="464"/>
    <d v="2023-07-22T00:00:00"/>
    <x v="1"/>
    <x v="4"/>
    <x v="8"/>
    <x v="1"/>
    <s v="Heat-and-Eat Meals"/>
    <x v="1"/>
    <x v="2"/>
    <n v="2700"/>
    <n v="3000"/>
    <n v="8"/>
    <n v="24000"/>
    <n v="21600"/>
    <n v="2400"/>
  </r>
  <r>
    <n v="465"/>
    <d v="2023-07-23T00:00:00"/>
    <x v="1"/>
    <x v="4"/>
    <x v="9"/>
    <x v="1"/>
    <s v="Ready-to-Eat Curries "/>
    <x v="1"/>
    <x v="0"/>
    <n v="4050"/>
    <n v="4500"/>
    <n v="9"/>
    <n v="40500"/>
    <n v="36450"/>
    <n v="4050"/>
  </r>
  <r>
    <n v="466"/>
    <d v="2023-07-24T00:00:00"/>
    <x v="1"/>
    <x v="4"/>
    <x v="3"/>
    <x v="1"/>
    <s v="Frozen Snacks"/>
    <x v="1"/>
    <x v="0"/>
    <n v="53100"/>
    <n v="59000"/>
    <n v="2"/>
    <n v="118000"/>
    <n v="106200"/>
    <n v="11800"/>
  </r>
  <r>
    <n v="467"/>
    <d v="2023-07-25T00:00:00"/>
    <x v="1"/>
    <x v="4"/>
    <x v="10"/>
    <x v="1"/>
    <s v="Traditional Sweets "/>
    <x v="2"/>
    <x v="0"/>
    <n v="88200"/>
    <n v="98000"/>
    <n v="1"/>
    <n v="98000"/>
    <n v="88200"/>
    <n v="9800"/>
  </r>
  <r>
    <n v="468"/>
    <d v="2022-03-26T00:00:00"/>
    <x v="0"/>
    <x v="11"/>
    <x v="0"/>
    <x v="1"/>
    <s v="Dry Sweets "/>
    <x v="2"/>
    <x v="1"/>
    <n v="8640"/>
    <n v="9600"/>
    <n v="22"/>
    <n v="211200"/>
    <n v="190080"/>
    <n v="21120"/>
  </r>
  <r>
    <n v="469"/>
    <d v="2022-03-26T00:00:00"/>
    <x v="0"/>
    <x v="11"/>
    <x v="3"/>
    <x v="1"/>
    <s v="Milk-based Sweets "/>
    <x v="2"/>
    <x v="1"/>
    <n v="8280"/>
    <n v="9200"/>
    <n v="8"/>
    <n v="73600"/>
    <n v="66240"/>
    <n v="7360"/>
  </r>
  <r>
    <n v="470"/>
    <d v="2022-03-26T00:00:00"/>
    <x v="0"/>
    <x v="11"/>
    <x v="7"/>
    <x v="1"/>
    <s v="Syrup-based Sweets"/>
    <x v="2"/>
    <x v="1"/>
    <n v="4950"/>
    <n v="5500"/>
    <n v="7"/>
    <n v="38500"/>
    <n v="34650"/>
    <n v="3850"/>
  </r>
  <r>
    <n v="471"/>
    <d v="2022-03-26T00:00:00"/>
    <x v="0"/>
    <x v="11"/>
    <x v="27"/>
    <x v="1"/>
    <s v="Gift Packs"/>
    <x v="2"/>
    <x v="0"/>
    <n v="3150"/>
    <n v="3500"/>
    <n v="56"/>
    <n v="196000"/>
    <n v="176400"/>
    <n v="19600"/>
  </r>
  <r>
    <n v="472"/>
    <d v="2022-03-26T00:00:00"/>
    <x v="0"/>
    <x v="11"/>
    <x v="5"/>
    <x v="1"/>
    <s v="Traditional Sweets "/>
    <x v="2"/>
    <x v="2"/>
    <n v="2700"/>
    <n v="3000"/>
    <n v="10"/>
    <n v="30000"/>
    <n v="27000"/>
    <n v="3000"/>
  </r>
  <r>
    <n v="473"/>
    <d v="2022-03-26T00:00:00"/>
    <x v="0"/>
    <x v="11"/>
    <x v="2"/>
    <x v="1"/>
    <s v="Dry Sweets "/>
    <x v="2"/>
    <x v="2"/>
    <n v="4050"/>
    <n v="4500"/>
    <n v="9"/>
    <n v="40500"/>
    <n v="36450"/>
    <n v="4050"/>
  </r>
  <r>
    <n v="474"/>
    <d v="2022-03-26T00:00:00"/>
    <x v="0"/>
    <x v="11"/>
    <x v="17"/>
    <x v="1"/>
    <s v="Milk-based Sweets "/>
    <x v="2"/>
    <x v="0"/>
    <n v="53100"/>
    <n v="59000"/>
    <n v="27"/>
    <n v="1593000"/>
    <n v="1433700"/>
    <n v="159300"/>
  </r>
  <r>
    <n v="475"/>
    <d v="2022-03-26T00:00:00"/>
    <x v="0"/>
    <x v="11"/>
    <x v="2"/>
    <x v="1"/>
    <s v="Syrup-based Sweets"/>
    <x v="2"/>
    <x v="0"/>
    <n v="88200"/>
    <n v="98000"/>
    <n v="15"/>
    <n v="1470000"/>
    <n v="1323000"/>
    <n v="147000"/>
  </r>
  <r>
    <n v="476"/>
    <d v="2022-03-26T00:00:00"/>
    <x v="0"/>
    <x v="11"/>
    <x v="18"/>
    <x v="1"/>
    <s v="Gift Packs"/>
    <x v="2"/>
    <x v="1"/>
    <n v="38250"/>
    <n v="42500"/>
    <n v="3"/>
    <n v="127500"/>
    <n v="114750"/>
    <n v="12750"/>
  </r>
  <r>
    <n v="477"/>
    <d v="2022-03-26T00:00:00"/>
    <x v="0"/>
    <x v="11"/>
    <x v="8"/>
    <x v="1"/>
    <s v="Gift Packs"/>
    <x v="2"/>
    <x v="0"/>
    <n v="2700"/>
    <n v="3000"/>
    <n v="9"/>
    <n v="27000"/>
    <n v="24300"/>
    <n v="2700"/>
  </r>
  <r>
    <n v="478"/>
    <d v="2022-03-26T00:00:00"/>
    <x v="0"/>
    <x v="11"/>
    <x v="5"/>
    <x v="1"/>
    <s v="Traditional Sweets "/>
    <x v="2"/>
    <x v="0"/>
    <n v="23850"/>
    <n v="26500"/>
    <n v="22"/>
    <n v="583000"/>
    <n v="524700"/>
    <n v="58300"/>
  </r>
  <r>
    <n v="479"/>
    <d v="2022-03-26T00:00:00"/>
    <x v="0"/>
    <x v="11"/>
    <x v="8"/>
    <x v="1"/>
    <s v="Ready-to-Eat Curries "/>
    <x v="1"/>
    <x v="0"/>
    <n v="24750"/>
    <n v="27500"/>
    <n v="16"/>
    <n v="440000"/>
    <n v="396000"/>
    <n v="44000"/>
  </r>
  <r>
    <n v="480"/>
    <d v="2022-03-26T00:00:00"/>
    <x v="0"/>
    <x v="11"/>
    <x v="8"/>
    <x v="1"/>
    <s v="Instant Mixes"/>
    <x v="1"/>
    <x v="2"/>
    <n v="44550"/>
    <n v="49500"/>
    <n v="6"/>
    <n v="297000"/>
    <n v="267300"/>
    <n v="29700"/>
  </r>
  <r>
    <n v="481"/>
    <d v="2022-03-26T00:00:00"/>
    <x v="0"/>
    <x v="11"/>
    <x v="19"/>
    <x v="1"/>
    <s v="Frozen Snacks"/>
    <x v="1"/>
    <x v="2"/>
    <n v="9000"/>
    <n v="10000"/>
    <n v="3"/>
    <n v="30000"/>
    <n v="27000"/>
    <n v="3000"/>
  </r>
  <r>
    <n v="482"/>
    <d v="2023-08-09T00:00:00"/>
    <x v="1"/>
    <x v="5"/>
    <x v="15"/>
    <x v="1"/>
    <s v="Parathas"/>
    <x v="1"/>
    <x v="2"/>
    <n v="8640"/>
    <n v="9600"/>
    <n v="5"/>
    <n v="48000"/>
    <n v="43200"/>
    <n v="4800"/>
  </r>
  <r>
    <n v="483"/>
    <d v="2023-08-10T00:00:00"/>
    <x v="1"/>
    <x v="5"/>
    <x v="5"/>
    <x v="1"/>
    <s v="Heat-and-Eat Meals"/>
    <x v="1"/>
    <x v="0"/>
    <n v="9000"/>
    <n v="10000"/>
    <n v="1"/>
    <n v="10000"/>
    <n v="9000"/>
    <n v="1000"/>
  </r>
  <r>
    <n v="484"/>
    <d v="2023-10-11T00:00:00"/>
    <x v="1"/>
    <x v="2"/>
    <x v="3"/>
    <x v="1"/>
    <s v="Ready-to-Eat Curries "/>
    <x v="1"/>
    <x v="0"/>
    <n v="3870"/>
    <n v="4300"/>
    <n v="5"/>
    <n v="21500"/>
    <n v="19350"/>
    <n v="2150"/>
  </r>
  <r>
    <n v="485"/>
    <d v="2023-10-11T00:00:00"/>
    <x v="1"/>
    <x v="2"/>
    <x v="9"/>
    <x v="1"/>
    <s v="Frozen Snacks"/>
    <x v="1"/>
    <x v="0"/>
    <n v="8640"/>
    <n v="9600"/>
    <n v="7"/>
    <n v="67200"/>
    <n v="60480"/>
    <n v="6720"/>
  </r>
  <r>
    <n v="486"/>
    <d v="2023-10-11T00:00:00"/>
    <x v="1"/>
    <x v="2"/>
    <x v="2"/>
    <x v="1"/>
    <s v="Ready-to-Eat Curries "/>
    <x v="1"/>
    <x v="0"/>
    <n v="8280"/>
    <n v="9200"/>
    <n v="4"/>
    <n v="36800"/>
    <n v="33120"/>
    <n v="3680"/>
  </r>
  <r>
    <n v="487"/>
    <d v="2023-10-11T00:00:00"/>
    <x v="1"/>
    <x v="2"/>
    <x v="20"/>
    <x v="1"/>
    <s v="Instant Mixes"/>
    <x v="1"/>
    <x v="0"/>
    <n v="4950"/>
    <n v="5500"/>
    <n v="8"/>
    <n v="44000"/>
    <n v="39600"/>
    <n v="4400"/>
  </r>
  <r>
    <n v="488"/>
    <d v="2023-10-11T00:00:00"/>
    <x v="1"/>
    <x v="2"/>
    <x v="8"/>
    <x v="1"/>
    <s v="Frozen Snacks"/>
    <x v="1"/>
    <x v="0"/>
    <n v="3150"/>
    <n v="3500"/>
    <n v="8"/>
    <n v="28000"/>
    <n v="25200"/>
    <n v="2800"/>
  </r>
  <r>
    <n v="489"/>
    <d v="2023-10-11T00:00:00"/>
    <x v="1"/>
    <x v="2"/>
    <x v="2"/>
    <x v="1"/>
    <s v="Parathas"/>
    <x v="1"/>
    <x v="0"/>
    <n v="2700"/>
    <n v="3000"/>
    <n v="9"/>
    <n v="27000"/>
    <n v="24300"/>
    <n v="2700"/>
  </r>
  <r>
    <n v="490"/>
    <d v="2023-10-11T00:00:00"/>
    <x v="1"/>
    <x v="2"/>
    <x v="0"/>
    <x v="1"/>
    <s v="Heat-and-Eat Meals"/>
    <x v="1"/>
    <x v="2"/>
    <n v="4050"/>
    <n v="4500"/>
    <n v="2"/>
    <n v="9000"/>
    <n v="8100"/>
    <n v="900"/>
  </r>
  <r>
    <n v="491"/>
    <d v="2023-10-11T00:00:00"/>
    <x v="1"/>
    <x v="2"/>
    <x v="8"/>
    <x v="1"/>
    <s v="Ready-to-Eat Curries "/>
    <x v="1"/>
    <x v="2"/>
    <n v="53100"/>
    <n v="59000"/>
    <n v="1"/>
    <n v="59000"/>
    <n v="53100"/>
    <n v="5900"/>
  </r>
  <r>
    <n v="492"/>
    <d v="2023-08-19T00:00:00"/>
    <x v="1"/>
    <x v="5"/>
    <x v="2"/>
    <x v="1"/>
    <s v="Frozen Snacks"/>
    <x v="1"/>
    <x v="0"/>
    <n v="88200"/>
    <n v="98000"/>
    <n v="22"/>
    <n v="2156000"/>
    <n v="1940400"/>
    <n v="215600"/>
  </r>
  <r>
    <n v="493"/>
    <d v="2023-08-20T00:00:00"/>
    <x v="1"/>
    <x v="5"/>
    <x v="6"/>
    <x v="1"/>
    <s v="Traditional Sweets "/>
    <x v="2"/>
    <x v="0"/>
    <n v="38250"/>
    <n v="42500"/>
    <n v="8"/>
    <n v="340000"/>
    <n v="306000"/>
    <n v="34000"/>
  </r>
  <r>
    <n v="494"/>
    <d v="2023-10-11T00:00:00"/>
    <x v="1"/>
    <x v="2"/>
    <x v="5"/>
    <x v="1"/>
    <s v="Dry Sweets "/>
    <x v="2"/>
    <x v="0"/>
    <n v="2700"/>
    <n v="3000"/>
    <n v="7"/>
    <n v="21000"/>
    <n v="18900"/>
    <n v="2100"/>
  </r>
  <r>
    <n v="495"/>
    <d v="2023-10-11T00:00:00"/>
    <x v="1"/>
    <x v="2"/>
    <x v="15"/>
    <x v="1"/>
    <s v="Milk-based Sweets "/>
    <x v="2"/>
    <x v="1"/>
    <n v="23850"/>
    <n v="26500"/>
    <n v="56"/>
    <n v="1484000"/>
    <n v="1335600"/>
    <n v="148400"/>
  </r>
  <r>
    <n v="496"/>
    <d v="2023-10-11T00:00:00"/>
    <x v="1"/>
    <x v="2"/>
    <x v="12"/>
    <x v="1"/>
    <s v="Syrup-based Sweets"/>
    <x v="2"/>
    <x v="1"/>
    <n v="24750"/>
    <n v="27500"/>
    <n v="10"/>
    <n v="275000"/>
    <n v="247500"/>
    <n v="27500"/>
  </r>
  <r>
    <n v="497"/>
    <d v="2023-10-11T00:00:00"/>
    <x v="1"/>
    <x v="2"/>
    <x v="19"/>
    <x v="1"/>
    <s v="Gift Packs"/>
    <x v="2"/>
    <x v="0"/>
    <n v="44550"/>
    <n v="49500"/>
    <n v="9"/>
    <n v="445500"/>
    <n v="400950"/>
    <n v="44550"/>
  </r>
  <r>
    <n v="498"/>
    <d v="2023-08-25T00:00:00"/>
    <x v="1"/>
    <x v="5"/>
    <x v="8"/>
    <x v="1"/>
    <s v="Traditional Sweets "/>
    <x v="2"/>
    <x v="2"/>
    <n v="9000"/>
    <n v="10000"/>
    <n v="27"/>
    <n v="270000"/>
    <n v="243000"/>
    <n v="27000"/>
  </r>
  <r>
    <n v="499"/>
    <d v="2023-08-26T00:00:00"/>
    <x v="1"/>
    <x v="5"/>
    <x v="18"/>
    <x v="1"/>
    <s v="Dry Sweets "/>
    <x v="2"/>
    <x v="2"/>
    <n v="8640"/>
    <n v="9600"/>
    <n v="15"/>
    <n v="144000"/>
    <n v="129600"/>
    <n v="14400"/>
  </r>
  <r>
    <n v="500"/>
    <d v="2023-08-27T00:00:00"/>
    <x v="1"/>
    <x v="5"/>
    <x v="20"/>
    <x v="1"/>
    <s v="Milk-based Sweets "/>
    <x v="2"/>
    <x v="0"/>
    <n v="9000"/>
    <n v="10000"/>
    <n v="3"/>
    <n v="30000"/>
    <n v="27000"/>
    <n v="3000"/>
  </r>
  <r>
    <n v="501"/>
    <d v="2023-08-28T00:00:00"/>
    <x v="1"/>
    <x v="5"/>
    <x v="18"/>
    <x v="1"/>
    <s v="Syrup-based Sweets"/>
    <x v="2"/>
    <x v="2"/>
    <n v="3870"/>
    <n v="4300"/>
    <n v="9"/>
    <n v="38700"/>
    <n v="34830"/>
    <n v="3870"/>
  </r>
  <r>
    <n v="502"/>
    <d v="2023-08-29T00:00:00"/>
    <x v="1"/>
    <x v="5"/>
    <x v="2"/>
    <x v="1"/>
    <s v="Gift Packs"/>
    <x v="2"/>
    <x v="2"/>
    <n v="8280"/>
    <n v="9200"/>
    <n v="22"/>
    <n v="202400"/>
    <n v="182160"/>
    <n v="20240"/>
  </r>
  <r>
    <n v="503"/>
    <d v="2023-08-30T00:00:00"/>
    <x v="1"/>
    <x v="5"/>
    <x v="0"/>
    <x v="1"/>
    <s v="Gift Packs"/>
    <x v="2"/>
    <x v="2"/>
    <n v="4950"/>
    <n v="5500"/>
    <n v="16"/>
    <n v="88000"/>
    <n v="79200"/>
    <n v="8800"/>
  </r>
  <r>
    <n v="504"/>
    <d v="2023-08-31T00:00:00"/>
    <x v="1"/>
    <x v="5"/>
    <x v="2"/>
    <x v="2"/>
    <s v="Traditional Sweets "/>
    <x v="2"/>
    <x v="0"/>
    <n v="3150"/>
    <n v="3500"/>
    <n v="6"/>
    <n v="21000"/>
    <n v="18900"/>
    <n v="2100"/>
  </r>
  <r>
    <n v="505"/>
    <d v="2023-09-01T00:00:00"/>
    <x v="1"/>
    <x v="6"/>
    <x v="5"/>
    <x v="1"/>
    <s v="Ready-to-Eat Curries "/>
    <x v="1"/>
    <x v="0"/>
    <n v="2700"/>
    <n v="3000"/>
    <n v="3"/>
    <n v="9000"/>
    <n v="8100"/>
    <n v="900"/>
  </r>
  <r>
    <n v="506"/>
    <d v="2023-09-02T00:00:00"/>
    <x v="1"/>
    <x v="6"/>
    <x v="18"/>
    <x v="0"/>
    <s v="Instant Mixes"/>
    <x v="1"/>
    <x v="0"/>
    <n v="4050"/>
    <n v="4500"/>
    <n v="5"/>
    <n v="22500"/>
    <n v="20250"/>
    <n v="2250"/>
  </r>
  <r>
    <n v="507"/>
    <d v="2023-09-03T00:00:00"/>
    <x v="1"/>
    <x v="6"/>
    <x v="8"/>
    <x v="2"/>
    <s v="Frozen Snacks"/>
    <x v="1"/>
    <x v="0"/>
    <n v="8280"/>
    <n v="9200"/>
    <n v="1"/>
    <n v="9200"/>
    <n v="8280"/>
    <n v="920"/>
  </r>
  <r>
    <n v="508"/>
    <d v="2023-09-04T00:00:00"/>
    <x v="1"/>
    <x v="6"/>
    <x v="6"/>
    <x v="1"/>
    <s v="Parathas"/>
    <x v="1"/>
    <x v="0"/>
    <n v="4950"/>
    <n v="5500"/>
    <n v="5"/>
    <n v="27500"/>
    <n v="24750"/>
    <n v="2750"/>
  </r>
  <r>
    <n v="509"/>
    <d v="2023-09-05T00:00:00"/>
    <x v="1"/>
    <x v="6"/>
    <x v="17"/>
    <x v="0"/>
    <s v="Heat-and-Eat Meals"/>
    <x v="1"/>
    <x v="0"/>
    <n v="3150"/>
    <n v="3500"/>
    <n v="7"/>
    <n v="24500"/>
    <n v="22050"/>
    <n v="2450"/>
  </r>
  <r>
    <n v="510"/>
    <d v="2023-09-06T00:00:00"/>
    <x v="1"/>
    <x v="6"/>
    <x v="3"/>
    <x v="2"/>
    <s v="Ready-to-Eat Curries "/>
    <x v="1"/>
    <x v="0"/>
    <n v="2700"/>
    <n v="3000"/>
    <n v="4"/>
    <n v="12000"/>
    <n v="10800"/>
    <n v="1200"/>
  </r>
  <r>
    <n v="511"/>
    <d v="2023-09-07T00:00:00"/>
    <x v="1"/>
    <x v="6"/>
    <x v="18"/>
    <x v="1"/>
    <s v="Frozen Snacks"/>
    <x v="1"/>
    <x v="2"/>
    <n v="4050"/>
    <n v="4500"/>
    <n v="8"/>
    <n v="36000"/>
    <n v="32400"/>
    <n v="3600"/>
  </r>
  <r>
    <n v="512"/>
    <d v="2023-09-08T00:00:00"/>
    <x v="1"/>
    <x v="6"/>
    <x v="3"/>
    <x v="0"/>
    <s v="Ready-to-Eat Curries "/>
    <x v="1"/>
    <x v="2"/>
    <n v="8280"/>
    <n v="9200"/>
    <n v="8"/>
    <n v="73600"/>
    <n v="66240"/>
    <n v="7360"/>
  </r>
  <r>
    <n v="513"/>
    <d v="2023-09-09T00:00:00"/>
    <x v="1"/>
    <x v="6"/>
    <x v="12"/>
    <x v="2"/>
    <s v="Chips &amp; Wafers "/>
    <x v="0"/>
    <x v="0"/>
    <n v="4950"/>
    <n v="5500"/>
    <n v="9"/>
    <n v="49500"/>
    <n v="44550"/>
    <n v="4950"/>
  </r>
  <r>
    <n v="514"/>
    <d v="2023-09-10T00:00:00"/>
    <x v="1"/>
    <x v="6"/>
    <x v="2"/>
    <x v="1"/>
    <s v="Samosas"/>
    <x v="0"/>
    <x v="0"/>
    <n v="3150"/>
    <n v="3500"/>
    <n v="2"/>
    <n v="7000"/>
    <n v="6300"/>
    <n v="700"/>
  </r>
  <r>
    <n v="515"/>
    <d v="2023-09-11T00:00:00"/>
    <x v="1"/>
    <x v="6"/>
    <x v="18"/>
    <x v="0"/>
    <s v="Kachoris"/>
    <x v="0"/>
    <x v="0"/>
    <n v="2700"/>
    <n v="3000"/>
    <n v="1"/>
    <n v="3000"/>
    <n v="2700"/>
    <n v="300"/>
  </r>
  <r>
    <n v="516"/>
    <d v="2023-09-12T00:00:00"/>
    <x v="1"/>
    <x v="6"/>
    <x v="9"/>
    <x v="2"/>
    <s v="Bhujia"/>
    <x v="0"/>
    <x v="1"/>
    <n v="4050"/>
    <n v="4500"/>
    <n v="22"/>
    <n v="99000"/>
    <n v="89100"/>
    <n v="9900"/>
  </r>
  <r>
    <n v="517"/>
    <d v="2023-09-13T00:00:00"/>
    <x v="1"/>
    <x v="6"/>
    <x v="16"/>
    <x v="1"/>
    <s v="Mixes"/>
    <x v="0"/>
    <x v="0"/>
    <n v="8280"/>
    <n v="9200"/>
    <n v="8"/>
    <n v="73600"/>
    <n v="66240"/>
    <n v="7360"/>
  </r>
  <r>
    <n v="518"/>
    <d v="2023-09-14T00:00:00"/>
    <x v="1"/>
    <x v="6"/>
    <x v="5"/>
    <x v="0"/>
    <s v="Ready-to-Eat Curries "/>
    <x v="1"/>
    <x v="1"/>
    <n v="4950"/>
    <n v="5500"/>
    <n v="7"/>
    <n v="38500"/>
    <n v="34650"/>
    <n v="3850"/>
  </r>
  <r>
    <n v="519"/>
    <d v="2023-09-15T00:00:00"/>
    <x v="1"/>
    <x v="6"/>
    <x v="19"/>
    <x v="2"/>
    <s v="Instant Mixes"/>
    <x v="1"/>
    <x v="2"/>
    <n v="3150"/>
    <n v="3500"/>
    <n v="56"/>
    <n v="196000"/>
    <n v="176400"/>
    <n v="19600"/>
  </r>
  <r>
    <n v="520"/>
    <d v="2023-09-16T00:00:00"/>
    <x v="1"/>
    <x v="6"/>
    <x v="8"/>
    <x v="1"/>
    <s v="Frozen Snacks"/>
    <x v="1"/>
    <x v="2"/>
    <n v="2700"/>
    <n v="3000"/>
    <n v="10"/>
    <n v="30000"/>
    <n v="27000"/>
    <n v="3000"/>
  </r>
  <r>
    <n v="521"/>
    <d v="2023-09-17T00:00:00"/>
    <x v="1"/>
    <x v="6"/>
    <x v="11"/>
    <x v="0"/>
    <s v="Chips &amp; Wafers "/>
    <x v="0"/>
    <x v="2"/>
    <n v="4050"/>
    <n v="4500"/>
    <n v="9"/>
    <n v="40500"/>
    <n v="36450"/>
    <n v="4050"/>
  </r>
  <r>
    <n v="522"/>
    <d v="2023-09-18T00:00:00"/>
    <x v="1"/>
    <x v="6"/>
    <x v="0"/>
    <x v="2"/>
    <s v="Samosas"/>
    <x v="0"/>
    <x v="0"/>
    <n v="24750"/>
    <n v="27500"/>
    <n v="27"/>
    <n v="742500"/>
    <n v="668250"/>
    <n v="74250"/>
  </r>
  <r>
    <n v="523"/>
    <d v="2023-09-19T00:00:00"/>
    <x v="1"/>
    <x v="6"/>
    <x v="3"/>
    <x v="1"/>
    <s v="Kachoris"/>
    <x v="0"/>
    <x v="0"/>
    <n v="44550"/>
    <n v="49500"/>
    <n v="15"/>
    <n v="742500"/>
    <n v="668250"/>
    <n v="74250"/>
  </r>
  <r>
    <n v="524"/>
    <d v="2023-09-20T00:00:00"/>
    <x v="1"/>
    <x v="6"/>
    <x v="26"/>
    <x v="2"/>
    <s v="Bhujia"/>
    <x v="0"/>
    <x v="1"/>
    <n v="9000"/>
    <n v="10000"/>
    <n v="3"/>
    <n v="30000"/>
    <n v="27000"/>
    <n v="3000"/>
  </r>
  <r>
    <n v="525"/>
    <d v="2023-09-21T00:00:00"/>
    <x v="1"/>
    <x v="6"/>
    <x v="18"/>
    <x v="1"/>
    <s v="Mixes"/>
    <x v="0"/>
    <x v="0"/>
    <n v="8640"/>
    <n v="9600"/>
    <n v="9"/>
    <n v="86400"/>
    <n v="77760"/>
    <n v="8640"/>
  </r>
  <r>
    <n v="526"/>
    <d v="2023-09-22T00:00:00"/>
    <x v="1"/>
    <x v="6"/>
    <x v="2"/>
    <x v="2"/>
    <s v="Ready-to-Eat Curries "/>
    <x v="1"/>
    <x v="0"/>
    <n v="9000"/>
    <n v="10000"/>
    <n v="22"/>
    <n v="220000"/>
    <n v="198000"/>
    <n v="22000"/>
  </r>
  <r>
    <n v="527"/>
    <d v="2023-09-23T00:00:00"/>
    <x v="1"/>
    <x v="6"/>
    <x v="2"/>
    <x v="1"/>
    <s v="Instant Mixes"/>
    <x v="1"/>
    <x v="0"/>
    <n v="3870"/>
    <n v="4300"/>
    <n v="16"/>
    <n v="68800"/>
    <n v="61920"/>
    <n v="6880"/>
  </r>
  <r>
    <n v="528"/>
    <d v="2023-09-24T00:00:00"/>
    <x v="1"/>
    <x v="6"/>
    <x v="6"/>
    <x v="2"/>
    <s v="Frozen Snacks"/>
    <x v="1"/>
    <x v="0"/>
    <n v="45450"/>
    <n v="50500"/>
    <n v="6"/>
    <n v="303000"/>
    <n v="272700"/>
    <n v="30300"/>
  </r>
  <r>
    <n v="529"/>
    <d v="2023-09-25T00:00:00"/>
    <x v="1"/>
    <x v="6"/>
    <x v="8"/>
    <x v="1"/>
    <s v="Chips &amp; Wafers "/>
    <x v="0"/>
    <x v="2"/>
    <n v="18225"/>
    <n v="20250"/>
    <n v="3"/>
    <n v="60750"/>
    <n v="54675"/>
    <n v="6075"/>
  </r>
  <r>
    <n v="530"/>
    <d v="2023-09-26T00:00:00"/>
    <x v="1"/>
    <x v="6"/>
    <x v="8"/>
    <x v="2"/>
    <s v="Samosas"/>
    <x v="0"/>
    <x v="2"/>
    <n v="1800"/>
    <n v="2000"/>
    <n v="5"/>
    <n v="10000"/>
    <n v="9000"/>
    <n v="1000"/>
  </r>
  <r>
    <n v="531"/>
    <d v="2023-09-27T00:00:00"/>
    <x v="1"/>
    <x v="6"/>
    <x v="2"/>
    <x v="1"/>
    <s v="Kachoris"/>
    <x v="0"/>
    <x v="0"/>
    <n v="48600"/>
    <n v="54000"/>
    <n v="1"/>
    <n v="54000"/>
    <n v="48600"/>
    <n v="5400"/>
  </r>
  <r>
    <n v="532"/>
    <d v="2023-09-28T00:00:00"/>
    <x v="1"/>
    <x v="6"/>
    <x v="10"/>
    <x v="2"/>
    <s v="Bhujia"/>
    <x v="0"/>
    <x v="0"/>
    <n v="72900"/>
    <n v="81000"/>
    <n v="5"/>
    <n v="405000"/>
    <n v="364500"/>
    <n v="40500"/>
  </r>
  <r>
    <n v="533"/>
    <d v="2023-09-29T00:00:00"/>
    <x v="1"/>
    <x v="6"/>
    <x v="14"/>
    <x v="1"/>
    <s v="Mixes"/>
    <x v="0"/>
    <x v="0"/>
    <n v="9450"/>
    <n v="10500"/>
    <n v="7"/>
    <n v="73500"/>
    <n v="66150"/>
    <n v="7350"/>
  </r>
  <r>
    <n v="534"/>
    <d v="2023-09-30T00:00:00"/>
    <x v="1"/>
    <x v="6"/>
    <x v="6"/>
    <x v="2"/>
    <s v="Ready-to-Eat Curries "/>
    <x v="1"/>
    <x v="0"/>
    <n v="36000"/>
    <n v="40000"/>
    <n v="4"/>
    <n v="160000"/>
    <n v="144000"/>
    <n v="16000"/>
  </r>
  <r>
    <n v="535"/>
    <d v="2023-10-01T00:00:00"/>
    <x v="1"/>
    <x v="2"/>
    <x v="8"/>
    <x v="1"/>
    <s v="Instant Mixes"/>
    <x v="1"/>
    <x v="0"/>
    <n v="24300"/>
    <n v="27000"/>
    <n v="8"/>
    <n v="216000"/>
    <n v="194400"/>
    <n v="21600"/>
  </r>
  <r>
    <n v="536"/>
    <d v="2023-10-02T00:00:00"/>
    <x v="1"/>
    <x v="2"/>
    <x v="19"/>
    <x v="2"/>
    <s v="Frozen Snacks"/>
    <x v="1"/>
    <x v="0"/>
    <n v="9180"/>
    <n v="10200"/>
    <n v="8"/>
    <n v="81600"/>
    <n v="73440"/>
    <n v="8160"/>
  </r>
  <r>
    <n v="537"/>
    <d v="2023-10-03T00:00:00"/>
    <x v="1"/>
    <x v="2"/>
    <x v="0"/>
    <x v="1"/>
    <s v="Chips &amp; Wafers "/>
    <x v="0"/>
    <x v="2"/>
    <n v="8640"/>
    <n v="9600"/>
    <n v="9"/>
    <n v="86400"/>
    <n v="77760"/>
    <n v="8640"/>
  </r>
  <r>
    <n v="538"/>
    <d v="2023-10-04T00:00:00"/>
    <x v="1"/>
    <x v="2"/>
    <x v="9"/>
    <x v="2"/>
    <s v="Samosas"/>
    <x v="0"/>
    <x v="2"/>
    <n v="8280"/>
    <n v="9200"/>
    <n v="2"/>
    <n v="18400"/>
    <n v="16560"/>
    <n v="1840"/>
  </r>
  <r>
    <n v="539"/>
    <d v="2023-10-05T00:00:00"/>
    <x v="1"/>
    <x v="2"/>
    <x v="0"/>
    <x v="1"/>
    <s v="Kachoris"/>
    <x v="0"/>
    <x v="2"/>
    <n v="4950"/>
    <n v="5500"/>
    <n v="1"/>
    <n v="5500"/>
    <n v="4950"/>
    <n v="550"/>
  </r>
  <r>
    <n v="540"/>
    <d v="2023-10-06T00:00:00"/>
    <x v="1"/>
    <x v="2"/>
    <x v="0"/>
    <x v="2"/>
    <s v="Bhujia"/>
    <x v="0"/>
    <x v="0"/>
    <n v="3150"/>
    <n v="3500"/>
    <n v="22"/>
    <n v="77000"/>
    <n v="69300"/>
    <n v="7700"/>
  </r>
  <r>
    <n v="541"/>
    <d v="2023-10-07T00:00:00"/>
    <x v="1"/>
    <x v="2"/>
    <x v="9"/>
    <x v="1"/>
    <s v="Mixes"/>
    <x v="0"/>
    <x v="0"/>
    <n v="2700"/>
    <n v="3000"/>
    <n v="8"/>
    <n v="24000"/>
    <n v="21600"/>
    <n v="2400"/>
  </r>
  <r>
    <n v="542"/>
    <d v="2023-10-08T00:00:00"/>
    <x v="1"/>
    <x v="2"/>
    <x v="2"/>
    <x v="2"/>
    <s v="Ready-to-Eat Curries "/>
    <x v="1"/>
    <x v="0"/>
    <n v="4050"/>
    <n v="4500"/>
    <n v="7"/>
    <n v="31500"/>
    <n v="28350"/>
    <n v="3150"/>
  </r>
  <r>
    <n v="543"/>
    <d v="2023-10-09T00:00:00"/>
    <x v="1"/>
    <x v="2"/>
    <x v="9"/>
    <x v="1"/>
    <s v="Instant Mixes"/>
    <x v="1"/>
    <x v="1"/>
    <n v="53100"/>
    <n v="59000"/>
    <n v="56"/>
    <n v="3304000"/>
    <n v="2973600"/>
    <n v="330400"/>
  </r>
  <r>
    <n v="544"/>
    <d v="2023-10-10T00:00:00"/>
    <x v="1"/>
    <x v="2"/>
    <x v="8"/>
    <x v="2"/>
    <s v="Frozen Snacks"/>
    <x v="1"/>
    <x v="1"/>
    <n v="88200"/>
    <n v="98000"/>
    <n v="10"/>
    <n v="980000"/>
    <n v="882000"/>
    <n v="98000"/>
  </r>
  <r>
    <n v="545"/>
    <d v="2023-10-11T00:00:00"/>
    <x v="1"/>
    <x v="2"/>
    <x v="18"/>
    <x v="1"/>
    <s v="Chips &amp; Wafers "/>
    <x v="0"/>
    <x v="1"/>
    <n v="38250"/>
    <n v="42500"/>
    <n v="9"/>
    <n v="382500"/>
    <n v="344250"/>
    <n v="38250"/>
  </r>
  <r>
    <n v="546"/>
    <d v="2023-10-12T00:00:00"/>
    <x v="1"/>
    <x v="2"/>
    <x v="3"/>
    <x v="2"/>
    <s v="Samosas"/>
    <x v="0"/>
    <x v="0"/>
    <n v="2700"/>
    <n v="3000"/>
    <n v="27"/>
    <n v="81000"/>
    <n v="72900"/>
    <n v="8100"/>
  </r>
  <r>
    <n v="547"/>
    <d v="2023-10-13T00:00:00"/>
    <x v="1"/>
    <x v="2"/>
    <x v="6"/>
    <x v="1"/>
    <s v="Kachoris"/>
    <x v="0"/>
    <x v="2"/>
    <n v="23850"/>
    <n v="26500"/>
    <n v="15"/>
    <n v="397500"/>
    <n v="357750"/>
    <n v="39750"/>
  </r>
  <r>
    <n v="548"/>
    <d v="2023-10-14T00:00:00"/>
    <x v="1"/>
    <x v="2"/>
    <x v="20"/>
    <x v="2"/>
    <s v="Bhujia"/>
    <x v="0"/>
    <x v="2"/>
    <n v="24750"/>
    <n v="27500"/>
    <n v="3"/>
    <n v="82500"/>
    <n v="74250"/>
    <n v="8250"/>
  </r>
  <r>
    <n v="549"/>
    <d v="2023-10-15T00:00:00"/>
    <x v="1"/>
    <x v="2"/>
    <x v="16"/>
    <x v="1"/>
    <s v="Mixes"/>
    <x v="0"/>
    <x v="0"/>
    <n v="44550"/>
    <n v="49500"/>
    <n v="9"/>
    <n v="445500"/>
    <n v="400950"/>
    <n v="44550"/>
  </r>
  <r>
    <n v="550"/>
    <d v="2023-10-16T00:00:00"/>
    <x v="1"/>
    <x v="2"/>
    <x v="3"/>
    <x v="2"/>
    <s v="Ready-to-Eat Curries "/>
    <x v="1"/>
    <x v="0"/>
    <n v="9000"/>
    <n v="10000"/>
    <n v="22"/>
    <n v="220000"/>
    <n v="198000"/>
    <n v="22000"/>
  </r>
  <r>
    <n v="551"/>
    <d v="2023-10-17T00:00:00"/>
    <x v="1"/>
    <x v="2"/>
    <x v="18"/>
    <x v="1"/>
    <s v="Instant Mixes"/>
    <x v="1"/>
    <x v="1"/>
    <n v="8640"/>
    <n v="9600"/>
    <n v="16"/>
    <n v="153600"/>
    <n v="138240"/>
    <n v="15360"/>
  </r>
  <r>
    <n v="552"/>
    <d v="2023-10-18T00:00:00"/>
    <x v="1"/>
    <x v="2"/>
    <x v="4"/>
    <x v="2"/>
    <s v="Frozen Snacks"/>
    <x v="1"/>
    <x v="0"/>
    <n v="9000"/>
    <n v="10000"/>
    <n v="6"/>
    <n v="60000"/>
    <n v="54000"/>
    <n v="6000"/>
  </r>
  <r>
    <n v="553"/>
    <d v="2023-10-19T00:00:00"/>
    <x v="1"/>
    <x v="2"/>
    <x v="8"/>
    <x v="1"/>
    <s v="Chips &amp; Wafers "/>
    <x v="0"/>
    <x v="0"/>
    <n v="3870"/>
    <n v="4300"/>
    <n v="3"/>
    <n v="12900"/>
    <n v="11610"/>
    <n v="1290"/>
  </r>
  <r>
    <n v="554"/>
    <d v="2023-10-20T00:00:00"/>
    <x v="1"/>
    <x v="2"/>
    <x v="3"/>
    <x v="2"/>
    <s v="Samosas"/>
    <x v="0"/>
    <x v="0"/>
    <n v="45450"/>
    <n v="50500"/>
    <n v="5"/>
    <n v="252500"/>
    <n v="227250"/>
    <n v="25250"/>
  </r>
  <r>
    <n v="555"/>
    <d v="2023-10-21T00:00:00"/>
    <x v="1"/>
    <x v="2"/>
    <x v="2"/>
    <x v="1"/>
    <s v="Kachoris"/>
    <x v="0"/>
    <x v="2"/>
    <n v="18225"/>
    <n v="20250"/>
    <n v="1"/>
    <n v="20250"/>
    <n v="18225"/>
    <n v="2025"/>
  </r>
  <r>
    <n v="556"/>
    <d v="2023-10-22T00:00:00"/>
    <x v="1"/>
    <x v="2"/>
    <x v="20"/>
    <x v="2"/>
    <s v="Bhujia"/>
    <x v="0"/>
    <x v="2"/>
    <n v="1800"/>
    <n v="2000"/>
    <n v="5"/>
    <n v="10000"/>
    <n v="9000"/>
    <n v="1000"/>
  </r>
  <r>
    <n v="557"/>
    <d v="2023-10-23T00:00:00"/>
    <x v="1"/>
    <x v="2"/>
    <x v="12"/>
    <x v="1"/>
    <s v="Mixes"/>
    <x v="0"/>
    <x v="2"/>
    <n v="48600"/>
    <n v="54000"/>
    <n v="7"/>
    <n v="378000"/>
    <n v="340200"/>
    <n v="37800"/>
  </r>
  <r>
    <n v="558"/>
    <d v="2023-10-24T00:00:00"/>
    <x v="1"/>
    <x v="2"/>
    <x v="2"/>
    <x v="2"/>
    <s v="Ready-to-Eat Curries "/>
    <x v="1"/>
    <x v="0"/>
    <n v="72900"/>
    <n v="81000"/>
    <n v="4"/>
    <n v="324000"/>
    <n v="291600"/>
    <n v="32400"/>
  </r>
  <r>
    <n v="559"/>
    <d v="2023-10-25T00:00:00"/>
    <x v="1"/>
    <x v="2"/>
    <x v="9"/>
    <x v="1"/>
    <s v="Instant Mixes"/>
    <x v="1"/>
    <x v="0"/>
    <n v="9450"/>
    <n v="10500"/>
    <n v="8"/>
    <n v="84000"/>
    <n v="75600"/>
    <n v="8400"/>
  </r>
  <r>
    <n v="560"/>
    <d v="2023-10-26T00:00:00"/>
    <x v="1"/>
    <x v="2"/>
    <x v="19"/>
    <x v="2"/>
    <s v="Frozen Snacks"/>
    <x v="1"/>
    <x v="0"/>
    <n v="36000"/>
    <n v="40000"/>
    <n v="8"/>
    <n v="320000"/>
    <n v="288000"/>
    <n v="32000"/>
  </r>
  <r>
    <n v="561"/>
    <d v="2023-10-27T00:00:00"/>
    <x v="1"/>
    <x v="2"/>
    <x v="0"/>
    <x v="1"/>
    <s v="Chips &amp; Wafers "/>
    <x v="0"/>
    <x v="0"/>
    <n v="24300"/>
    <n v="27000"/>
    <n v="9"/>
    <n v="243000"/>
    <n v="218700"/>
    <n v="24300"/>
  </r>
  <r>
    <n v="562"/>
    <d v="2023-10-28T00:00:00"/>
    <x v="1"/>
    <x v="2"/>
    <x v="5"/>
    <x v="2"/>
    <s v="Samosas"/>
    <x v="0"/>
    <x v="0"/>
    <n v="9180"/>
    <n v="10200"/>
    <n v="2"/>
    <n v="20400"/>
    <n v="18360"/>
    <n v="2040"/>
  </r>
  <r>
    <n v="563"/>
    <d v="2023-10-29T00:00:00"/>
    <x v="1"/>
    <x v="2"/>
    <x v="7"/>
    <x v="1"/>
    <s v="Kachoris"/>
    <x v="0"/>
    <x v="0"/>
    <n v="8640"/>
    <n v="9600"/>
    <n v="1"/>
    <n v="9600"/>
    <n v="8640"/>
    <n v="960"/>
  </r>
  <r>
    <n v="564"/>
    <d v="2023-10-30T00:00:00"/>
    <x v="1"/>
    <x v="2"/>
    <x v="8"/>
    <x v="2"/>
    <s v="Bhujia"/>
    <x v="0"/>
    <x v="0"/>
    <n v="8280"/>
    <n v="9200"/>
    <n v="22"/>
    <n v="202400"/>
    <n v="182160"/>
    <n v="20240"/>
  </r>
  <r>
    <n v="565"/>
    <d v="2023-10-31T00:00:00"/>
    <x v="1"/>
    <x v="2"/>
    <x v="7"/>
    <x v="1"/>
    <s v="Mixes"/>
    <x v="0"/>
    <x v="2"/>
    <n v="4950"/>
    <n v="5500"/>
    <n v="8"/>
    <n v="44000"/>
    <n v="39600"/>
    <n v="4400"/>
  </r>
  <r>
    <n v="566"/>
    <d v="2023-11-01T00:00:00"/>
    <x v="1"/>
    <x v="7"/>
    <x v="9"/>
    <x v="2"/>
    <s v="Ready-to-Eat Curries "/>
    <x v="1"/>
    <x v="2"/>
    <n v="3150"/>
    <n v="3500"/>
    <n v="7"/>
    <n v="24500"/>
    <n v="22050"/>
    <n v="2450"/>
  </r>
  <r>
    <n v="567"/>
    <d v="2023-11-02T00:00:00"/>
    <x v="1"/>
    <x v="7"/>
    <x v="9"/>
    <x v="1"/>
    <s v="Instant Mixes"/>
    <x v="1"/>
    <x v="0"/>
    <n v="2700"/>
    <n v="3000"/>
    <n v="56"/>
    <n v="168000"/>
    <n v="151200"/>
    <n v="16800"/>
  </r>
  <r>
    <n v="568"/>
    <d v="2023-11-03T00:00:00"/>
    <x v="1"/>
    <x v="7"/>
    <x v="8"/>
    <x v="2"/>
    <s v="Frozen Snacks"/>
    <x v="1"/>
    <x v="0"/>
    <n v="4050"/>
    <n v="4500"/>
    <n v="10"/>
    <n v="45000"/>
    <n v="40500"/>
    <n v="4500"/>
  </r>
  <r>
    <n v="569"/>
    <d v="2023-11-04T00:00:00"/>
    <x v="1"/>
    <x v="7"/>
    <x v="2"/>
    <x v="1"/>
    <s v="Chips &amp; Wafers "/>
    <x v="0"/>
    <x v="0"/>
    <n v="53100"/>
    <n v="59000"/>
    <n v="9"/>
    <n v="531000"/>
    <n v="477900"/>
    <n v="53100"/>
  </r>
  <r>
    <n v="570"/>
    <d v="2023-11-05T00:00:00"/>
    <x v="1"/>
    <x v="7"/>
    <x v="19"/>
    <x v="2"/>
    <s v="Samosas"/>
    <x v="0"/>
    <x v="1"/>
    <n v="88200"/>
    <n v="98000"/>
    <n v="27"/>
    <n v="2646000"/>
    <n v="2381400"/>
    <n v="264600"/>
  </r>
  <r>
    <n v="571"/>
    <d v="2023-11-06T00:00:00"/>
    <x v="1"/>
    <x v="7"/>
    <x v="2"/>
    <x v="1"/>
    <s v="Kachoris"/>
    <x v="0"/>
    <x v="1"/>
    <n v="8640"/>
    <n v="9600"/>
    <n v="15"/>
    <n v="144000"/>
    <n v="129600"/>
    <n v="14400"/>
  </r>
  <r>
    <n v="572"/>
    <d v="2023-11-07T00:00:00"/>
    <x v="1"/>
    <x v="7"/>
    <x v="12"/>
    <x v="2"/>
    <s v="Bhujia"/>
    <x v="0"/>
    <x v="0"/>
    <n v="8280"/>
    <n v="9200"/>
    <n v="3"/>
    <n v="27600"/>
    <n v="24840"/>
    <n v="2760"/>
  </r>
  <r>
    <n v="573"/>
    <d v="2023-11-08T00:00:00"/>
    <x v="1"/>
    <x v="7"/>
    <x v="8"/>
    <x v="1"/>
    <s v="Mixes"/>
    <x v="0"/>
    <x v="2"/>
    <n v="4950"/>
    <n v="5500"/>
    <n v="9"/>
    <n v="49500"/>
    <n v="44550"/>
    <n v="4950"/>
  </r>
  <r>
    <n v="574"/>
    <d v="2023-11-09T00:00:00"/>
    <x v="1"/>
    <x v="7"/>
    <x v="0"/>
    <x v="2"/>
    <s v="Ready-to-Eat Curries "/>
    <x v="1"/>
    <x v="2"/>
    <n v="3150"/>
    <n v="3500"/>
    <n v="22"/>
    <n v="77000"/>
    <n v="69300"/>
    <n v="7700"/>
  </r>
  <r>
    <n v="575"/>
    <d v="2023-11-10T00:00:00"/>
    <x v="1"/>
    <x v="7"/>
    <x v="24"/>
    <x v="1"/>
    <s v="Instant Mixes"/>
    <x v="1"/>
    <x v="0"/>
    <n v="2700"/>
    <n v="3000"/>
    <n v="16"/>
    <n v="48000"/>
    <n v="43200"/>
    <n v="4800"/>
  </r>
  <r>
    <n v="576"/>
    <d v="2023-11-11T00:00:00"/>
    <x v="1"/>
    <x v="7"/>
    <x v="12"/>
    <x v="2"/>
    <s v="Frozen Snacks"/>
    <x v="1"/>
    <x v="2"/>
    <n v="4050"/>
    <n v="4500"/>
    <n v="6"/>
    <n v="27000"/>
    <n v="24300"/>
    <n v="2700"/>
  </r>
  <r>
    <n v="577"/>
    <d v="2023-11-12T00:00:00"/>
    <x v="1"/>
    <x v="7"/>
    <x v="2"/>
    <x v="1"/>
    <s v="Chips &amp; Wafers "/>
    <x v="0"/>
    <x v="2"/>
    <n v="53100"/>
    <n v="59000"/>
    <n v="3"/>
    <n v="177000"/>
    <n v="159300"/>
    <n v="17700"/>
  </r>
  <r>
    <n v="578"/>
    <d v="2023-11-13T00:00:00"/>
    <x v="1"/>
    <x v="7"/>
    <x v="3"/>
    <x v="0"/>
    <s v="Samosas"/>
    <x v="0"/>
    <x v="2"/>
    <n v="88200"/>
    <n v="98000"/>
    <n v="5"/>
    <n v="490000"/>
    <n v="441000"/>
    <n v="49000"/>
  </r>
  <r>
    <n v="579"/>
    <d v="2023-11-14T00:00:00"/>
    <x v="1"/>
    <x v="7"/>
    <x v="5"/>
    <x v="1"/>
    <s v="Kachoris"/>
    <x v="0"/>
    <x v="0"/>
    <n v="38250"/>
    <n v="42500"/>
    <n v="1"/>
    <n v="42500"/>
    <n v="38250"/>
    <n v="4250"/>
  </r>
  <r>
    <n v="580"/>
    <d v="2023-11-15T00:00:00"/>
    <x v="1"/>
    <x v="7"/>
    <x v="8"/>
    <x v="0"/>
    <s v="Bhujia"/>
    <x v="0"/>
    <x v="0"/>
    <n v="2700"/>
    <n v="3000"/>
    <n v="5"/>
    <n v="15000"/>
    <n v="13500"/>
    <n v="1500"/>
  </r>
  <r>
    <n v="581"/>
    <d v="2023-11-16T00:00:00"/>
    <x v="1"/>
    <x v="7"/>
    <x v="12"/>
    <x v="1"/>
    <s v="Mixes"/>
    <x v="0"/>
    <x v="0"/>
    <n v="23850"/>
    <n v="26500"/>
    <n v="7"/>
    <n v="185500"/>
    <n v="166950"/>
    <n v="18550"/>
  </r>
  <r>
    <n v="582"/>
    <d v="2023-11-17T00:00:00"/>
    <x v="1"/>
    <x v="7"/>
    <x v="9"/>
    <x v="0"/>
    <s v="Ready-to-Eat Curries "/>
    <x v="1"/>
    <x v="0"/>
    <n v="24750"/>
    <n v="27500"/>
    <n v="4"/>
    <n v="110000"/>
    <n v="99000"/>
    <n v="11000"/>
  </r>
  <r>
    <n v="583"/>
    <d v="2023-11-18T00:00:00"/>
    <x v="1"/>
    <x v="7"/>
    <x v="5"/>
    <x v="1"/>
    <s v="Instant Mixes"/>
    <x v="1"/>
    <x v="0"/>
    <n v="44550"/>
    <n v="49500"/>
    <n v="8"/>
    <n v="396000"/>
    <n v="356400"/>
    <n v="39600"/>
  </r>
  <r>
    <n v="584"/>
    <d v="2023-11-19T00:00:00"/>
    <x v="1"/>
    <x v="7"/>
    <x v="20"/>
    <x v="0"/>
    <s v="Frozen Snacks"/>
    <x v="1"/>
    <x v="0"/>
    <n v="9000"/>
    <n v="10000"/>
    <n v="8"/>
    <n v="80000"/>
    <n v="72000"/>
    <n v="8000"/>
  </r>
  <r>
    <n v="585"/>
    <d v="2023-11-20T00:00:00"/>
    <x v="1"/>
    <x v="7"/>
    <x v="16"/>
    <x v="1"/>
    <s v="Chips &amp; Wafers "/>
    <x v="0"/>
    <x v="0"/>
    <n v="8640"/>
    <n v="9600"/>
    <n v="9"/>
    <n v="86400"/>
    <n v="77760"/>
    <n v="8640"/>
  </r>
  <r>
    <n v="586"/>
    <d v="2023-11-21T00:00:00"/>
    <x v="1"/>
    <x v="7"/>
    <x v="2"/>
    <x v="0"/>
    <s v="Samosas"/>
    <x v="0"/>
    <x v="2"/>
    <n v="9000"/>
    <n v="10000"/>
    <n v="2"/>
    <n v="20000"/>
    <n v="18000"/>
    <n v="2000"/>
  </r>
  <r>
    <n v="587"/>
    <d v="2023-11-22T00:00:00"/>
    <x v="1"/>
    <x v="7"/>
    <x v="2"/>
    <x v="1"/>
    <s v="Kachoris"/>
    <x v="0"/>
    <x v="2"/>
    <n v="3870"/>
    <n v="4300"/>
    <n v="1"/>
    <n v="4300"/>
    <n v="3870"/>
    <n v="430"/>
  </r>
  <r>
    <n v="588"/>
    <d v="2023-11-23T00:00:00"/>
    <x v="1"/>
    <x v="7"/>
    <x v="18"/>
    <x v="0"/>
    <s v="Bhujia"/>
    <x v="0"/>
    <x v="0"/>
    <n v="8640"/>
    <n v="9600"/>
    <n v="22"/>
    <n v="211200"/>
    <n v="190080"/>
    <n v="21120"/>
  </r>
  <r>
    <n v="589"/>
    <d v="2023-11-24T00:00:00"/>
    <x v="1"/>
    <x v="7"/>
    <x v="2"/>
    <x v="1"/>
    <s v="Mixes"/>
    <x v="0"/>
    <x v="0"/>
    <n v="8280"/>
    <n v="9200"/>
    <n v="8"/>
    <n v="73600"/>
    <n v="66240"/>
    <n v="7360"/>
  </r>
  <r>
    <n v="590"/>
    <d v="2023-11-25T00:00:00"/>
    <x v="1"/>
    <x v="7"/>
    <x v="5"/>
    <x v="0"/>
    <s v="Ready-to-Eat Curries "/>
    <x v="1"/>
    <x v="0"/>
    <n v="4950"/>
    <n v="5500"/>
    <n v="7"/>
    <n v="38500"/>
    <n v="34650"/>
    <n v="3850"/>
  </r>
  <r>
    <n v="591"/>
    <d v="2023-11-26T00:00:00"/>
    <x v="1"/>
    <x v="7"/>
    <x v="5"/>
    <x v="1"/>
    <s v="Instant Mixes"/>
    <x v="1"/>
    <x v="1"/>
    <n v="3150"/>
    <n v="3500"/>
    <n v="56"/>
    <n v="196000"/>
    <n v="176400"/>
    <n v="19600"/>
  </r>
  <r>
    <n v="592"/>
    <d v="2023-11-27T00:00:00"/>
    <x v="1"/>
    <x v="7"/>
    <x v="9"/>
    <x v="0"/>
    <s v="Frozen Snacks"/>
    <x v="1"/>
    <x v="0"/>
    <n v="2700"/>
    <n v="3000"/>
    <n v="10"/>
    <n v="30000"/>
    <n v="27000"/>
    <n v="3000"/>
  </r>
  <r>
    <n v="593"/>
    <d v="2023-11-28T00:00:00"/>
    <x v="1"/>
    <x v="7"/>
    <x v="5"/>
    <x v="1"/>
    <s v="Dry Sweets "/>
    <x v="2"/>
    <x v="1"/>
    <n v="4050"/>
    <n v="4500"/>
    <n v="9"/>
    <n v="40500"/>
    <n v="36450"/>
    <n v="4050"/>
  </r>
  <r>
    <n v="594"/>
    <d v="2023-11-29T00:00:00"/>
    <x v="1"/>
    <x v="7"/>
    <x v="3"/>
    <x v="0"/>
    <s v="Milk-based Sweets "/>
    <x v="2"/>
    <x v="2"/>
    <n v="53100"/>
    <n v="59000"/>
    <n v="27"/>
    <n v="1593000"/>
    <n v="1433700"/>
    <n v="159300"/>
  </r>
  <r>
    <n v="595"/>
    <d v="2023-11-30T00:00:00"/>
    <x v="1"/>
    <x v="7"/>
    <x v="18"/>
    <x v="1"/>
    <s v="Syrup-based Sweets"/>
    <x v="2"/>
    <x v="2"/>
    <n v="88200"/>
    <n v="98000"/>
    <n v="15"/>
    <n v="1470000"/>
    <n v="1323000"/>
    <n v="147000"/>
  </r>
  <r>
    <n v="596"/>
    <d v="2023-12-01T00:00:00"/>
    <x v="1"/>
    <x v="8"/>
    <x v="5"/>
    <x v="0"/>
    <s v="Dry Sweets "/>
    <x v="2"/>
    <x v="2"/>
    <n v="38250"/>
    <n v="42500"/>
    <n v="3"/>
    <n v="127500"/>
    <n v="114750"/>
    <n v="12750"/>
  </r>
  <r>
    <n v="597"/>
    <d v="2023-12-02T00:00:00"/>
    <x v="1"/>
    <x v="8"/>
    <x v="7"/>
    <x v="1"/>
    <s v="Milk-based Sweets "/>
    <x v="2"/>
    <x v="0"/>
    <n v="2700"/>
    <n v="3000"/>
    <n v="9"/>
    <n v="27000"/>
    <n v="24300"/>
    <n v="2700"/>
  </r>
  <r>
    <n v="598"/>
    <d v="2023-12-03T00:00:00"/>
    <x v="1"/>
    <x v="8"/>
    <x v="2"/>
    <x v="0"/>
    <s v="Syrup-based Sweets"/>
    <x v="2"/>
    <x v="0"/>
    <n v="23850"/>
    <n v="26500"/>
    <n v="22"/>
    <n v="583000"/>
    <n v="524700"/>
    <n v="58300"/>
  </r>
  <r>
    <n v="599"/>
    <d v="2023-12-04T00:00:00"/>
    <x v="1"/>
    <x v="8"/>
    <x v="27"/>
    <x v="1"/>
    <s v="Dry Sweets "/>
    <x v="2"/>
    <x v="1"/>
    <n v="24750"/>
    <n v="27500"/>
    <n v="16"/>
    <n v="440000"/>
    <n v="396000"/>
    <n v="44000"/>
  </r>
  <r>
    <n v="600"/>
    <d v="2023-12-05T00:00:00"/>
    <x v="1"/>
    <x v="8"/>
    <x v="5"/>
    <x v="0"/>
    <s v="Milk-based Sweets "/>
    <x v="2"/>
    <x v="0"/>
    <n v="44550"/>
    <n v="49500"/>
    <n v="6"/>
    <n v="297000"/>
    <n v="267300"/>
    <n v="29700"/>
  </r>
  <r>
    <n v="601"/>
    <d v="2023-12-06T00:00:00"/>
    <x v="1"/>
    <x v="8"/>
    <x v="2"/>
    <x v="1"/>
    <s v="Syrup-based Sweets"/>
    <x v="2"/>
    <x v="0"/>
    <n v="9000"/>
    <n v="10000"/>
    <n v="3"/>
    <n v="30000"/>
    <n v="27000"/>
    <n v="3000"/>
  </r>
  <r>
    <n v="602"/>
    <d v="2023-12-07T00:00:00"/>
    <x v="1"/>
    <x v="8"/>
    <x v="28"/>
    <x v="0"/>
    <s v="Dry Sweets "/>
    <x v="2"/>
    <x v="0"/>
    <n v="8640"/>
    <n v="9600"/>
    <n v="5"/>
    <n v="48000"/>
    <n v="43200"/>
    <n v="4800"/>
  </r>
  <r>
    <n v="603"/>
    <d v="2023-12-08T00:00:00"/>
    <x v="1"/>
    <x v="8"/>
    <x v="21"/>
    <x v="1"/>
    <s v="Milk-based Sweets "/>
    <x v="2"/>
    <x v="0"/>
    <n v="9000"/>
    <n v="10000"/>
    <n v="1"/>
    <n v="10000"/>
    <n v="9000"/>
    <n v="1000"/>
  </r>
  <r>
    <n v="604"/>
    <d v="2023-12-09T00:00:00"/>
    <x v="1"/>
    <x v="8"/>
    <x v="8"/>
    <x v="0"/>
    <s v="Syrup-based Sweets"/>
    <x v="2"/>
    <x v="2"/>
    <n v="3870"/>
    <n v="4300"/>
    <n v="5"/>
    <n v="21500"/>
    <n v="19350"/>
    <n v="2150"/>
  </r>
  <r>
    <n v="605"/>
    <d v="2023-12-10T00:00:00"/>
    <x v="1"/>
    <x v="8"/>
    <x v="8"/>
    <x v="1"/>
    <s v="Dry Sweets "/>
    <x v="2"/>
    <x v="2"/>
    <n v="8280"/>
    <n v="9200"/>
    <n v="7"/>
    <n v="64400"/>
    <n v="57960"/>
    <n v="6440"/>
  </r>
  <r>
    <n v="606"/>
    <d v="2023-12-11T00:00:00"/>
    <x v="1"/>
    <x v="8"/>
    <x v="8"/>
    <x v="0"/>
    <s v="Milk-based Sweets "/>
    <x v="2"/>
    <x v="0"/>
    <n v="4950"/>
    <n v="5500"/>
    <n v="4"/>
    <n v="22000"/>
    <n v="19800"/>
    <n v="2200"/>
  </r>
  <r>
    <n v="607"/>
    <d v="2023-12-12T00:00:00"/>
    <x v="1"/>
    <x v="8"/>
    <x v="0"/>
    <x v="1"/>
    <s v="Syrup-based Sweets"/>
    <x v="2"/>
    <x v="0"/>
    <n v="3150"/>
    <n v="3500"/>
    <n v="8"/>
    <n v="28000"/>
    <n v="25200"/>
    <n v="2800"/>
  </r>
  <r>
    <n v="608"/>
    <d v="2023-12-13T00:00:00"/>
    <x v="1"/>
    <x v="8"/>
    <x v="6"/>
    <x v="0"/>
    <s v="Dry Sweets "/>
    <x v="2"/>
    <x v="0"/>
    <n v="2700"/>
    <n v="3000"/>
    <n v="8"/>
    <n v="24000"/>
    <n v="21600"/>
    <n v="2400"/>
  </r>
  <r>
    <n v="609"/>
    <d v="2023-12-14T00:00:00"/>
    <x v="1"/>
    <x v="8"/>
    <x v="5"/>
    <x v="1"/>
    <s v="Milk-based Sweets "/>
    <x v="2"/>
    <x v="0"/>
    <n v="4050"/>
    <n v="4500"/>
    <n v="9"/>
    <n v="40500"/>
    <n v="36450"/>
    <n v="4050"/>
  </r>
  <r>
    <n v="610"/>
    <d v="2023-12-15T00:00:00"/>
    <x v="1"/>
    <x v="8"/>
    <x v="8"/>
    <x v="0"/>
    <s v="Syrup-based Sweets"/>
    <x v="2"/>
    <x v="0"/>
    <n v="8280"/>
    <n v="9200"/>
    <n v="2"/>
    <n v="18400"/>
    <n v="16560"/>
    <n v="1840"/>
  </r>
  <r>
    <n v="611"/>
    <d v="2023-12-16T00:00:00"/>
    <x v="1"/>
    <x v="8"/>
    <x v="3"/>
    <x v="1"/>
    <s v="Dry Sweets "/>
    <x v="2"/>
    <x v="0"/>
    <n v="4950"/>
    <n v="5500"/>
    <n v="1"/>
    <n v="5500"/>
    <n v="4950"/>
    <n v="550"/>
  </r>
  <r>
    <n v="612"/>
    <d v="2023-12-17T00:00:00"/>
    <x v="1"/>
    <x v="8"/>
    <x v="9"/>
    <x v="0"/>
    <s v="Milk-based Sweets "/>
    <x v="2"/>
    <x v="2"/>
    <n v="3150"/>
    <n v="3500"/>
    <n v="22"/>
    <n v="77000"/>
    <n v="69300"/>
    <n v="7700"/>
  </r>
  <r>
    <n v="613"/>
    <d v="2023-12-18T00:00:00"/>
    <x v="1"/>
    <x v="8"/>
    <x v="18"/>
    <x v="1"/>
    <s v="Syrup-based Sweets"/>
    <x v="2"/>
    <x v="2"/>
    <n v="2700"/>
    <n v="3000"/>
    <n v="8"/>
    <n v="24000"/>
    <n v="21600"/>
    <n v="2400"/>
  </r>
  <r>
    <n v="614"/>
    <d v="2023-12-19T00:00:00"/>
    <x v="1"/>
    <x v="8"/>
    <x v="8"/>
    <x v="0"/>
    <s v="Dry Sweets "/>
    <x v="2"/>
    <x v="2"/>
    <n v="4050"/>
    <n v="4500"/>
    <n v="7"/>
    <n v="31500"/>
    <n v="28350"/>
    <n v="3150"/>
  </r>
  <r>
    <n v="615"/>
    <d v="2023-12-20T00:00:00"/>
    <x v="1"/>
    <x v="8"/>
    <x v="0"/>
    <x v="1"/>
    <s v="Milk-based Sweets "/>
    <x v="2"/>
    <x v="0"/>
    <n v="8280"/>
    <n v="9200"/>
    <n v="56"/>
    <n v="515200"/>
    <n v="463680"/>
    <n v="51520"/>
  </r>
  <r>
    <n v="616"/>
    <d v="2023-12-21T00:00:00"/>
    <x v="1"/>
    <x v="8"/>
    <x v="18"/>
    <x v="0"/>
    <s v="Syrup-based Sweets"/>
    <x v="2"/>
    <x v="0"/>
    <n v="4950"/>
    <n v="5500"/>
    <n v="10"/>
    <n v="55000"/>
    <n v="49500"/>
    <n v="5500"/>
  </r>
  <r>
    <n v="617"/>
    <d v="2023-12-22T00:00:00"/>
    <x v="1"/>
    <x v="8"/>
    <x v="8"/>
    <x v="1"/>
    <s v="Dry Sweets "/>
    <x v="2"/>
    <x v="0"/>
    <n v="3150"/>
    <n v="3500"/>
    <n v="9"/>
    <n v="31500"/>
    <n v="28350"/>
    <n v="3150"/>
  </r>
  <r>
    <n v="618"/>
    <d v="2023-12-23T00:00:00"/>
    <x v="1"/>
    <x v="8"/>
    <x v="18"/>
    <x v="0"/>
    <s v="Milk-based Sweets "/>
    <x v="2"/>
    <x v="1"/>
    <n v="2700"/>
    <n v="3000"/>
    <n v="27"/>
    <n v="81000"/>
    <n v="72900"/>
    <n v="8100"/>
  </r>
  <r>
    <n v="619"/>
    <d v="2023-12-24T00:00:00"/>
    <x v="1"/>
    <x v="8"/>
    <x v="8"/>
    <x v="1"/>
    <s v="Syrup-based Sweets"/>
    <x v="2"/>
    <x v="1"/>
    <n v="4050"/>
    <n v="4500"/>
    <n v="15"/>
    <n v="67500"/>
    <n v="60750"/>
    <n v="6750"/>
  </r>
  <r>
    <n v="620"/>
    <d v="2023-12-25T00:00:00"/>
    <x v="1"/>
    <x v="8"/>
    <x v="24"/>
    <x v="0"/>
    <s v="Dry Sweets "/>
    <x v="2"/>
    <x v="1"/>
    <n v="8280"/>
    <n v="9200"/>
    <n v="3"/>
    <n v="27600"/>
    <n v="24840"/>
    <n v="2760"/>
  </r>
  <r>
    <n v="621"/>
    <d v="2023-12-26T00:00:00"/>
    <x v="1"/>
    <x v="8"/>
    <x v="7"/>
    <x v="1"/>
    <s v="Milk-based Sweets "/>
    <x v="2"/>
    <x v="0"/>
    <n v="4950"/>
    <n v="5500"/>
    <n v="9"/>
    <n v="49500"/>
    <n v="44550"/>
    <n v="4950"/>
  </r>
  <r>
    <n v="622"/>
    <d v="2023-12-27T00:00:00"/>
    <x v="1"/>
    <x v="8"/>
    <x v="3"/>
    <x v="0"/>
    <s v="Syrup-based Sweets"/>
    <x v="2"/>
    <x v="2"/>
    <n v="3150"/>
    <n v="3500"/>
    <n v="22"/>
    <n v="77000"/>
    <n v="69300"/>
    <n v="7700"/>
  </r>
  <r>
    <n v="623"/>
    <d v="2023-12-28T00:00:00"/>
    <x v="1"/>
    <x v="8"/>
    <x v="21"/>
    <x v="1"/>
    <s v="Dry Sweets "/>
    <x v="2"/>
    <x v="2"/>
    <n v="2700"/>
    <n v="3000"/>
    <n v="16"/>
    <n v="48000"/>
    <n v="43200"/>
    <n v="4800"/>
  </r>
  <r>
    <n v="624"/>
    <d v="2023-12-29T00:00:00"/>
    <x v="1"/>
    <x v="8"/>
    <x v="8"/>
    <x v="0"/>
    <s v="Milk-based Sweets "/>
    <x v="2"/>
    <x v="0"/>
    <n v="4050"/>
    <n v="4500"/>
    <n v="6"/>
    <n v="27000"/>
    <n v="24300"/>
    <n v="2700"/>
  </r>
  <r>
    <n v="625"/>
    <d v="2023-12-30T00:00:00"/>
    <x v="1"/>
    <x v="8"/>
    <x v="25"/>
    <x v="1"/>
    <s v="Syrup-based Sweets"/>
    <x v="2"/>
    <x v="0"/>
    <n v="4950"/>
    <n v="5500"/>
    <n v="3"/>
    <n v="16500"/>
    <n v="14850"/>
    <n v="1650"/>
  </r>
  <r>
    <n v="626"/>
    <d v="2023-12-31T00:00:00"/>
    <x v="1"/>
    <x v="8"/>
    <x v="18"/>
    <x v="0"/>
    <s v="Dry Sweets "/>
    <x v="2"/>
    <x v="1"/>
    <n v="3150"/>
    <n v="3500"/>
    <n v="5"/>
    <n v="17500"/>
    <n v="15750"/>
    <n v="1750"/>
  </r>
  <r>
    <n v="627"/>
    <d v="2023-07-22T00:00:00"/>
    <x v="1"/>
    <x v="4"/>
    <x v="6"/>
    <x v="1"/>
    <s v="Milk-based Sweets "/>
    <x v="2"/>
    <x v="0"/>
    <n v="2700"/>
    <n v="3000"/>
    <n v="1"/>
    <n v="3000"/>
    <n v="2700"/>
    <n v="300"/>
  </r>
  <r>
    <n v="628"/>
    <d v="2023-07-23T00:00:00"/>
    <x v="1"/>
    <x v="4"/>
    <x v="1"/>
    <x v="0"/>
    <s v="Syrup-based Sweets"/>
    <x v="2"/>
    <x v="0"/>
    <n v="4050"/>
    <n v="4500"/>
    <n v="5"/>
    <n v="22500"/>
    <n v="20250"/>
    <n v="2250"/>
  </r>
  <r>
    <n v="629"/>
    <d v="2023-07-24T00:00:00"/>
    <x v="1"/>
    <x v="4"/>
    <x v="8"/>
    <x v="1"/>
    <s v="Dry Sweets "/>
    <x v="2"/>
    <x v="0"/>
    <n v="8280"/>
    <n v="9200"/>
    <n v="7"/>
    <n v="64400"/>
    <n v="57960"/>
    <n v="6440"/>
  </r>
  <r>
    <n v="630"/>
    <d v="2023-07-25T00:00:00"/>
    <x v="1"/>
    <x v="4"/>
    <x v="5"/>
    <x v="0"/>
    <s v="Milk-based Sweets "/>
    <x v="2"/>
    <x v="2"/>
    <n v="4950"/>
    <n v="5500"/>
    <n v="4"/>
    <n v="22000"/>
    <n v="19800"/>
    <n v="2200"/>
  </r>
  <r>
    <n v="631"/>
    <d v="2023-07-26T00:00:00"/>
    <x v="1"/>
    <x v="4"/>
    <x v="8"/>
    <x v="1"/>
    <s v="Syrup-based Sweets"/>
    <x v="2"/>
    <x v="2"/>
    <n v="3150"/>
    <n v="3500"/>
    <n v="8"/>
    <n v="28000"/>
    <n v="25200"/>
    <n v="2800"/>
  </r>
  <r>
    <n v="632"/>
    <d v="2023-07-27T00:00:00"/>
    <x v="1"/>
    <x v="4"/>
    <x v="8"/>
    <x v="0"/>
    <s v="Dry Sweets "/>
    <x v="2"/>
    <x v="2"/>
    <n v="2700"/>
    <n v="3000"/>
    <n v="8"/>
    <n v="24000"/>
    <n v="21600"/>
    <n v="2400"/>
  </r>
  <r>
    <n v="633"/>
    <d v="2023-07-28T00:00:00"/>
    <x v="1"/>
    <x v="4"/>
    <x v="20"/>
    <x v="1"/>
    <s v="Milk-based Sweets "/>
    <x v="2"/>
    <x v="0"/>
    <n v="4050"/>
    <n v="4500"/>
    <n v="9"/>
    <n v="40500"/>
    <n v="36450"/>
    <n v="4050"/>
  </r>
  <r>
    <n v="634"/>
    <d v="2023-07-29T00:00:00"/>
    <x v="1"/>
    <x v="4"/>
    <x v="10"/>
    <x v="0"/>
    <s v="Syrup-based Sweets"/>
    <x v="2"/>
    <x v="0"/>
    <n v="8280"/>
    <n v="9200"/>
    <n v="2"/>
    <n v="18400"/>
    <n v="16560"/>
    <n v="1840"/>
  </r>
  <r>
    <n v="635"/>
    <d v="2023-07-30T00:00:00"/>
    <x v="1"/>
    <x v="4"/>
    <x v="9"/>
    <x v="1"/>
    <s v="Dry Sweets "/>
    <x v="2"/>
    <x v="0"/>
    <n v="4950"/>
    <n v="5500"/>
    <n v="1"/>
    <n v="5500"/>
    <n v="4950"/>
    <n v="550"/>
  </r>
  <r>
    <n v="636"/>
    <d v="2023-07-31T00:00:00"/>
    <x v="1"/>
    <x v="4"/>
    <x v="0"/>
    <x v="0"/>
    <s v="Milk-based Sweets "/>
    <x v="2"/>
    <x v="0"/>
    <n v="3150"/>
    <n v="3500"/>
    <n v="22"/>
    <n v="77000"/>
    <n v="69300"/>
    <n v="7700"/>
  </r>
  <r>
    <n v="637"/>
    <d v="2023-08-01T00:00:00"/>
    <x v="1"/>
    <x v="5"/>
    <x v="8"/>
    <x v="1"/>
    <s v="Syrup-based Sweets"/>
    <x v="2"/>
    <x v="0"/>
    <n v="2700"/>
    <n v="3000"/>
    <n v="8"/>
    <n v="24000"/>
    <n v="21600"/>
    <n v="2400"/>
  </r>
  <r>
    <n v="638"/>
    <d v="2023-08-02T00:00:00"/>
    <x v="1"/>
    <x v="5"/>
    <x v="8"/>
    <x v="0"/>
    <s v="Dry Sweets "/>
    <x v="2"/>
    <x v="0"/>
    <n v="4050"/>
    <n v="4500"/>
    <n v="7"/>
    <n v="31500"/>
    <n v="28350"/>
    <n v="3150"/>
  </r>
  <r>
    <n v="639"/>
    <d v="2023-08-03T00:00:00"/>
    <x v="1"/>
    <x v="5"/>
    <x v="8"/>
    <x v="1"/>
    <s v="Milk-based Sweets "/>
    <x v="2"/>
    <x v="0"/>
    <n v="4950"/>
    <n v="5500"/>
    <n v="56"/>
    <n v="308000"/>
    <n v="277200"/>
    <n v="30800"/>
  </r>
  <r>
    <n v="640"/>
    <d v="2023-08-04T00:00:00"/>
    <x v="1"/>
    <x v="5"/>
    <x v="8"/>
    <x v="0"/>
    <s v="Syrup-based Sweets"/>
    <x v="2"/>
    <x v="2"/>
    <n v="3150"/>
    <n v="3500"/>
    <n v="10"/>
    <n v="35000"/>
    <n v="31500"/>
    <n v="3500"/>
  </r>
  <r>
    <n v="641"/>
    <d v="2023-08-05T00:00:00"/>
    <x v="1"/>
    <x v="5"/>
    <x v="0"/>
    <x v="1"/>
    <s v="Dry Sweets "/>
    <x v="2"/>
    <x v="2"/>
    <n v="2700"/>
    <n v="3000"/>
    <n v="9"/>
    <n v="27000"/>
    <n v="24300"/>
    <n v="2700"/>
  </r>
  <r>
    <n v="642"/>
    <d v="2023-08-06T00:00:00"/>
    <x v="1"/>
    <x v="5"/>
    <x v="8"/>
    <x v="0"/>
    <s v="Milk-based Sweets "/>
    <x v="2"/>
    <x v="0"/>
    <n v="4050"/>
    <n v="4500"/>
    <n v="27"/>
    <n v="121500"/>
    <n v="109350"/>
    <n v="12150"/>
  </r>
  <r>
    <n v="643"/>
    <d v="2023-08-07T00:00:00"/>
    <x v="1"/>
    <x v="5"/>
    <x v="6"/>
    <x v="1"/>
    <s v="Syrup-based Sweets"/>
    <x v="2"/>
    <x v="0"/>
    <n v="8280"/>
    <n v="9200"/>
    <n v="15"/>
    <n v="138000"/>
    <n v="124200"/>
    <n v="13800"/>
  </r>
  <r>
    <n v="644"/>
    <d v="2023-08-08T00:00:00"/>
    <x v="1"/>
    <x v="5"/>
    <x v="9"/>
    <x v="0"/>
    <s v="Dry Sweets "/>
    <x v="2"/>
    <x v="0"/>
    <n v="4950"/>
    <n v="5500"/>
    <n v="3"/>
    <n v="16500"/>
    <n v="14850"/>
    <n v="1650"/>
  </r>
  <r>
    <n v="645"/>
    <d v="2023-08-09T00:00:00"/>
    <x v="1"/>
    <x v="5"/>
    <x v="20"/>
    <x v="1"/>
    <s v="Milk-based Sweets "/>
    <x v="2"/>
    <x v="1"/>
    <n v="3150"/>
    <n v="3500"/>
    <n v="9"/>
    <n v="31500"/>
    <n v="28350"/>
    <n v="3150"/>
  </r>
  <r>
    <n v="646"/>
    <d v="2023-08-10T00:00:00"/>
    <x v="1"/>
    <x v="5"/>
    <x v="29"/>
    <x v="0"/>
    <s v="Syrup-based Sweets"/>
    <x v="2"/>
    <x v="1"/>
    <n v="2700"/>
    <n v="3000"/>
    <n v="22"/>
    <n v="66000"/>
    <n v="59400"/>
    <n v="6600"/>
  </r>
  <r>
    <n v="647"/>
    <d v="2023-10-11T00:00:00"/>
    <x v="1"/>
    <x v="2"/>
    <x v="8"/>
    <x v="1"/>
    <s v="Dry Sweets "/>
    <x v="2"/>
    <x v="1"/>
    <n v="4050"/>
    <n v="4500"/>
    <n v="16"/>
    <n v="72000"/>
    <n v="64800"/>
    <n v="7200"/>
  </r>
  <r>
    <n v="648"/>
    <d v="2023-10-11T00:00:00"/>
    <x v="1"/>
    <x v="2"/>
    <x v="2"/>
    <x v="0"/>
    <s v="Milk-based Sweets "/>
    <x v="2"/>
    <x v="2"/>
    <n v="8280"/>
    <n v="9200"/>
    <n v="6"/>
    <n v="55200"/>
    <n v="49680"/>
    <n v="5520"/>
  </r>
  <r>
    <n v="649"/>
    <d v="2023-10-11T00:00:00"/>
    <x v="1"/>
    <x v="2"/>
    <x v="3"/>
    <x v="1"/>
    <s v="Syrup-based Sweets"/>
    <x v="2"/>
    <x v="2"/>
    <n v="4950"/>
    <n v="5500"/>
    <n v="3"/>
    <n v="16500"/>
    <n v="14850"/>
    <n v="1650"/>
  </r>
  <r>
    <n v="650"/>
    <d v="2023-10-11T00:00:00"/>
    <x v="1"/>
    <x v="2"/>
    <x v="8"/>
    <x v="0"/>
    <s v="Dry Sweets "/>
    <x v="2"/>
    <x v="2"/>
    <n v="3150"/>
    <n v="3500"/>
    <n v="5"/>
    <n v="17500"/>
    <n v="15750"/>
    <n v="1750"/>
  </r>
  <r>
    <n v="651"/>
    <d v="2023-10-11T00:00:00"/>
    <x v="1"/>
    <x v="2"/>
    <x v="9"/>
    <x v="1"/>
    <s v="Milk-based Sweets "/>
    <x v="2"/>
    <x v="0"/>
    <n v="2700"/>
    <n v="3000"/>
    <n v="1"/>
    <n v="3000"/>
    <n v="2700"/>
    <n v="300"/>
  </r>
  <r>
    <n v="652"/>
    <d v="2023-10-11T00:00:00"/>
    <x v="1"/>
    <x v="2"/>
    <x v="19"/>
    <x v="0"/>
    <s v="Syrup-based Sweets"/>
    <x v="2"/>
    <x v="0"/>
    <n v="4050"/>
    <n v="4500"/>
    <n v="5"/>
    <n v="22500"/>
    <n v="20250"/>
    <n v="2250"/>
  </r>
  <r>
    <n v="653"/>
    <d v="2023-10-11T00:00:00"/>
    <x v="1"/>
    <x v="2"/>
    <x v="21"/>
    <x v="1"/>
    <s v="Dry Sweets "/>
    <x v="2"/>
    <x v="0"/>
    <n v="4950"/>
    <n v="5500"/>
    <n v="7"/>
    <n v="38500"/>
    <n v="34650"/>
    <n v="3850"/>
  </r>
  <r>
    <n v="654"/>
    <d v="2023-10-11T00:00:00"/>
    <x v="1"/>
    <x v="2"/>
    <x v="18"/>
    <x v="0"/>
    <s v="Milk-based Sweets "/>
    <x v="2"/>
    <x v="0"/>
    <n v="3150"/>
    <n v="3500"/>
    <n v="4"/>
    <n v="14000"/>
    <n v="12600"/>
    <n v="1400"/>
  </r>
  <r>
    <n v="655"/>
    <d v="2023-08-19T00:00:00"/>
    <x v="1"/>
    <x v="5"/>
    <x v="7"/>
    <x v="1"/>
    <s v="Syrup-based Sweets"/>
    <x v="2"/>
    <x v="0"/>
    <n v="2700"/>
    <n v="3000"/>
    <n v="8"/>
    <n v="24000"/>
    <n v="21600"/>
    <n v="2400"/>
  </r>
  <r>
    <n v="656"/>
    <d v="2023-08-20T00:00:00"/>
    <x v="1"/>
    <x v="5"/>
    <x v="8"/>
    <x v="0"/>
    <s v="Dry Sweets "/>
    <x v="2"/>
    <x v="0"/>
    <n v="4050"/>
    <n v="4500"/>
    <n v="8"/>
    <n v="36000"/>
    <n v="32400"/>
    <n v="3600"/>
  </r>
  <r>
    <n v="657"/>
    <d v="2023-10-11T00:00:00"/>
    <x v="1"/>
    <x v="2"/>
    <x v="2"/>
    <x v="1"/>
    <s v="Milk-based Sweets "/>
    <x v="2"/>
    <x v="0"/>
    <n v="8280"/>
    <n v="9200"/>
    <n v="9"/>
    <n v="82800"/>
    <n v="74520"/>
    <n v="8280"/>
  </r>
  <r>
    <n v="658"/>
    <d v="2023-10-11T00:00:00"/>
    <x v="1"/>
    <x v="2"/>
    <x v="8"/>
    <x v="0"/>
    <s v="Syrup-based Sweets"/>
    <x v="2"/>
    <x v="2"/>
    <n v="4950"/>
    <n v="5500"/>
    <n v="2"/>
    <n v="11000"/>
    <n v="9900"/>
    <n v="1100"/>
  </r>
  <r>
    <n v="659"/>
    <d v="2023-10-11T00:00:00"/>
    <x v="1"/>
    <x v="2"/>
    <x v="5"/>
    <x v="1"/>
    <s v="Dry Sweets "/>
    <x v="2"/>
    <x v="2"/>
    <n v="3150"/>
    <n v="3500"/>
    <n v="1"/>
    <n v="3500"/>
    <n v="3150"/>
    <n v="350"/>
  </r>
  <r>
    <n v="660"/>
    <d v="2023-10-11T00:00:00"/>
    <x v="1"/>
    <x v="2"/>
    <x v="1"/>
    <x v="0"/>
    <s v="Milk-based Sweets "/>
    <x v="2"/>
    <x v="0"/>
    <n v="2700"/>
    <n v="3000"/>
    <n v="22"/>
    <n v="66000"/>
    <n v="59400"/>
    <n v="6600"/>
  </r>
  <r>
    <n v="661"/>
    <d v="2023-08-25T00:00:00"/>
    <x v="1"/>
    <x v="5"/>
    <x v="6"/>
    <x v="1"/>
    <s v="Syrup-based Sweets"/>
    <x v="2"/>
    <x v="0"/>
    <n v="4050"/>
    <n v="4500"/>
    <n v="8"/>
    <n v="36000"/>
    <n v="32400"/>
    <n v="3600"/>
  </r>
  <r>
    <n v="662"/>
    <d v="2023-08-26T00:00:00"/>
    <x v="1"/>
    <x v="5"/>
    <x v="18"/>
    <x v="0"/>
    <s v="Dry Sweets "/>
    <x v="2"/>
    <x v="0"/>
    <n v="8280"/>
    <n v="9200"/>
    <n v="7"/>
    <n v="64400"/>
    <n v="57960"/>
    <n v="6440"/>
  </r>
  <r>
    <n v="663"/>
    <d v="2023-08-27T00:00:00"/>
    <x v="1"/>
    <x v="5"/>
    <x v="8"/>
    <x v="1"/>
    <s v="Milk-based Sweets "/>
    <x v="2"/>
    <x v="0"/>
    <n v="4950"/>
    <n v="5500"/>
    <n v="56"/>
    <n v="308000"/>
    <n v="277200"/>
    <n v="30800"/>
  </r>
  <r>
    <n v="664"/>
    <d v="2023-08-28T00:00:00"/>
    <x v="1"/>
    <x v="5"/>
    <x v="16"/>
    <x v="0"/>
    <s v="Syrup-based Sweets"/>
    <x v="2"/>
    <x v="0"/>
    <n v="3150"/>
    <n v="3500"/>
    <n v="10"/>
    <n v="35000"/>
    <n v="31500"/>
    <n v="3500"/>
  </r>
  <r>
    <n v="665"/>
    <d v="2023-08-29T00:00:00"/>
    <x v="1"/>
    <x v="5"/>
    <x v="10"/>
    <x v="1"/>
    <s v="Dry Sweets "/>
    <x v="2"/>
    <x v="0"/>
    <n v="2700"/>
    <n v="3000"/>
    <n v="9"/>
    <n v="27000"/>
    <n v="24300"/>
    <n v="2700"/>
  </r>
  <r>
    <n v="666"/>
    <d v="2023-08-30T00:00:00"/>
    <x v="1"/>
    <x v="5"/>
    <x v="2"/>
    <x v="0"/>
    <s v="Milk-based Sweets "/>
    <x v="2"/>
    <x v="0"/>
    <n v="4050"/>
    <n v="4500"/>
    <n v="27"/>
    <n v="121500"/>
    <n v="109350"/>
    <n v="12150"/>
  </r>
  <r>
    <n v="667"/>
    <d v="2023-08-31T00:00:00"/>
    <x v="1"/>
    <x v="5"/>
    <x v="18"/>
    <x v="1"/>
    <s v="Syrup-based Sweets"/>
    <x v="2"/>
    <x v="0"/>
    <n v="4950"/>
    <n v="5500"/>
    <n v="15"/>
    <n v="82500"/>
    <n v="74250"/>
    <n v="8250"/>
  </r>
  <r>
    <n v="668"/>
    <d v="2023-09-01T00:00:00"/>
    <x v="1"/>
    <x v="6"/>
    <x v="0"/>
    <x v="0"/>
    <s v="Dry Sweets "/>
    <x v="2"/>
    <x v="0"/>
    <n v="3150"/>
    <n v="3500"/>
    <n v="3"/>
    <n v="10500"/>
    <n v="9450"/>
    <n v="1050"/>
  </r>
  <r>
    <n v="669"/>
    <d v="2023-09-02T00:00:00"/>
    <x v="1"/>
    <x v="6"/>
    <x v="8"/>
    <x v="1"/>
    <s v="Milk-based Sweets "/>
    <x v="2"/>
    <x v="0"/>
    <n v="2700"/>
    <n v="3000"/>
    <n v="9"/>
    <n v="27000"/>
    <n v="24300"/>
    <n v="2700"/>
  </r>
  <r>
    <n v="670"/>
    <d v="2023-09-03T00:00:00"/>
    <x v="1"/>
    <x v="6"/>
    <x v="12"/>
    <x v="0"/>
    <s v="Syrup-based Sweets"/>
    <x v="2"/>
    <x v="0"/>
    <n v="4050"/>
    <n v="4500"/>
    <n v="22"/>
    <n v="99000"/>
    <n v="89100"/>
    <n v="9900"/>
  </r>
  <r>
    <n v="671"/>
    <d v="2023-09-04T00:00:00"/>
    <x v="1"/>
    <x v="6"/>
    <x v="20"/>
    <x v="1"/>
    <s v="Dry Sweets "/>
    <x v="2"/>
    <x v="0"/>
    <n v="8280"/>
    <n v="9200"/>
    <n v="16"/>
    <n v="147200"/>
    <n v="132480"/>
    <n v="14720"/>
  </r>
  <r>
    <n v="672"/>
    <d v="2023-09-05T00:00:00"/>
    <x v="1"/>
    <x v="6"/>
    <x v="5"/>
    <x v="0"/>
    <s v="Milk-based Sweets "/>
    <x v="2"/>
    <x v="2"/>
    <n v="4950"/>
    <n v="5500"/>
    <n v="6"/>
    <n v="33000"/>
    <n v="29700"/>
    <n v="3300"/>
  </r>
  <r>
    <n v="673"/>
    <d v="2023-09-06T00:00:00"/>
    <x v="1"/>
    <x v="6"/>
    <x v="24"/>
    <x v="1"/>
    <s v="Syrup-based Sweets"/>
    <x v="2"/>
    <x v="2"/>
    <n v="3150"/>
    <n v="3500"/>
    <n v="3"/>
    <n v="10500"/>
    <n v="9450"/>
    <n v="1050"/>
  </r>
  <r>
    <n v="674"/>
    <d v="2023-09-07T00:00:00"/>
    <x v="1"/>
    <x v="6"/>
    <x v="8"/>
    <x v="0"/>
    <s v="Dry Sweets "/>
    <x v="2"/>
    <x v="0"/>
    <n v="2700"/>
    <n v="3000"/>
    <n v="5"/>
    <n v="15000"/>
    <n v="13500"/>
    <n v="1500"/>
  </r>
  <r>
    <n v="675"/>
    <d v="2023-09-08T00:00:00"/>
    <x v="1"/>
    <x v="6"/>
    <x v="2"/>
    <x v="1"/>
    <s v="Milk-based Sweets "/>
    <x v="2"/>
    <x v="0"/>
    <n v="4050"/>
    <n v="4500"/>
    <n v="1"/>
    <n v="4500"/>
    <n v="4050"/>
    <n v="450"/>
  </r>
  <r>
    <n v="676"/>
    <d v="2023-09-09T00:00:00"/>
    <x v="1"/>
    <x v="6"/>
    <x v="12"/>
    <x v="0"/>
    <s v="Syrup-based Sweets"/>
    <x v="2"/>
    <x v="0"/>
    <n v="8280"/>
    <n v="9200"/>
    <n v="5"/>
    <n v="46000"/>
    <n v="41400"/>
    <n v="4600"/>
  </r>
  <r>
    <n v="677"/>
    <d v="2023-09-10T00:00:00"/>
    <x v="1"/>
    <x v="6"/>
    <x v="0"/>
    <x v="1"/>
    <s v="Dry Sweets "/>
    <x v="2"/>
    <x v="0"/>
    <n v="4950"/>
    <n v="5500"/>
    <n v="7"/>
    <n v="38500"/>
    <n v="34650"/>
    <n v="3850"/>
  </r>
  <r>
    <n v="678"/>
    <d v="2023-09-11T00:00:00"/>
    <x v="1"/>
    <x v="6"/>
    <x v="2"/>
    <x v="0"/>
    <s v="Milk-based Sweets "/>
    <x v="2"/>
    <x v="0"/>
    <n v="3150"/>
    <n v="3500"/>
    <n v="4"/>
    <n v="14000"/>
    <n v="12600"/>
    <n v="1400"/>
  </r>
  <r>
    <n v="679"/>
    <d v="2023-09-12T00:00:00"/>
    <x v="1"/>
    <x v="6"/>
    <x v="18"/>
    <x v="1"/>
    <s v="Syrup-based Sweets"/>
    <x v="2"/>
    <x v="0"/>
    <n v="2700"/>
    <n v="3000"/>
    <n v="8"/>
    <n v="24000"/>
    <n v="21600"/>
    <n v="2400"/>
  </r>
  <r>
    <n v="680"/>
    <d v="2023-09-13T00:00:00"/>
    <x v="1"/>
    <x v="6"/>
    <x v="0"/>
    <x v="0"/>
    <s v="Dry Sweets "/>
    <x v="2"/>
    <x v="0"/>
    <n v="4050"/>
    <n v="6000"/>
    <n v="8"/>
    <n v="48000"/>
    <n v="32400"/>
    <n v="15600"/>
  </r>
  <r>
    <n v="681"/>
    <d v="2023-09-14T00:00:00"/>
    <x v="1"/>
    <x v="6"/>
    <x v="8"/>
    <x v="1"/>
    <s v="Milk-based Sweets "/>
    <x v="2"/>
    <x v="0"/>
    <n v="4200"/>
    <n v="6000"/>
    <n v="9"/>
    <n v="54000"/>
    <n v="37800"/>
    <n v="16200"/>
  </r>
  <r>
    <n v="682"/>
    <d v="2023-09-15T00:00:00"/>
    <x v="1"/>
    <x v="6"/>
    <x v="12"/>
    <x v="0"/>
    <s v="Syrup-based Sweets"/>
    <x v="2"/>
    <x v="0"/>
    <n v="4650"/>
    <n v="6000"/>
    <n v="2"/>
    <n v="12000"/>
    <n v="9300"/>
    <n v="2700"/>
  </r>
  <r>
    <n v="683"/>
    <d v="2023-09-16T00:00:00"/>
    <x v="1"/>
    <x v="6"/>
    <x v="12"/>
    <x v="1"/>
    <s v="Dry Sweets "/>
    <x v="2"/>
    <x v="0"/>
    <n v="5100"/>
    <n v="6000"/>
    <n v="1"/>
    <n v="6000"/>
    <n v="5100"/>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FCBDB-7177-4906-8A4B-30718C12BBDF}"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W3:AX16" firstHeaderRow="1" firstDataRow="1" firstDataCol="1"/>
  <pivotFields count="15">
    <pivotField showAll="0"/>
    <pivotField numFmtId="14" showAll="0"/>
    <pivotField showAll="0">
      <items count="3">
        <item x="0"/>
        <item x="1"/>
        <item t="default"/>
      </items>
    </pivotField>
    <pivotField axis="axisRow" showAll="0">
      <items count="13">
        <item x="9"/>
        <item x="10"/>
        <item x="11"/>
        <item x="0"/>
        <item x="1"/>
        <item x="3"/>
        <item x="4"/>
        <item x="5"/>
        <item x="6"/>
        <item x="2"/>
        <item x="7"/>
        <item x="8"/>
        <item t="default"/>
      </items>
    </pivotField>
    <pivotField showAll="0"/>
    <pivotField showAll="0">
      <items count="4">
        <item x="1"/>
        <item x="0"/>
        <item x="2"/>
        <item t="default"/>
      </items>
    </pivotField>
    <pivotField showAll="0"/>
    <pivotField showAll="0">
      <items count="4">
        <item x="1"/>
        <item x="0"/>
        <item x="2"/>
        <item t="default"/>
      </items>
    </pivotField>
    <pivotField showAll="0">
      <items count="4">
        <item x="1"/>
        <item x="0"/>
        <item h="1" x="2"/>
        <item t="default"/>
      </items>
    </pivotField>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F657F-64A4-490F-816D-2DC579F402BF}"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Q10:AR13" firstHeaderRow="1" firstDataRow="1" firstDataCol="1"/>
  <pivotFields count="15">
    <pivotField showAll="0"/>
    <pivotField numFmtId="14" showAll="0"/>
    <pivotField axis="axisRow" showAll="0">
      <items count="3">
        <item x="0"/>
        <item x="1"/>
        <item t="default"/>
      </items>
    </pivotField>
    <pivotField showAll="0">
      <items count="13">
        <item x="9"/>
        <item x="10"/>
        <item x="11"/>
        <item x="0"/>
        <item x="1"/>
        <item x="3"/>
        <item x="4"/>
        <item x="5"/>
        <item x="6"/>
        <item x="2"/>
        <item x="7"/>
        <item x="8"/>
        <item t="default"/>
      </items>
    </pivotField>
    <pivotField showAll="0"/>
    <pivotField showAll="0">
      <items count="4">
        <item x="1"/>
        <item x="0"/>
        <item x="2"/>
        <item t="default"/>
      </items>
    </pivotField>
    <pivotField showAll="0"/>
    <pivotField showAll="0">
      <items count="4">
        <item x="1"/>
        <item x="0"/>
        <item x="2"/>
        <item t="default"/>
      </items>
    </pivotField>
    <pivotField showAll="0">
      <items count="4">
        <item x="1"/>
        <item x="0"/>
        <item h="1" x="2"/>
        <item t="default"/>
      </items>
    </pivotField>
    <pivotField showAll="0"/>
    <pivotField showAll="0"/>
    <pivotField showAll="0"/>
    <pivotField dataField="1" showAll="0"/>
    <pivotField showAll="0"/>
    <pivotField showAll="0"/>
  </pivotFields>
  <rowFields count="1">
    <field x="2"/>
  </rowFields>
  <rowItems count="3">
    <i>
      <x/>
    </i>
    <i>
      <x v="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DFAEF6-4EF5-44B6-BBAB-34032CEB9B4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Q3:AR4" firstHeaderRow="0" firstDataRow="1" firstDataCol="0"/>
  <pivotFields count="15">
    <pivotField showAll="0"/>
    <pivotField numFmtId="14" showAll="0"/>
    <pivotField showAll="0">
      <items count="3">
        <item x="0"/>
        <item x="1"/>
        <item t="default"/>
      </items>
    </pivotField>
    <pivotField showAll="0">
      <items count="13">
        <item x="9"/>
        <item x="10"/>
        <item x="11"/>
        <item x="0"/>
        <item x="1"/>
        <item x="3"/>
        <item x="4"/>
        <item x="5"/>
        <item x="6"/>
        <item x="2"/>
        <item x="7"/>
        <item x="8"/>
        <item t="default"/>
      </items>
    </pivotField>
    <pivotField showAll="0"/>
    <pivotField showAll="0">
      <items count="4">
        <item x="1"/>
        <item x="0"/>
        <item x="2"/>
        <item t="default"/>
      </items>
    </pivotField>
    <pivotField showAll="0"/>
    <pivotField showAll="0">
      <items count="4">
        <item x="1"/>
        <item x="0"/>
        <item x="2"/>
        <item t="default"/>
      </items>
    </pivotField>
    <pivotField showAll="0">
      <items count="4">
        <item x="1"/>
        <item x="0"/>
        <item h="1" x="2"/>
        <item t="default"/>
      </items>
    </pivotField>
    <pivotField showAll="0"/>
    <pivotField showAll="0"/>
    <pivotField showAll="0"/>
    <pivotField dataField="1" showAll="0"/>
    <pivotField showAll="0"/>
    <pivotField dataField="1" showAll="0"/>
  </pivotFields>
  <rowItems count="1">
    <i/>
  </rowItems>
  <colFields count="1">
    <field x="-2"/>
  </colFields>
  <colItems count="2">
    <i>
      <x/>
    </i>
    <i i="1">
      <x v="1"/>
    </i>
  </colItems>
  <dataFields count="2">
    <dataField name="Sum of Revenue" fld="12" baseField="0" baseItem="0"/>
    <dataField name="Sum of Profit/Los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B0615B-F882-4F1D-B318-5E9591D217B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G3:AH6" firstHeaderRow="1" firstDataRow="1" firstDataCol="1"/>
  <pivotFields count="15">
    <pivotField dataField="1" showAll="0"/>
    <pivotField numFmtId="14" showAll="0"/>
    <pivotField showAll="0">
      <items count="3">
        <item x="0"/>
        <item x="1"/>
        <item t="default"/>
      </items>
    </pivotField>
    <pivotField showAll="0">
      <items count="13">
        <item x="9"/>
        <item x="10"/>
        <item x="11"/>
        <item x="0"/>
        <item x="1"/>
        <item x="3"/>
        <item x="4"/>
        <item x="5"/>
        <item x="6"/>
        <item x="2"/>
        <item x="7"/>
        <item x="8"/>
        <item t="default"/>
      </items>
    </pivotField>
    <pivotField showAll="0"/>
    <pivotField showAll="0">
      <items count="4">
        <item x="1"/>
        <item x="0"/>
        <item x="2"/>
        <item t="default"/>
      </items>
    </pivotField>
    <pivotField showAll="0"/>
    <pivotField showAll="0">
      <items count="4">
        <item x="1"/>
        <item x="0"/>
        <item x="2"/>
        <item t="default"/>
      </items>
    </pivotField>
    <pivotField axis="axisRow" showAll="0">
      <items count="4">
        <item x="1"/>
        <item x="0"/>
        <item h="1" x="2"/>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Id" fld="0" subtotal="count" showDataAs="percentOfCo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F1E17-7269-4A44-8A24-4100E6E22A56}"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A34" firstHeaderRow="1" firstDataRow="1" firstDataCol="1"/>
  <pivotFields count="15">
    <pivotField showAll="0"/>
    <pivotField numFmtId="14" showAll="0"/>
    <pivotField showAll="0">
      <items count="3">
        <item x="0"/>
        <item x="1"/>
        <item t="default"/>
      </items>
    </pivotField>
    <pivotField showAll="0">
      <items count="13">
        <item x="9"/>
        <item x="10"/>
        <item x="11"/>
        <item x="0"/>
        <item x="1"/>
        <item x="3"/>
        <item x="4"/>
        <item x="5"/>
        <item x="6"/>
        <item x="2"/>
        <item x="7"/>
        <item x="8"/>
        <item t="default"/>
      </items>
    </pivotField>
    <pivotField axis="axisRow" showAll="0">
      <items count="31">
        <item x="14"/>
        <item x="0"/>
        <item x="17"/>
        <item x="19"/>
        <item x="20"/>
        <item x="28"/>
        <item x="23"/>
        <item x="29"/>
        <item x="1"/>
        <item x="4"/>
        <item x="16"/>
        <item x="6"/>
        <item x="26"/>
        <item x="7"/>
        <item x="11"/>
        <item x="9"/>
        <item x="21"/>
        <item x="25"/>
        <item x="24"/>
        <item x="8"/>
        <item x="27"/>
        <item x="15"/>
        <item x="13"/>
        <item x="10"/>
        <item x="18"/>
        <item x="5"/>
        <item x="12"/>
        <item x="2"/>
        <item x="22"/>
        <item x="3"/>
        <item t="default"/>
      </items>
    </pivotField>
    <pivotField showAll="0">
      <items count="4">
        <item x="1"/>
        <item x="0"/>
        <item x="2"/>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Revenue" fld="1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410B1-61BD-478D-8E50-0023A1F3CD6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3:R7" firstHeaderRow="1" firstDataRow="1" firstDataCol="1"/>
  <pivotFields count="15">
    <pivotField showAll="0"/>
    <pivotField numFmtId="14" showAll="0"/>
    <pivotField showAll="0">
      <items count="3">
        <item x="0"/>
        <item x="1"/>
        <item t="default"/>
      </items>
    </pivotField>
    <pivotField showAll="0">
      <items count="13">
        <item x="9"/>
        <item x="10"/>
        <item x="11"/>
        <item x="0"/>
        <item x="1"/>
        <item x="3"/>
        <item x="4"/>
        <item x="5"/>
        <item x="6"/>
        <item x="2"/>
        <item x="7"/>
        <item x="8"/>
        <item t="default"/>
      </items>
    </pivotField>
    <pivotField showAll="0"/>
    <pivotField axis="axisRow" showAll="0">
      <items count="4">
        <item x="1"/>
        <item x="0"/>
        <item x="2"/>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Revenue" fld="12" showDataAs="percentOfCo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0F9414-55B0-465E-B9B9-751181DCC138}" name="Catego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M7" firstHeaderRow="1" firstDataRow="1" firstDataCol="1"/>
  <pivotFields count="15">
    <pivotField showAll="0"/>
    <pivotField numFmtId="14" showAll="0"/>
    <pivotField showAll="0">
      <items count="3">
        <item x="0"/>
        <item x="1"/>
        <item t="default"/>
      </items>
    </pivotField>
    <pivotField showAll="0">
      <items count="13">
        <item x="9"/>
        <item x="10"/>
        <item x="11"/>
        <item x="0"/>
        <item x="1"/>
        <item x="3"/>
        <item x="4"/>
        <item x="5"/>
        <item x="6"/>
        <item x="2"/>
        <item x="7"/>
        <item x="8"/>
        <item t="default"/>
      </items>
    </pivotField>
    <pivotField showAll="0"/>
    <pivotField showAll="0">
      <items count="4">
        <item x="1"/>
        <item x="0"/>
        <item x="2"/>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Revenue" fld="12" showDataAs="percentOfCo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3C64BD-3042-4F7A-B6E4-1B6F3A9F884C}" name="Month Trend"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5">
    <pivotField showAll="0"/>
    <pivotField numFmtId="14" showAll="0"/>
    <pivotField showAll="0">
      <items count="3">
        <item x="0"/>
        <item x="1"/>
        <item t="default"/>
      </items>
    </pivotField>
    <pivotField axis="axisRow" showAll="0">
      <items count="13">
        <item x="9"/>
        <item x="10"/>
        <item x="11"/>
        <item x="0"/>
        <item x="1"/>
        <item x="3"/>
        <item x="4"/>
        <item x="5"/>
        <item x="6"/>
        <item x="2"/>
        <item x="7"/>
        <item x="8"/>
        <item t="default"/>
      </items>
    </pivotField>
    <pivotField showAll="0"/>
    <pivotField showAll="0">
      <items count="4">
        <item x="1"/>
        <item x="0"/>
        <item x="2"/>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07B737-9C1C-4E91-AC2F-E209402DD978}" sourceName="Year">
  <pivotTables>
    <pivotTable tabId="4" name="PivotTable8"/>
    <pivotTable tabId="4" name="Category"/>
    <pivotTable tabId="4" name="Month Trend"/>
    <pivotTable tabId="4" name="PivotTable3"/>
    <pivotTable tabId="4" name="PivotTable4"/>
    <pivotTable tabId="4" name="PivotTable5"/>
    <pivotTable tabId="4" name="PivotTable6"/>
    <pivotTable tabId="4" name="PivotTable7"/>
  </pivotTables>
  <data>
    <tabular pivotCacheId="6074437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2E33924-A32E-48B5-90F5-3AE177AEF3EF}" sourceName="Sales Channel">
  <pivotTables>
    <pivotTable tabId="4" name="PivotTable8"/>
    <pivotTable tabId="4" name="Category"/>
    <pivotTable tabId="4" name="Month Trend"/>
    <pivotTable tabId="4" name="PivotTable3"/>
    <pivotTable tabId="4" name="PivotTable4"/>
    <pivotTable tabId="4" name="PivotTable5"/>
    <pivotTable tabId="4" name="PivotTable6"/>
    <pivotTable tabId="4" name="PivotTable7"/>
  </pivotTables>
  <data>
    <tabular pivotCacheId="60744379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F3C118A8-CD5D-4C9D-91A5-2613A37D6E98}" sourceName="Categories">
  <pivotTables>
    <pivotTable tabId="4" name="PivotTable8"/>
    <pivotTable tabId="4" name="Category"/>
    <pivotTable tabId="4" name="Month Trend"/>
    <pivotTable tabId="4" name="PivotTable3"/>
    <pivotTable tabId="4" name="PivotTable4"/>
    <pivotTable tabId="4" name="PivotTable5"/>
    <pivotTable tabId="4" name="PivotTable6"/>
    <pivotTable tabId="4" name="PivotTable7"/>
  </pivotTables>
  <data>
    <tabular pivotCacheId="60744379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69D3235-857E-4C7D-9878-058DD712C5E1}" cache="Slicer_Year" caption="Year" style="SlicerStyleLight2" rowHeight="241300"/>
  <slicer name="Sales Channel 1" xr10:uid="{EB89F50D-9792-4A18-9B32-9E397FEEAF2F}" cache="Slicer_Sales_Channel" caption="Sales Channel" style="SlicerStyleLight2" rowHeight="241300"/>
  <slicer name="Categories 1" xr10:uid="{3FE07F98-8419-4530-B22E-FD6E054BAEC1}" cache="Slicer_Categories" caption="Categories"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50C2BDF-A645-4358-A29C-85B4F1E26C36}" cache="Slicer_Year" caption="Year" style="SlicerStyleLight2" rowHeight="241300"/>
  <slicer name="Sales Channel" xr10:uid="{018B6C66-5B8A-4E4D-9EE5-D0A4176B832D}" cache="Slicer_Sales_Channel" caption="Sales Channel" style="SlicerStyleLight2" rowHeight="241300"/>
  <slicer name="Categories" xr10:uid="{0EF685C0-3ACC-403D-8BD5-1DC1231AB58F}" cache="Slicer_Categories" caption="Categorie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4596F3-F196-4134-B5D4-D1CCC8C00DD8}" name="Table1" displayName="Table1" ref="A1:O684" totalsRowShown="0" headerRowDxfId="15">
  <autoFilter ref="A1:O684" xr:uid="{A14596F3-F196-4134-B5D4-D1CCC8C00DD8}"/>
  <tableColumns count="15">
    <tableColumn id="1" xr3:uid="{A9801ACC-8F5E-49CC-8729-6574865BB3D0}" name="Id" dataDxfId="14"/>
    <tableColumn id="15" xr3:uid="{4566A882-F1FD-4956-833C-867E5F8485A4}" name="Date" dataDxfId="13"/>
    <tableColumn id="11" xr3:uid="{E0D8A42F-DD1F-4E64-9AD9-44F9351ED558}" name="Year" dataDxfId="12">
      <calculatedColumnFormula>TEXT(Table1[[#This Row],[Date]],"YYYY")</calculatedColumnFormula>
    </tableColumn>
    <tableColumn id="12" xr3:uid="{3B846E30-6231-4960-B748-B34B6AE17038}" name="Month" dataDxfId="11">
      <calculatedColumnFormula>TEXT(Table1[[#This Row],[Date]],"MMM")</calculatedColumnFormula>
    </tableColumn>
    <tableColumn id="14" xr3:uid="{F38FA9C5-9319-4F80-8F68-D42B819E2E13}" name="State" dataDxfId="10"/>
    <tableColumn id="5" xr3:uid="{AE753E35-E476-40F0-9817-2666331F4638}" name="Sales Channel" dataDxfId="9"/>
    <tableColumn id="6" xr3:uid="{4B32776B-ADBD-442F-A2E9-54DA6897141C}" name="Product" dataDxfId="8"/>
    <tableColumn id="7" xr3:uid="{2066124E-458C-4785-A5AD-36598CB61F76}" name="Categories" dataDxfId="7"/>
    <tableColumn id="21" xr3:uid="{CCB36EE8-35FD-4A27-A752-264831A42FB5}" name="Satisfaction Level" dataDxfId="6"/>
    <tableColumn id="8" xr3:uid="{C7026C57-922C-4FE9-B6BD-724CE97F7B2F}" name="Cost" dataDxfId="5"/>
    <tableColumn id="9" xr3:uid="{AB3CEC4E-3A54-49A6-ADB8-A1DF967D8AE8}" name="Sales Price" dataDxfId="4"/>
    <tableColumn id="10" xr3:uid="{BA79C5C5-C0B8-4113-B3AC-A667A6BBBD14}" name="Qty" dataDxfId="3"/>
    <tableColumn id="2" xr3:uid="{20B6AC66-4257-4EA7-A1F3-6493EE4188D5}" name="Revenue" dataDxfId="2">
      <calculatedColumnFormula>Table1[[#This Row],[Qty]]*Table1[[#This Row],[Sales Price]]</calculatedColumnFormula>
    </tableColumn>
    <tableColumn id="3" xr3:uid="{E3525122-B9CE-4AFF-B015-F30C09BC988E}" name="Total Cost" dataDxfId="1">
      <calculatedColumnFormula>Table1[[#This Row],[Qty]]*Table1[[#This Row],[Cost]]</calculatedColumnFormula>
    </tableColumn>
    <tableColumn id="4" xr3:uid="{A6038774-8C22-412E-8AC9-61A5F803742D}" name="Profit/Loss" dataDxfId="0">
      <calculatedColumnFormula>Table1[[#This Row],[Revenue]]-Table1[[#This Row],[Total Cost]]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D72D-3DCE-4B53-A5C2-CE02545A328B}">
  <dimension ref="A1:Q684"/>
  <sheetViews>
    <sheetView topLeftCell="A2" zoomScale="90" zoomScaleNormal="90" workbookViewId="0">
      <selection activeCell="E9" sqref="E9"/>
    </sheetView>
  </sheetViews>
  <sheetFormatPr defaultRowHeight="14.4" x14ac:dyDescent="0.55000000000000004"/>
  <cols>
    <col min="2" max="2" width="10.15625" bestFit="1" customWidth="1"/>
    <col min="3" max="4" width="0" hidden="1" customWidth="1"/>
    <col min="5" max="5" width="15.1015625" customWidth="1"/>
    <col min="6" max="6" width="16.83984375" customWidth="1"/>
    <col min="7" max="7" width="17.41796875" bestFit="1" customWidth="1"/>
    <col min="8" max="8" width="14.26171875" customWidth="1"/>
    <col min="9" max="9" width="14.83984375" bestFit="1" customWidth="1"/>
    <col min="15" max="15" width="9.578125" bestFit="1" customWidth="1"/>
    <col min="17" max="17" width="14.15625" bestFit="1" customWidth="1"/>
  </cols>
  <sheetData>
    <row r="1" spans="1:17" x14ac:dyDescent="0.55000000000000004">
      <c r="A1" s="1" t="s">
        <v>0</v>
      </c>
      <c r="B1" s="1" t="s">
        <v>1</v>
      </c>
      <c r="C1" s="1" t="s">
        <v>69</v>
      </c>
      <c r="D1" s="1" t="s">
        <v>2</v>
      </c>
      <c r="E1" s="1" t="s">
        <v>3</v>
      </c>
      <c r="F1" s="1" t="s">
        <v>4</v>
      </c>
      <c r="G1" s="1" t="s">
        <v>5</v>
      </c>
      <c r="H1" s="1" t="s">
        <v>6</v>
      </c>
      <c r="I1" s="1" t="s">
        <v>7</v>
      </c>
      <c r="J1" s="1" t="s">
        <v>8</v>
      </c>
      <c r="K1" s="1" t="s">
        <v>9</v>
      </c>
      <c r="L1" s="1" t="s">
        <v>10</v>
      </c>
      <c r="M1" s="2" t="s">
        <v>11</v>
      </c>
      <c r="N1" s="2" t="s">
        <v>12</v>
      </c>
      <c r="O1" s="2" t="s">
        <v>13</v>
      </c>
    </row>
    <row r="2" spans="1:17" x14ac:dyDescent="0.55000000000000004">
      <c r="A2" s="3">
        <v>1</v>
      </c>
      <c r="B2" s="4">
        <v>44666</v>
      </c>
      <c r="C2" s="4" t="str">
        <f>TEXT(Table1[[#This Row],[Date]],"YYYY")</f>
        <v>2022</v>
      </c>
      <c r="D2" s="4" t="str">
        <f>TEXT(Table1[[#This Row],[Date]],"MMM")</f>
        <v>Apr</v>
      </c>
      <c r="E2" s="5" t="s">
        <v>14</v>
      </c>
      <c r="F2" s="3" t="s">
        <v>15</v>
      </c>
      <c r="G2" s="3" t="s">
        <v>16</v>
      </c>
      <c r="H2" s="3" t="s">
        <v>17</v>
      </c>
      <c r="I2" s="3">
        <v>1</v>
      </c>
      <c r="J2" s="3">
        <v>38250</v>
      </c>
      <c r="K2" s="3">
        <v>42500</v>
      </c>
      <c r="L2" s="3">
        <v>3</v>
      </c>
      <c r="M2">
        <f>Table1[[#This Row],[Qty]]*Table1[[#This Row],[Sales Price]]</f>
        <v>127500</v>
      </c>
      <c r="N2">
        <f>Table1[[#This Row],[Qty]]*Table1[[#This Row],[Cost]]</f>
        <v>114750</v>
      </c>
      <c r="O2">
        <f>Table1[[#This Row],[Revenue]]-Table1[[#This Row],[Total Cost]]</f>
        <v>12750</v>
      </c>
      <c r="Q2" t="s">
        <v>70</v>
      </c>
    </row>
    <row r="3" spans="1:17" x14ac:dyDescent="0.55000000000000004">
      <c r="A3" s="3">
        <v>2</v>
      </c>
      <c r="B3" s="4">
        <v>44667</v>
      </c>
      <c r="C3" s="4" t="str">
        <f>TEXT(Table1[[#This Row],[Date]],"YYYY")</f>
        <v>2022</v>
      </c>
      <c r="D3" s="4" t="str">
        <f>TEXT(Table1[[#This Row],[Date]],"MMM")</f>
        <v>Apr</v>
      </c>
      <c r="E3" s="5" t="s">
        <v>14</v>
      </c>
      <c r="F3" s="3" t="s">
        <v>18</v>
      </c>
      <c r="G3" s="3" t="s">
        <v>19</v>
      </c>
      <c r="H3" s="3" t="s">
        <v>17</v>
      </c>
      <c r="I3" s="3">
        <v>0</v>
      </c>
      <c r="J3" s="3">
        <v>2700</v>
      </c>
      <c r="K3" s="3">
        <v>3000</v>
      </c>
      <c r="L3" s="3">
        <v>5</v>
      </c>
      <c r="M3">
        <f>Table1[[#This Row],[Qty]]*Table1[[#This Row],[Sales Price]]</f>
        <v>15000</v>
      </c>
      <c r="N3">
        <f>Table1[[#This Row],[Qty]]*Table1[[#This Row],[Cost]]</f>
        <v>13500</v>
      </c>
      <c r="O3">
        <f>Table1[[#This Row],[Revenue]]-Table1[[#This Row],[Total Cost]]</f>
        <v>1500</v>
      </c>
      <c r="Q3" t="s">
        <v>71</v>
      </c>
    </row>
    <row r="4" spans="1:17" x14ac:dyDescent="0.55000000000000004">
      <c r="A4" s="3">
        <v>3</v>
      </c>
      <c r="B4" s="4">
        <v>44668</v>
      </c>
      <c r="C4" s="4" t="str">
        <f>TEXT(Table1[[#This Row],[Date]],"YYYY")</f>
        <v>2022</v>
      </c>
      <c r="D4" s="4" t="str">
        <f>TEXT(Table1[[#This Row],[Date]],"MMM")</f>
        <v>Apr</v>
      </c>
      <c r="E4" s="5" t="s">
        <v>20</v>
      </c>
      <c r="F4" s="3" t="s">
        <v>18</v>
      </c>
      <c r="G4" s="3" t="s">
        <v>21</v>
      </c>
      <c r="H4" s="3" t="s">
        <v>17</v>
      </c>
      <c r="I4" s="3">
        <v>1</v>
      </c>
      <c r="J4" s="3">
        <v>23850</v>
      </c>
      <c r="K4" s="3">
        <v>26500</v>
      </c>
      <c r="L4" s="3">
        <v>1</v>
      </c>
      <c r="M4">
        <f>Table1[[#This Row],[Qty]]*Table1[[#This Row],[Sales Price]]</f>
        <v>26500</v>
      </c>
      <c r="N4">
        <f>Table1[[#This Row],[Qty]]*Table1[[#This Row],[Cost]]</f>
        <v>23850</v>
      </c>
      <c r="O4">
        <f>Table1[[#This Row],[Revenue]]-Table1[[#This Row],[Total Cost]]</f>
        <v>2650</v>
      </c>
      <c r="Q4" t="s">
        <v>72</v>
      </c>
    </row>
    <row r="5" spans="1:17" x14ac:dyDescent="0.55000000000000004">
      <c r="A5" s="3">
        <v>4</v>
      </c>
      <c r="B5" s="4">
        <v>44669</v>
      </c>
      <c r="C5" s="4" t="str">
        <f>TEXT(Table1[[#This Row],[Date]],"YYYY")</f>
        <v>2022</v>
      </c>
      <c r="D5" s="4" t="str">
        <f>TEXT(Table1[[#This Row],[Date]],"MMM")</f>
        <v>Apr</v>
      </c>
      <c r="E5" s="5" t="s">
        <v>22</v>
      </c>
      <c r="F5" s="3" t="s">
        <v>18</v>
      </c>
      <c r="G5" s="3" t="s">
        <v>23</v>
      </c>
      <c r="H5" s="3" t="s">
        <v>17</v>
      </c>
      <c r="I5" s="3">
        <v>1</v>
      </c>
      <c r="J5" s="3">
        <v>24750</v>
      </c>
      <c r="K5" s="3">
        <v>27500</v>
      </c>
      <c r="L5" s="3">
        <v>5</v>
      </c>
      <c r="M5">
        <f>Table1[[#This Row],[Qty]]*Table1[[#This Row],[Sales Price]]</f>
        <v>137500</v>
      </c>
      <c r="N5">
        <f>Table1[[#This Row],[Qty]]*Table1[[#This Row],[Cost]]</f>
        <v>123750</v>
      </c>
      <c r="O5">
        <f>Table1[[#This Row],[Revenue]]-Table1[[#This Row],[Total Cost]]</f>
        <v>13750</v>
      </c>
    </row>
    <row r="6" spans="1:17" x14ac:dyDescent="0.55000000000000004">
      <c r="A6" s="3">
        <v>5</v>
      </c>
      <c r="B6" s="4">
        <v>44670</v>
      </c>
      <c r="C6" s="4" t="str">
        <f>TEXT(Table1[[#This Row],[Date]],"YYYY")</f>
        <v>2022</v>
      </c>
      <c r="D6" s="4" t="str">
        <f>TEXT(Table1[[#This Row],[Date]],"MMM")</f>
        <v>Apr</v>
      </c>
      <c r="E6" s="5" t="s">
        <v>24</v>
      </c>
      <c r="F6" s="3" t="s">
        <v>18</v>
      </c>
      <c r="G6" s="3" t="s">
        <v>25</v>
      </c>
      <c r="H6" s="3" t="s">
        <v>17</v>
      </c>
      <c r="I6" s="3">
        <v>1</v>
      </c>
      <c r="J6" s="3">
        <v>44550</v>
      </c>
      <c r="K6" s="3">
        <v>49500</v>
      </c>
      <c r="L6" s="3">
        <v>7</v>
      </c>
      <c r="M6">
        <f>Table1[[#This Row],[Qty]]*Table1[[#This Row],[Sales Price]]</f>
        <v>346500</v>
      </c>
      <c r="N6">
        <f>Table1[[#This Row],[Qty]]*Table1[[#This Row],[Cost]]</f>
        <v>311850</v>
      </c>
      <c r="O6">
        <f>Table1[[#This Row],[Revenue]]-Table1[[#This Row],[Total Cost]]</f>
        <v>34650</v>
      </c>
      <c r="Q6" t="s">
        <v>73</v>
      </c>
    </row>
    <row r="7" spans="1:17" x14ac:dyDescent="0.55000000000000004">
      <c r="A7" s="3">
        <v>6</v>
      </c>
      <c r="B7" s="4">
        <v>44671</v>
      </c>
      <c r="C7" s="4" t="str">
        <f>TEXT(Table1[[#This Row],[Date]],"YYYY")</f>
        <v>2022</v>
      </c>
      <c r="D7" s="4" t="str">
        <f>TEXT(Table1[[#This Row],[Date]],"MMM")</f>
        <v>Apr</v>
      </c>
      <c r="E7" s="5" t="s">
        <v>14</v>
      </c>
      <c r="F7" s="3" t="s">
        <v>18</v>
      </c>
      <c r="G7" s="3" t="s">
        <v>26</v>
      </c>
      <c r="H7" s="3" t="s">
        <v>17</v>
      </c>
      <c r="I7" s="3">
        <v>1</v>
      </c>
      <c r="J7" s="3">
        <v>9000</v>
      </c>
      <c r="K7" s="3">
        <v>10000</v>
      </c>
      <c r="L7" s="3">
        <v>4</v>
      </c>
      <c r="M7">
        <f>Table1[[#This Row],[Qty]]*Table1[[#This Row],[Sales Price]]</f>
        <v>40000</v>
      </c>
      <c r="N7">
        <f>Table1[[#This Row],[Qty]]*Table1[[#This Row],[Cost]]</f>
        <v>36000</v>
      </c>
      <c r="O7">
        <f>Table1[[#This Row],[Revenue]]-Table1[[#This Row],[Total Cost]]</f>
        <v>4000</v>
      </c>
      <c r="Q7" t="s">
        <v>75</v>
      </c>
    </row>
    <row r="8" spans="1:17" x14ac:dyDescent="0.55000000000000004">
      <c r="A8" s="3">
        <v>7</v>
      </c>
      <c r="B8" s="4">
        <v>44672</v>
      </c>
      <c r="C8" s="4" t="str">
        <f>TEXT(Table1[[#This Row],[Date]],"YYYY")</f>
        <v>2022</v>
      </c>
      <c r="D8" s="4" t="str">
        <f>TEXT(Table1[[#This Row],[Date]],"MMM")</f>
        <v>Apr</v>
      </c>
      <c r="E8" s="5" t="s">
        <v>20</v>
      </c>
      <c r="F8" s="3" t="s">
        <v>18</v>
      </c>
      <c r="G8" s="3" t="s">
        <v>27</v>
      </c>
      <c r="H8" s="3" t="s">
        <v>28</v>
      </c>
      <c r="I8" s="3"/>
      <c r="J8" s="3">
        <v>8640</v>
      </c>
      <c r="K8" s="3">
        <v>9600</v>
      </c>
      <c r="L8" s="3">
        <v>8</v>
      </c>
      <c r="M8">
        <f>Table1[[#This Row],[Qty]]*Table1[[#This Row],[Sales Price]]</f>
        <v>76800</v>
      </c>
      <c r="N8">
        <f>Table1[[#This Row],[Qty]]*Table1[[#This Row],[Cost]]</f>
        <v>69120</v>
      </c>
      <c r="O8">
        <f>Table1[[#This Row],[Revenue]]-Table1[[#This Row],[Total Cost]]</f>
        <v>7680</v>
      </c>
      <c r="Q8" t="s">
        <v>76</v>
      </c>
    </row>
    <row r="9" spans="1:17" x14ac:dyDescent="0.55000000000000004">
      <c r="A9" s="3">
        <v>8</v>
      </c>
      <c r="B9" s="4">
        <v>44673</v>
      </c>
      <c r="C9" s="4" t="str">
        <f>TEXT(Table1[[#This Row],[Date]],"YYYY")</f>
        <v>2022</v>
      </c>
      <c r="D9" s="4" t="str">
        <f>TEXT(Table1[[#This Row],[Date]],"MMM")</f>
        <v>Apr</v>
      </c>
      <c r="E9" s="5" t="s">
        <v>29</v>
      </c>
      <c r="F9" s="3" t="s">
        <v>18</v>
      </c>
      <c r="G9" s="3" t="s">
        <v>30</v>
      </c>
      <c r="H9" s="3" t="s">
        <v>28</v>
      </c>
      <c r="I9" s="3"/>
      <c r="J9" s="3">
        <v>9000</v>
      </c>
      <c r="K9" s="3">
        <v>10000</v>
      </c>
      <c r="L9" s="3">
        <v>8</v>
      </c>
      <c r="M9">
        <f>Table1[[#This Row],[Qty]]*Table1[[#This Row],[Sales Price]]</f>
        <v>80000</v>
      </c>
      <c r="N9">
        <f>Table1[[#This Row],[Qty]]*Table1[[#This Row],[Cost]]</f>
        <v>72000</v>
      </c>
      <c r="O9">
        <f>Table1[[#This Row],[Revenue]]-Table1[[#This Row],[Total Cost]]</f>
        <v>8000</v>
      </c>
      <c r="Q9" t="s">
        <v>77</v>
      </c>
    </row>
    <row r="10" spans="1:17" x14ac:dyDescent="0.55000000000000004">
      <c r="A10" s="3">
        <v>9</v>
      </c>
      <c r="B10" s="4">
        <v>44674</v>
      </c>
      <c r="C10" s="4" t="str">
        <f>TEXT(Table1[[#This Row],[Date]],"YYYY")</f>
        <v>2022</v>
      </c>
      <c r="D10" s="4" t="str">
        <f>TEXT(Table1[[#This Row],[Date]],"MMM")</f>
        <v>Apr</v>
      </c>
      <c r="E10" s="5" t="s">
        <v>31</v>
      </c>
      <c r="F10" s="3" t="s">
        <v>18</v>
      </c>
      <c r="G10" s="3" t="s">
        <v>32</v>
      </c>
      <c r="H10" s="3" t="s">
        <v>28</v>
      </c>
      <c r="I10" s="3">
        <v>1</v>
      </c>
      <c r="J10" s="3">
        <v>3870</v>
      </c>
      <c r="K10" s="3">
        <v>4300</v>
      </c>
      <c r="L10" s="3">
        <v>9</v>
      </c>
      <c r="M10">
        <f>Table1[[#This Row],[Qty]]*Table1[[#This Row],[Sales Price]]</f>
        <v>38700</v>
      </c>
      <c r="N10">
        <f>Table1[[#This Row],[Qty]]*Table1[[#This Row],[Cost]]</f>
        <v>34830</v>
      </c>
      <c r="O10">
        <f>Table1[[#This Row],[Revenue]]-Table1[[#This Row],[Total Cost]]</f>
        <v>3870</v>
      </c>
      <c r="Q10" t="s">
        <v>78</v>
      </c>
    </row>
    <row r="11" spans="1:17" x14ac:dyDescent="0.55000000000000004">
      <c r="A11" s="3">
        <v>10</v>
      </c>
      <c r="B11" s="4">
        <v>44675</v>
      </c>
      <c r="C11" s="4" t="str">
        <f>TEXT(Table1[[#This Row],[Date]],"YYYY")</f>
        <v>2022</v>
      </c>
      <c r="D11" s="4" t="str">
        <f>TEXT(Table1[[#This Row],[Date]],"MMM")</f>
        <v>Apr</v>
      </c>
      <c r="E11" s="5" t="s">
        <v>33</v>
      </c>
      <c r="F11" s="3" t="s">
        <v>18</v>
      </c>
      <c r="G11" s="3" t="s">
        <v>34</v>
      </c>
      <c r="H11" s="3" t="s">
        <v>28</v>
      </c>
      <c r="I11" s="3">
        <v>1</v>
      </c>
      <c r="J11" s="3">
        <v>45450</v>
      </c>
      <c r="K11" s="3">
        <v>50500</v>
      </c>
      <c r="L11" s="3">
        <v>2</v>
      </c>
      <c r="M11">
        <f>Table1[[#This Row],[Qty]]*Table1[[#This Row],[Sales Price]]</f>
        <v>101000</v>
      </c>
      <c r="N11">
        <f>Table1[[#This Row],[Qty]]*Table1[[#This Row],[Cost]]</f>
        <v>90900</v>
      </c>
      <c r="O11">
        <f>Table1[[#This Row],[Revenue]]-Table1[[#This Row],[Total Cost]]</f>
        <v>10100</v>
      </c>
      <c r="Q11" t="s">
        <v>82</v>
      </c>
    </row>
    <row r="12" spans="1:17" x14ac:dyDescent="0.55000000000000004">
      <c r="A12" s="3">
        <v>11</v>
      </c>
      <c r="B12" s="4">
        <v>44676</v>
      </c>
      <c r="C12" s="4" t="str">
        <f>TEXT(Table1[[#This Row],[Date]],"YYYY")</f>
        <v>2022</v>
      </c>
      <c r="D12" s="4" t="str">
        <f>TEXT(Table1[[#This Row],[Date]],"MMM")</f>
        <v>Apr</v>
      </c>
      <c r="E12" s="5" t="s">
        <v>35</v>
      </c>
      <c r="F12" s="3" t="s">
        <v>18</v>
      </c>
      <c r="G12" s="3" t="s">
        <v>36</v>
      </c>
      <c r="H12" s="3" t="s">
        <v>17</v>
      </c>
      <c r="I12" s="3">
        <v>1</v>
      </c>
      <c r="J12" s="3">
        <v>18225</v>
      </c>
      <c r="K12" s="3">
        <v>20250</v>
      </c>
      <c r="L12" s="3">
        <v>1</v>
      </c>
      <c r="M12">
        <f>Table1[[#This Row],[Qty]]*Table1[[#This Row],[Sales Price]]</f>
        <v>20250</v>
      </c>
      <c r="N12">
        <f>Table1[[#This Row],[Qty]]*Table1[[#This Row],[Cost]]</f>
        <v>18225</v>
      </c>
      <c r="O12">
        <f>Table1[[#This Row],[Revenue]]-Table1[[#This Row],[Total Cost]]</f>
        <v>2025</v>
      </c>
    </row>
    <row r="13" spans="1:17" x14ac:dyDescent="0.55000000000000004">
      <c r="A13" s="3">
        <v>12</v>
      </c>
      <c r="B13" s="4">
        <v>44677</v>
      </c>
      <c r="C13" s="4" t="str">
        <f>TEXT(Table1[[#This Row],[Date]],"YYYY")</f>
        <v>2022</v>
      </c>
      <c r="D13" s="4" t="str">
        <f>TEXT(Table1[[#This Row],[Date]],"MMM")</f>
        <v>Apr</v>
      </c>
      <c r="E13" s="5" t="s">
        <v>22</v>
      </c>
      <c r="F13" s="3" t="s">
        <v>18</v>
      </c>
      <c r="G13" s="3" t="s">
        <v>37</v>
      </c>
      <c r="H13" s="3" t="s">
        <v>17</v>
      </c>
      <c r="I13" s="3">
        <v>1</v>
      </c>
      <c r="J13" s="3">
        <v>1800</v>
      </c>
      <c r="K13" s="3">
        <v>2000</v>
      </c>
      <c r="L13" s="3">
        <v>22</v>
      </c>
      <c r="M13">
        <f>Table1[[#This Row],[Qty]]*Table1[[#This Row],[Sales Price]]</f>
        <v>44000</v>
      </c>
      <c r="N13">
        <f>Table1[[#This Row],[Qty]]*Table1[[#This Row],[Cost]]</f>
        <v>39600</v>
      </c>
      <c r="O13">
        <f>Table1[[#This Row],[Revenue]]-Table1[[#This Row],[Total Cost]]</f>
        <v>4400</v>
      </c>
      <c r="Q13" t="s">
        <v>74</v>
      </c>
    </row>
    <row r="14" spans="1:17" x14ac:dyDescent="0.55000000000000004">
      <c r="A14" s="3">
        <v>13</v>
      </c>
      <c r="B14" s="4">
        <v>44678</v>
      </c>
      <c r="C14" s="4" t="str">
        <f>TEXT(Table1[[#This Row],[Date]],"YYYY")</f>
        <v>2022</v>
      </c>
      <c r="D14" s="4" t="str">
        <f>TEXT(Table1[[#This Row],[Date]],"MMM")</f>
        <v>Apr</v>
      </c>
      <c r="E14" s="5" t="s">
        <v>14</v>
      </c>
      <c r="F14" s="3" t="s">
        <v>18</v>
      </c>
      <c r="G14" s="3" t="s">
        <v>38</v>
      </c>
      <c r="H14" s="3" t="s">
        <v>17</v>
      </c>
      <c r="I14" s="3">
        <v>1</v>
      </c>
      <c r="J14" s="3">
        <v>48600</v>
      </c>
      <c r="K14" s="3">
        <v>54000</v>
      </c>
      <c r="L14" s="3">
        <v>8</v>
      </c>
      <c r="M14">
        <f>Table1[[#This Row],[Qty]]*Table1[[#This Row],[Sales Price]]</f>
        <v>432000</v>
      </c>
      <c r="N14">
        <f>Table1[[#This Row],[Qty]]*Table1[[#This Row],[Cost]]</f>
        <v>388800</v>
      </c>
      <c r="O14">
        <f>Table1[[#This Row],[Revenue]]-Table1[[#This Row],[Total Cost]]</f>
        <v>43200</v>
      </c>
      <c r="Q14" t="s">
        <v>79</v>
      </c>
    </row>
    <row r="15" spans="1:17" x14ac:dyDescent="0.55000000000000004">
      <c r="A15" s="3">
        <v>14</v>
      </c>
      <c r="B15" s="4">
        <v>44679</v>
      </c>
      <c r="C15" s="4" t="str">
        <f>TEXT(Table1[[#This Row],[Date]],"YYYY")</f>
        <v>2022</v>
      </c>
      <c r="D15" s="4" t="str">
        <f>TEXT(Table1[[#This Row],[Date]],"MMM")</f>
        <v>Apr</v>
      </c>
      <c r="E15" s="5" t="s">
        <v>33</v>
      </c>
      <c r="F15" s="3" t="s">
        <v>18</v>
      </c>
      <c r="G15" s="3" t="s">
        <v>19</v>
      </c>
      <c r="H15" s="3" t="s">
        <v>17</v>
      </c>
      <c r="I15" s="3">
        <v>1</v>
      </c>
      <c r="J15" s="3">
        <v>72900</v>
      </c>
      <c r="K15" s="3">
        <v>81000</v>
      </c>
      <c r="L15" s="3">
        <v>7</v>
      </c>
      <c r="M15">
        <f>Table1[[#This Row],[Qty]]*Table1[[#This Row],[Sales Price]]</f>
        <v>567000</v>
      </c>
      <c r="N15">
        <f>Table1[[#This Row],[Qty]]*Table1[[#This Row],[Cost]]</f>
        <v>510300</v>
      </c>
      <c r="O15">
        <f>Table1[[#This Row],[Revenue]]-Table1[[#This Row],[Total Cost]]</f>
        <v>56700</v>
      </c>
      <c r="Q15" t="s">
        <v>3</v>
      </c>
    </row>
    <row r="16" spans="1:17" x14ac:dyDescent="0.55000000000000004">
      <c r="A16" s="3">
        <v>15</v>
      </c>
      <c r="B16" s="4">
        <v>44680</v>
      </c>
      <c r="C16" s="4" t="str">
        <f>TEXT(Table1[[#This Row],[Date]],"YYYY")</f>
        <v>2022</v>
      </c>
      <c r="D16" s="4" t="str">
        <f>TEXT(Table1[[#This Row],[Date]],"MMM")</f>
        <v>Apr</v>
      </c>
      <c r="E16" s="5" t="s">
        <v>14</v>
      </c>
      <c r="F16" s="3" t="s">
        <v>18</v>
      </c>
      <c r="G16" s="3" t="s">
        <v>21</v>
      </c>
      <c r="H16" s="3" t="s">
        <v>17</v>
      </c>
      <c r="I16" s="3"/>
      <c r="J16" s="3">
        <v>9450</v>
      </c>
      <c r="K16" s="3">
        <v>10500</v>
      </c>
      <c r="L16" s="3">
        <v>56</v>
      </c>
      <c r="M16">
        <f>Table1[[#This Row],[Qty]]*Table1[[#This Row],[Sales Price]]</f>
        <v>588000</v>
      </c>
      <c r="N16">
        <f>Table1[[#This Row],[Qty]]*Table1[[#This Row],[Cost]]</f>
        <v>529200</v>
      </c>
      <c r="O16">
        <f>Table1[[#This Row],[Revenue]]-Table1[[#This Row],[Total Cost]]</f>
        <v>58800</v>
      </c>
      <c r="Q16" t="s">
        <v>80</v>
      </c>
    </row>
    <row r="17" spans="1:17" x14ac:dyDescent="0.55000000000000004">
      <c r="A17" s="3">
        <v>16</v>
      </c>
      <c r="B17" s="4">
        <v>44681</v>
      </c>
      <c r="C17" s="4" t="str">
        <f>TEXT(Table1[[#This Row],[Date]],"YYYY")</f>
        <v>2022</v>
      </c>
      <c r="D17" s="4" t="str">
        <f>TEXT(Table1[[#This Row],[Date]],"MMM")</f>
        <v>Apr</v>
      </c>
      <c r="E17" s="5" t="s">
        <v>39</v>
      </c>
      <c r="F17" s="3" t="s">
        <v>18</v>
      </c>
      <c r="G17" s="3" t="s">
        <v>23</v>
      </c>
      <c r="H17" s="3" t="s">
        <v>17</v>
      </c>
      <c r="I17" s="3"/>
      <c r="J17" s="3">
        <v>36000</v>
      </c>
      <c r="K17" s="3">
        <v>40000</v>
      </c>
      <c r="L17" s="3">
        <v>10</v>
      </c>
      <c r="M17">
        <f>Table1[[#This Row],[Qty]]*Table1[[#This Row],[Sales Price]]</f>
        <v>400000</v>
      </c>
      <c r="N17">
        <f>Table1[[#This Row],[Qty]]*Table1[[#This Row],[Cost]]</f>
        <v>360000</v>
      </c>
      <c r="O17">
        <f>Table1[[#This Row],[Revenue]]-Table1[[#This Row],[Total Cost]]</f>
        <v>40000</v>
      </c>
      <c r="Q17" t="s">
        <v>81</v>
      </c>
    </row>
    <row r="18" spans="1:17" x14ac:dyDescent="0.55000000000000004">
      <c r="A18" s="3">
        <v>17</v>
      </c>
      <c r="B18" s="4">
        <v>44682</v>
      </c>
      <c r="C18" s="4" t="str">
        <f>TEXT(Table1[[#This Row],[Date]],"YYYY")</f>
        <v>2022</v>
      </c>
      <c r="D18" s="4" t="str">
        <f>TEXT(Table1[[#This Row],[Date]],"MMM")</f>
        <v>May</v>
      </c>
      <c r="E18" s="5" t="s">
        <v>40</v>
      </c>
      <c r="F18" s="3" t="s">
        <v>18</v>
      </c>
      <c r="G18" s="3" t="s">
        <v>25</v>
      </c>
      <c r="H18" s="3" t="s">
        <v>17</v>
      </c>
      <c r="I18" s="3"/>
      <c r="J18" s="3">
        <v>24300</v>
      </c>
      <c r="K18" s="3">
        <v>27000</v>
      </c>
      <c r="L18" s="3">
        <v>9</v>
      </c>
      <c r="M18">
        <f>Table1[[#This Row],[Qty]]*Table1[[#This Row],[Sales Price]]</f>
        <v>243000</v>
      </c>
      <c r="N18">
        <f>Table1[[#This Row],[Qty]]*Table1[[#This Row],[Cost]]</f>
        <v>218700</v>
      </c>
      <c r="O18">
        <f>Table1[[#This Row],[Revenue]]-Table1[[#This Row],[Total Cost]]</f>
        <v>24300</v>
      </c>
      <c r="Q18" t="s">
        <v>83</v>
      </c>
    </row>
    <row r="19" spans="1:17" x14ac:dyDescent="0.55000000000000004">
      <c r="A19" s="3">
        <v>18</v>
      </c>
      <c r="B19" s="4">
        <v>44683</v>
      </c>
      <c r="C19" s="4" t="str">
        <f>TEXT(Table1[[#This Row],[Date]],"YYYY")</f>
        <v>2022</v>
      </c>
      <c r="D19" s="4" t="str">
        <f>TEXT(Table1[[#This Row],[Date]],"MMM")</f>
        <v>May</v>
      </c>
      <c r="E19" s="5" t="s">
        <v>39</v>
      </c>
      <c r="F19" s="3" t="s">
        <v>18</v>
      </c>
      <c r="G19" s="3" t="s">
        <v>26</v>
      </c>
      <c r="H19" s="3" t="s">
        <v>17</v>
      </c>
      <c r="I19" s="3">
        <v>1</v>
      </c>
      <c r="J19" s="3">
        <v>9180</v>
      </c>
      <c r="K19" s="3">
        <v>10200</v>
      </c>
      <c r="L19" s="3">
        <v>27</v>
      </c>
      <c r="M19">
        <f>Table1[[#This Row],[Qty]]*Table1[[#This Row],[Sales Price]]</f>
        <v>275400</v>
      </c>
      <c r="N19">
        <f>Table1[[#This Row],[Qty]]*Table1[[#This Row],[Cost]]</f>
        <v>247860</v>
      </c>
      <c r="O19">
        <f>Table1[[#This Row],[Revenue]]-Table1[[#This Row],[Total Cost]]</f>
        <v>27540</v>
      </c>
    </row>
    <row r="20" spans="1:17" x14ac:dyDescent="0.55000000000000004">
      <c r="A20" s="3">
        <v>19</v>
      </c>
      <c r="B20" s="4">
        <v>44684</v>
      </c>
      <c r="C20" s="4" t="str">
        <f>TEXT(Table1[[#This Row],[Date]],"YYYY")</f>
        <v>2022</v>
      </c>
      <c r="D20" s="4" t="str">
        <f>TEXT(Table1[[#This Row],[Date]],"MMM")</f>
        <v>May</v>
      </c>
      <c r="E20" s="5" t="s">
        <v>22</v>
      </c>
      <c r="F20" s="3" t="s">
        <v>18</v>
      </c>
      <c r="G20" s="3" t="s">
        <v>37</v>
      </c>
      <c r="H20" s="3" t="s">
        <v>17</v>
      </c>
      <c r="I20" s="3">
        <v>1</v>
      </c>
      <c r="J20" s="3">
        <v>8640</v>
      </c>
      <c r="K20" s="3">
        <v>9600</v>
      </c>
      <c r="L20" s="3">
        <v>15</v>
      </c>
      <c r="M20">
        <f>Table1[[#This Row],[Qty]]*Table1[[#This Row],[Sales Price]]</f>
        <v>144000</v>
      </c>
      <c r="N20">
        <f>Table1[[#This Row],[Qty]]*Table1[[#This Row],[Cost]]</f>
        <v>129600</v>
      </c>
      <c r="O20">
        <f>Table1[[#This Row],[Revenue]]-Table1[[#This Row],[Total Cost]]</f>
        <v>14400</v>
      </c>
    </row>
    <row r="21" spans="1:17" x14ac:dyDescent="0.55000000000000004">
      <c r="A21" s="3">
        <v>20</v>
      </c>
      <c r="B21" s="4">
        <v>44838</v>
      </c>
      <c r="C21" s="4" t="str">
        <f>TEXT(Table1[[#This Row],[Date]],"YYYY")</f>
        <v>2022</v>
      </c>
      <c r="D21" s="4" t="str">
        <f>TEXT(Table1[[#This Row],[Date]],"MMM")</f>
        <v>Oct</v>
      </c>
      <c r="E21" s="5" t="s">
        <v>22</v>
      </c>
      <c r="F21" s="3" t="s">
        <v>18</v>
      </c>
      <c r="G21" s="3" t="s">
        <v>41</v>
      </c>
      <c r="H21" s="3" t="s">
        <v>28</v>
      </c>
      <c r="I21" s="3">
        <v>1</v>
      </c>
      <c r="J21" s="3">
        <v>8280</v>
      </c>
      <c r="K21" s="3">
        <v>9200</v>
      </c>
      <c r="L21" s="3">
        <v>3</v>
      </c>
      <c r="M21">
        <f>Table1[[#This Row],[Qty]]*Table1[[#This Row],[Sales Price]]</f>
        <v>27600</v>
      </c>
      <c r="N21">
        <f>Table1[[#This Row],[Qty]]*Table1[[#This Row],[Cost]]</f>
        <v>24840</v>
      </c>
      <c r="O21">
        <f>Table1[[#This Row],[Revenue]]-Table1[[#This Row],[Total Cost]]</f>
        <v>2760</v>
      </c>
    </row>
    <row r="22" spans="1:17" x14ac:dyDescent="0.55000000000000004">
      <c r="A22" s="3">
        <v>21</v>
      </c>
      <c r="B22" s="4">
        <v>44686</v>
      </c>
      <c r="C22" s="4" t="str">
        <f>TEXT(Table1[[#This Row],[Date]],"YYYY")</f>
        <v>2022</v>
      </c>
      <c r="D22" s="4" t="str">
        <f>TEXT(Table1[[#This Row],[Date]],"MMM")</f>
        <v>May</v>
      </c>
      <c r="E22" s="5" t="s">
        <v>39</v>
      </c>
      <c r="F22" s="3" t="s">
        <v>18</v>
      </c>
      <c r="G22" s="3" t="s">
        <v>27</v>
      </c>
      <c r="H22" s="3" t="s">
        <v>28</v>
      </c>
      <c r="I22" s="3">
        <v>0</v>
      </c>
      <c r="J22" s="3">
        <v>4950</v>
      </c>
      <c r="K22" s="3">
        <v>5500</v>
      </c>
      <c r="L22" s="3">
        <v>9</v>
      </c>
      <c r="M22">
        <f>Table1[[#This Row],[Qty]]*Table1[[#This Row],[Sales Price]]</f>
        <v>49500</v>
      </c>
      <c r="N22">
        <f>Table1[[#This Row],[Qty]]*Table1[[#This Row],[Cost]]</f>
        <v>44550</v>
      </c>
      <c r="O22">
        <f>Table1[[#This Row],[Revenue]]-Table1[[#This Row],[Total Cost]]</f>
        <v>4950</v>
      </c>
    </row>
    <row r="23" spans="1:17" x14ac:dyDescent="0.55000000000000004">
      <c r="A23" s="3">
        <v>22</v>
      </c>
      <c r="B23" s="4">
        <v>44687</v>
      </c>
      <c r="C23" s="4" t="str">
        <f>TEXT(Table1[[#This Row],[Date]],"YYYY")</f>
        <v>2022</v>
      </c>
      <c r="D23" s="4" t="str">
        <f>TEXT(Table1[[#This Row],[Date]],"MMM")</f>
        <v>May</v>
      </c>
      <c r="E23" s="5" t="s">
        <v>39</v>
      </c>
      <c r="F23" s="3" t="s">
        <v>18</v>
      </c>
      <c r="G23" s="3" t="s">
        <v>32</v>
      </c>
      <c r="H23" s="3" t="s">
        <v>28</v>
      </c>
      <c r="I23" s="3">
        <v>0</v>
      </c>
      <c r="J23" s="3">
        <v>3150</v>
      </c>
      <c r="K23" s="3">
        <v>3500</v>
      </c>
      <c r="L23" s="3">
        <v>22</v>
      </c>
      <c r="M23">
        <f>Table1[[#This Row],[Qty]]*Table1[[#This Row],[Sales Price]]</f>
        <v>77000</v>
      </c>
      <c r="N23">
        <f>Table1[[#This Row],[Qty]]*Table1[[#This Row],[Cost]]</f>
        <v>69300</v>
      </c>
      <c r="O23">
        <f>Table1[[#This Row],[Revenue]]-Table1[[#This Row],[Total Cost]]</f>
        <v>7700</v>
      </c>
    </row>
    <row r="24" spans="1:17" ht="15.6" x14ac:dyDescent="0.55000000000000004">
      <c r="A24" s="3">
        <v>23</v>
      </c>
      <c r="B24" s="6">
        <v>44838</v>
      </c>
      <c r="C24" s="7" t="str">
        <f>TEXT(Table1[[#This Row],[Date]],"YYYY")</f>
        <v>2022</v>
      </c>
      <c r="D24" s="7" t="str">
        <f>TEXT(Table1[[#This Row],[Date]],"MMM")</f>
        <v>Oct</v>
      </c>
      <c r="E24" s="5" t="s">
        <v>31</v>
      </c>
      <c r="F24" s="3" t="s">
        <v>18</v>
      </c>
      <c r="G24" s="3" t="s">
        <v>42</v>
      </c>
      <c r="H24" s="3" t="s">
        <v>43</v>
      </c>
      <c r="I24" s="3">
        <v>0</v>
      </c>
      <c r="J24" s="3">
        <v>2700</v>
      </c>
      <c r="K24" s="3">
        <v>3000</v>
      </c>
      <c r="L24" s="3">
        <v>16</v>
      </c>
      <c r="M24">
        <f>Table1[[#This Row],[Qty]]*Table1[[#This Row],[Sales Price]]</f>
        <v>48000</v>
      </c>
      <c r="N24">
        <f>Table1[[#This Row],[Qty]]*Table1[[#This Row],[Cost]]</f>
        <v>43200</v>
      </c>
      <c r="O24">
        <f>Table1[[#This Row],[Revenue]]-Table1[[#This Row],[Total Cost]]</f>
        <v>4800</v>
      </c>
    </row>
    <row r="25" spans="1:17" x14ac:dyDescent="0.55000000000000004">
      <c r="A25" s="3">
        <v>24</v>
      </c>
      <c r="B25" s="4">
        <v>44689</v>
      </c>
      <c r="C25" s="4" t="str">
        <f>TEXT(Table1[[#This Row],[Date]],"YYYY")</f>
        <v>2022</v>
      </c>
      <c r="D25" s="4" t="str">
        <f>TEXT(Table1[[#This Row],[Date]],"MMM")</f>
        <v>May</v>
      </c>
      <c r="E25" s="5" t="s">
        <v>39</v>
      </c>
      <c r="F25" s="3" t="s">
        <v>15</v>
      </c>
      <c r="G25" s="3" t="s">
        <v>44</v>
      </c>
      <c r="H25" s="3" t="s">
        <v>43</v>
      </c>
      <c r="I25" s="3">
        <v>1</v>
      </c>
      <c r="J25" s="3">
        <v>4050</v>
      </c>
      <c r="K25" s="3">
        <v>4500</v>
      </c>
      <c r="L25" s="3">
        <v>6</v>
      </c>
      <c r="M25">
        <f>Table1[[#This Row],[Qty]]*Table1[[#This Row],[Sales Price]]</f>
        <v>27000</v>
      </c>
      <c r="N25">
        <f>Table1[[#This Row],[Qty]]*Table1[[#This Row],[Cost]]</f>
        <v>24300</v>
      </c>
      <c r="O25">
        <f>Table1[[#This Row],[Revenue]]-Table1[[#This Row],[Total Cost]]</f>
        <v>2700</v>
      </c>
    </row>
    <row r="26" spans="1:17" ht="15.6" x14ac:dyDescent="0.55000000000000004">
      <c r="A26" s="3">
        <v>25</v>
      </c>
      <c r="B26" s="6">
        <v>44838</v>
      </c>
      <c r="C26" s="7" t="str">
        <f>TEXT(Table1[[#This Row],[Date]],"YYYY")</f>
        <v>2022</v>
      </c>
      <c r="D26" s="7" t="str">
        <f>TEXT(Table1[[#This Row],[Date]],"MMM")</f>
        <v>Oct</v>
      </c>
      <c r="E26" s="5" t="s">
        <v>39</v>
      </c>
      <c r="F26" s="3" t="s">
        <v>15</v>
      </c>
      <c r="G26" s="3" t="s">
        <v>45</v>
      </c>
      <c r="H26" s="3" t="s">
        <v>43</v>
      </c>
      <c r="I26" s="3"/>
      <c r="J26" s="3">
        <v>53100</v>
      </c>
      <c r="K26" s="3">
        <v>59000</v>
      </c>
      <c r="L26" s="3">
        <v>3</v>
      </c>
      <c r="M26">
        <f>Table1[[#This Row],[Qty]]*Table1[[#This Row],[Sales Price]]</f>
        <v>177000</v>
      </c>
      <c r="N26">
        <f>Table1[[#This Row],[Qty]]*Table1[[#This Row],[Cost]]</f>
        <v>159300</v>
      </c>
      <c r="O26">
        <f>Table1[[#This Row],[Revenue]]-Table1[[#This Row],[Total Cost]]</f>
        <v>17700</v>
      </c>
    </row>
    <row r="27" spans="1:17" ht="15.6" x14ac:dyDescent="0.55000000000000004">
      <c r="A27" s="3">
        <v>26</v>
      </c>
      <c r="B27" s="6">
        <v>44838</v>
      </c>
      <c r="C27" s="7" t="str">
        <f>TEXT(Table1[[#This Row],[Date]],"YYYY")</f>
        <v>2022</v>
      </c>
      <c r="D27" s="7" t="str">
        <f>TEXT(Table1[[#This Row],[Date]],"MMM")</f>
        <v>Oct</v>
      </c>
      <c r="E27" s="5" t="s">
        <v>46</v>
      </c>
      <c r="F27" s="3" t="s">
        <v>15</v>
      </c>
      <c r="G27" s="3" t="s">
        <v>47</v>
      </c>
      <c r="H27" s="3" t="s">
        <v>43</v>
      </c>
      <c r="I27" s="3"/>
      <c r="J27" s="3">
        <v>88200</v>
      </c>
      <c r="K27" s="3">
        <v>98000</v>
      </c>
      <c r="L27" s="3">
        <v>5</v>
      </c>
      <c r="M27">
        <f>Table1[[#This Row],[Qty]]*Table1[[#This Row],[Sales Price]]</f>
        <v>490000</v>
      </c>
      <c r="N27">
        <f>Table1[[#This Row],[Qty]]*Table1[[#This Row],[Cost]]</f>
        <v>441000</v>
      </c>
      <c r="O27">
        <f>Table1[[#This Row],[Revenue]]-Table1[[#This Row],[Total Cost]]</f>
        <v>49000</v>
      </c>
    </row>
    <row r="28" spans="1:17" ht="15.6" x14ac:dyDescent="0.55000000000000004">
      <c r="A28" s="3">
        <v>27</v>
      </c>
      <c r="B28" s="6">
        <v>44838</v>
      </c>
      <c r="C28" s="7" t="str">
        <f>TEXT(Table1[[#This Row],[Date]],"YYYY")</f>
        <v>2022</v>
      </c>
      <c r="D28" s="7" t="str">
        <f>TEXT(Table1[[#This Row],[Date]],"MMM")</f>
        <v>Oct</v>
      </c>
      <c r="E28" s="5" t="s">
        <v>39</v>
      </c>
      <c r="F28" s="3" t="s">
        <v>15</v>
      </c>
      <c r="G28" s="3" t="s">
        <v>48</v>
      </c>
      <c r="H28" s="3" t="s">
        <v>43</v>
      </c>
      <c r="I28" s="3">
        <v>1</v>
      </c>
      <c r="J28" s="3">
        <v>38250</v>
      </c>
      <c r="K28" s="3">
        <v>42500</v>
      </c>
      <c r="L28" s="3">
        <v>1</v>
      </c>
      <c r="M28">
        <f>Table1[[#This Row],[Qty]]*Table1[[#This Row],[Sales Price]]</f>
        <v>42500</v>
      </c>
      <c r="N28">
        <f>Table1[[#This Row],[Qty]]*Table1[[#This Row],[Cost]]</f>
        <v>38250</v>
      </c>
      <c r="O28">
        <f>Table1[[#This Row],[Revenue]]-Table1[[#This Row],[Total Cost]]</f>
        <v>4250</v>
      </c>
    </row>
    <row r="29" spans="1:17" ht="15.6" x14ac:dyDescent="0.55000000000000004">
      <c r="A29" s="3">
        <v>28</v>
      </c>
      <c r="B29" s="6">
        <v>44838</v>
      </c>
      <c r="C29" s="7" t="str">
        <f>TEXT(Table1[[#This Row],[Date]],"YYYY")</f>
        <v>2022</v>
      </c>
      <c r="D29" s="7" t="str">
        <f>TEXT(Table1[[#This Row],[Date]],"MMM")</f>
        <v>Oct</v>
      </c>
      <c r="E29" s="5" t="s">
        <v>22</v>
      </c>
      <c r="F29" s="3" t="s">
        <v>15</v>
      </c>
      <c r="G29" s="3" t="s">
        <v>42</v>
      </c>
      <c r="H29" s="3" t="s">
        <v>43</v>
      </c>
      <c r="I29" s="3">
        <v>1</v>
      </c>
      <c r="J29" s="3">
        <v>2700</v>
      </c>
      <c r="K29" s="3">
        <v>3000</v>
      </c>
      <c r="L29" s="3">
        <v>5</v>
      </c>
      <c r="M29">
        <f>Table1[[#This Row],[Qty]]*Table1[[#This Row],[Sales Price]]</f>
        <v>15000</v>
      </c>
      <c r="N29">
        <f>Table1[[#This Row],[Qty]]*Table1[[#This Row],[Cost]]</f>
        <v>13500</v>
      </c>
      <c r="O29">
        <f>Table1[[#This Row],[Revenue]]-Table1[[#This Row],[Total Cost]]</f>
        <v>1500</v>
      </c>
    </row>
    <row r="30" spans="1:17" x14ac:dyDescent="0.55000000000000004">
      <c r="A30" s="3">
        <v>29</v>
      </c>
      <c r="B30" s="4">
        <v>44694</v>
      </c>
      <c r="C30" s="4" t="str">
        <f>TEXT(Table1[[#This Row],[Date]],"YYYY")</f>
        <v>2022</v>
      </c>
      <c r="D30" s="4" t="str">
        <f>TEXT(Table1[[#This Row],[Date]],"MMM")</f>
        <v>May</v>
      </c>
      <c r="E30" s="5" t="s">
        <v>20</v>
      </c>
      <c r="F30" s="3" t="s">
        <v>15</v>
      </c>
      <c r="G30" s="3" t="s">
        <v>44</v>
      </c>
      <c r="H30" s="3" t="s">
        <v>43</v>
      </c>
      <c r="I30" s="3">
        <v>1</v>
      </c>
      <c r="J30" s="3">
        <v>23850</v>
      </c>
      <c r="K30" s="3">
        <v>26500</v>
      </c>
      <c r="L30" s="3">
        <v>7</v>
      </c>
      <c r="M30">
        <f>Table1[[#This Row],[Qty]]*Table1[[#This Row],[Sales Price]]</f>
        <v>185500</v>
      </c>
      <c r="N30">
        <f>Table1[[#This Row],[Qty]]*Table1[[#This Row],[Cost]]</f>
        <v>166950</v>
      </c>
      <c r="O30">
        <f>Table1[[#This Row],[Revenue]]-Table1[[#This Row],[Total Cost]]</f>
        <v>18550</v>
      </c>
    </row>
    <row r="31" spans="1:17" x14ac:dyDescent="0.55000000000000004">
      <c r="A31" s="3">
        <v>30</v>
      </c>
      <c r="B31" s="4">
        <v>44695</v>
      </c>
      <c r="C31" s="4" t="str">
        <f>TEXT(Table1[[#This Row],[Date]],"YYYY")</f>
        <v>2022</v>
      </c>
      <c r="D31" s="4" t="str">
        <f>TEXT(Table1[[#This Row],[Date]],"MMM")</f>
        <v>May</v>
      </c>
      <c r="E31" s="5" t="s">
        <v>22</v>
      </c>
      <c r="F31" s="3" t="s">
        <v>15</v>
      </c>
      <c r="G31" s="3" t="s">
        <v>45</v>
      </c>
      <c r="H31" s="3" t="s">
        <v>43</v>
      </c>
      <c r="I31" s="3">
        <v>1</v>
      </c>
      <c r="J31" s="3">
        <v>24750</v>
      </c>
      <c r="K31" s="3">
        <v>27500</v>
      </c>
      <c r="L31" s="3">
        <v>4</v>
      </c>
      <c r="M31">
        <f>Table1[[#This Row],[Qty]]*Table1[[#This Row],[Sales Price]]</f>
        <v>110000</v>
      </c>
      <c r="N31">
        <f>Table1[[#This Row],[Qty]]*Table1[[#This Row],[Cost]]</f>
        <v>99000</v>
      </c>
      <c r="O31">
        <f>Table1[[#This Row],[Revenue]]-Table1[[#This Row],[Total Cost]]</f>
        <v>11000</v>
      </c>
    </row>
    <row r="32" spans="1:17" x14ac:dyDescent="0.55000000000000004">
      <c r="A32" s="3">
        <v>31</v>
      </c>
      <c r="B32" s="4">
        <v>44696</v>
      </c>
      <c r="C32" s="4" t="str">
        <f>TEXT(Table1[[#This Row],[Date]],"YYYY")</f>
        <v>2022</v>
      </c>
      <c r="D32" s="4" t="str">
        <f>TEXT(Table1[[#This Row],[Date]],"MMM")</f>
        <v>May</v>
      </c>
      <c r="E32" s="5" t="s">
        <v>39</v>
      </c>
      <c r="F32" s="3" t="s">
        <v>15</v>
      </c>
      <c r="G32" s="3" t="s">
        <v>47</v>
      </c>
      <c r="H32" s="3" t="s">
        <v>43</v>
      </c>
      <c r="I32" s="3">
        <v>1</v>
      </c>
      <c r="J32" s="3">
        <v>44550</v>
      </c>
      <c r="K32" s="3">
        <v>49500</v>
      </c>
      <c r="L32" s="3">
        <v>8</v>
      </c>
      <c r="M32">
        <f>Table1[[#This Row],[Qty]]*Table1[[#This Row],[Sales Price]]</f>
        <v>396000</v>
      </c>
      <c r="N32">
        <f>Table1[[#This Row],[Qty]]*Table1[[#This Row],[Cost]]</f>
        <v>356400</v>
      </c>
      <c r="O32">
        <f>Table1[[#This Row],[Revenue]]-Table1[[#This Row],[Total Cost]]</f>
        <v>39600</v>
      </c>
    </row>
    <row r="33" spans="1:15" x14ac:dyDescent="0.55000000000000004">
      <c r="A33" s="3">
        <v>32</v>
      </c>
      <c r="B33" s="4">
        <v>44697</v>
      </c>
      <c r="C33" s="4" t="str">
        <f>TEXT(Table1[[#This Row],[Date]],"YYYY")</f>
        <v>2022</v>
      </c>
      <c r="D33" s="4" t="str">
        <f>TEXT(Table1[[#This Row],[Date]],"MMM")</f>
        <v>May</v>
      </c>
      <c r="E33" s="5" t="s">
        <v>49</v>
      </c>
      <c r="F33" s="3" t="s">
        <v>15</v>
      </c>
      <c r="G33" s="3" t="s">
        <v>48</v>
      </c>
      <c r="H33" s="3" t="s">
        <v>43</v>
      </c>
      <c r="I33" s="3">
        <v>1</v>
      </c>
      <c r="J33" s="3">
        <v>9000</v>
      </c>
      <c r="K33" s="3">
        <v>10000</v>
      </c>
      <c r="L33" s="3">
        <v>8</v>
      </c>
      <c r="M33">
        <f>Table1[[#This Row],[Qty]]*Table1[[#This Row],[Sales Price]]</f>
        <v>80000</v>
      </c>
      <c r="N33">
        <f>Table1[[#This Row],[Qty]]*Table1[[#This Row],[Cost]]</f>
        <v>72000</v>
      </c>
      <c r="O33">
        <f>Table1[[#This Row],[Revenue]]-Table1[[#This Row],[Total Cost]]</f>
        <v>8000</v>
      </c>
    </row>
    <row r="34" spans="1:15" x14ac:dyDescent="0.55000000000000004">
      <c r="A34" s="3">
        <v>33</v>
      </c>
      <c r="B34" s="4">
        <v>44698</v>
      </c>
      <c r="C34" s="4" t="str">
        <f>TEXT(Table1[[#This Row],[Date]],"YYYY")</f>
        <v>2022</v>
      </c>
      <c r="D34" s="4" t="str">
        <f>TEXT(Table1[[#This Row],[Date]],"MMM")</f>
        <v>May</v>
      </c>
      <c r="E34" s="5" t="s">
        <v>22</v>
      </c>
      <c r="F34" s="3" t="s">
        <v>15</v>
      </c>
      <c r="G34" s="3" t="s">
        <v>48</v>
      </c>
      <c r="H34" s="3" t="s">
        <v>43</v>
      </c>
      <c r="I34" s="3"/>
      <c r="J34" s="3">
        <v>8640</v>
      </c>
      <c r="K34" s="3">
        <v>9600</v>
      </c>
      <c r="L34" s="3">
        <v>9</v>
      </c>
      <c r="M34">
        <f>Table1[[#This Row],[Qty]]*Table1[[#This Row],[Sales Price]]</f>
        <v>86400</v>
      </c>
      <c r="N34">
        <f>Table1[[#This Row],[Qty]]*Table1[[#This Row],[Cost]]</f>
        <v>77760</v>
      </c>
      <c r="O34">
        <f>Table1[[#This Row],[Revenue]]-Table1[[#This Row],[Total Cost]]</f>
        <v>8640</v>
      </c>
    </row>
    <row r="35" spans="1:15" ht="15.6" x14ac:dyDescent="0.55000000000000004">
      <c r="A35" s="3">
        <v>34</v>
      </c>
      <c r="B35" s="6">
        <v>44838</v>
      </c>
      <c r="C35" s="7" t="str">
        <f>TEXT(Table1[[#This Row],[Date]],"YYYY")</f>
        <v>2022</v>
      </c>
      <c r="D35" s="7" t="str">
        <f>TEXT(Table1[[#This Row],[Date]],"MMM")</f>
        <v>Oct</v>
      </c>
      <c r="E35" s="5" t="s">
        <v>33</v>
      </c>
      <c r="F35" s="3" t="s">
        <v>15</v>
      </c>
      <c r="G35" s="3" t="s">
        <v>42</v>
      </c>
      <c r="H35" s="3" t="s">
        <v>43</v>
      </c>
      <c r="I35" s="3"/>
      <c r="J35" s="3">
        <v>9000</v>
      </c>
      <c r="K35" s="3">
        <v>10000</v>
      </c>
      <c r="L35" s="3">
        <v>2</v>
      </c>
      <c r="M35">
        <f>Table1[[#This Row],[Qty]]*Table1[[#This Row],[Sales Price]]</f>
        <v>20000</v>
      </c>
      <c r="N35">
        <f>Table1[[#This Row],[Qty]]*Table1[[#This Row],[Cost]]</f>
        <v>18000</v>
      </c>
      <c r="O35">
        <f>Table1[[#This Row],[Revenue]]-Table1[[#This Row],[Total Cost]]</f>
        <v>2000</v>
      </c>
    </row>
    <row r="36" spans="1:15" ht="15.6" x14ac:dyDescent="0.55000000000000004">
      <c r="A36" s="3">
        <v>35</v>
      </c>
      <c r="B36" s="6">
        <v>44838</v>
      </c>
      <c r="C36" s="7" t="str">
        <f>TEXT(Table1[[#This Row],[Date]],"YYYY")</f>
        <v>2022</v>
      </c>
      <c r="D36" s="7" t="str">
        <f>TEXT(Table1[[#This Row],[Date]],"MMM")</f>
        <v>Oct</v>
      </c>
      <c r="E36" s="5" t="s">
        <v>33</v>
      </c>
      <c r="F36" s="3" t="s">
        <v>15</v>
      </c>
      <c r="G36" s="3" t="s">
        <v>16</v>
      </c>
      <c r="H36" s="3" t="s">
        <v>17</v>
      </c>
      <c r="I36" s="3"/>
      <c r="J36" s="3">
        <v>3870</v>
      </c>
      <c r="K36" s="3">
        <v>4300</v>
      </c>
      <c r="L36" s="3">
        <v>1</v>
      </c>
      <c r="M36">
        <f>Table1[[#This Row],[Qty]]*Table1[[#This Row],[Sales Price]]</f>
        <v>4300</v>
      </c>
      <c r="N36">
        <f>Table1[[#This Row],[Qty]]*Table1[[#This Row],[Cost]]</f>
        <v>3870</v>
      </c>
      <c r="O36">
        <f>Table1[[#This Row],[Revenue]]-Table1[[#This Row],[Total Cost]]</f>
        <v>430</v>
      </c>
    </row>
    <row r="37" spans="1:15" ht="15.6" x14ac:dyDescent="0.55000000000000004">
      <c r="A37" s="3">
        <v>36</v>
      </c>
      <c r="B37" s="6">
        <v>44838</v>
      </c>
      <c r="C37" s="7" t="str">
        <f>TEXT(Table1[[#This Row],[Date]],"YYYY")</f>
        <v>2022</v>
      </c>
      <c r="D37" s="7" t="str">
        <f>TEXT(Table1[[#This Row],[Date]],"MMM")</f>
        <v>Oct</v>
      </c>
      <c r="E37" s="5" t="s">
        <v>50</v>
      </c>
      <c r="F37" s="3" t="s">
        <v>15</v>
      </c>
      <c r="G37" s="3" t="s">
        <v>19</v>
      </c>
      <c r="H37" s="3" t="s">
        <v>17</v>
      </c>
      <c r="I37" s="3">
        <v>1</v>
      </c>
      <c r="J37" s="3">
        <v>45450</v>
      </c>
      <c r="K37" s="3">
        <v>50500</v>
      </c>
      <c r="L37" s="3">
        <v>22</v>
      </c>
      <c r="M37">
        <f>Table1[[#This Row],[Qty]]*Table1[[#This Row],[Sales Price]]</f>
        <v>1111000</v>
      </c>
      <c r="N37">
        <f>Table1[[#This Row],[Qty]]*Table1[[#This Row],[Cost]]</f>
        <v>999900</v>
      </c>
      <c r="O37">
        <f>Table1[[#This Row],[Revenue]]-Table1[[#This Row],[Total Cost]]</f>
        <v>111100</v>
      </c>
    </row>
    <row r="38" spans="1:15" ht="15.6" x14ac:dyDescent="0.55000000000000004">
      <c r="A38" s="3">
        <v>37</v>
      </c>
      <c r="B38" s="6">
        <v>44838</v>
      </c>
      <c r="C38" s="7" t="str">
        <f>TEXT(Table1[[#This Row],[Date]],"YYYY")</f>
        <v>2022</v>
      </c>
      <c r="D38" s="7" t="str">
        <f>TEXT(Table1[[#This Row],[Date]],"MMM")</f>
        <v>Oct</v>
      </c>
      <c r="E38" s="5" t="s">
        <v>29</v>
      </c>
      <c r="F38" s="3" t="s">
        <v>15</v>
      </c>
      <c r="G38" s="3" t="s">
        <v>21</v>
      </c>
      <c r="H38" s="3" t="s">
        <v>17</v>
      </c>
      <c r="I38" s="3">
        <v>1</v>
      </c>
      <c r="J38" s="3">
        <v>18225</v>
      </c>
      <c r="K38" s="3">
        <v>20250</v>
      </c>
      <c r="L38" s="3">
        <v>8</v>
      </c>
      <c r="M38">
        <f>Table1[[#This Row],[Qty]]*Table1[[#This Row],[Sales Price]]</f>
        <v>162000</v>
      </c>
      <c r="N38">
        <f>Table1[[#This Row],[Qty]]*Table1[[#This Row],[Cost]]</f>
        <v>145800</v>
      </c>
      <c r="O38">
        <f>Table1[[#This Row],[Revenue]]-Table1[[#This Row],[Total Cost]]</f>
        <v>16200</v>
      </c>
    </row>
    <row r="39" spans="1:15" ht="15.6" x14ac:dyDescent="0.55000000000000004">
      <c r="A39" s="3">
        <v>38</v>
      </c>
      <c r="B39" s="6">
        <v>44838</v>
      </c>
      <c r="C39" s="7" t="str">
        <f>TEXT(Table1[[#This Row],[Date]],"YYYY")</f>
        <v>2022</v>
      </c>
      <c r="D39" s="7" t="str">
        <f>TEXT(Table1[[#This Row],[Date]],"MMM")</f>
        <v>Oct</v>
      </c>
      <c r="E39" s="5" t="s">
        <v>22</v>
      </c>
      <c r="F39" s="3" t="s">
        <v>15</v>
      </c>
      <c r="G39" s="3" t="s">
        <v>23</v>
      </c>
      <c r="H39" s="3" t="s">
        <v>17</v>
      </c>
      <c r="I39" s="3">
        <v>1</v>
      </c>
      <c r="J39" s="3">
        <v>1800</v>
      </c>
      <c r="K39" s="3">
        <v>2000</v>
      </c>
      <c r="L39" s="3">
        <v>7</v>
      </c>
      <c r="M39">
        <f>Table1[[#This Row],[Qty]]*Table1[[#This Row],[Sales Price]]</f>
        <v>14000</v>
      </c>
      <c r="N39">
        <f>Table1[[#This Row],[Qty]]*Table1[[#This Row],[Cost]]</f>
        <v>12600</v>
      </c>
      <c r="O39">
        <f>Table1[[#This Row],[Revenue]]-Table1[[#This Row],[Total Cost]]</f>
        <v>1400</v>
      </c>
    </row>
    <row r="40" spans="1:15" ht="15.6" x14ac:dyDescent="0.55000000000000004">
      <c r="A40" s="3">
        <v>39</v>
      </c>
      <c r="B40" s="6">
        <v>44838</v>
      </c>
      <c r="C40" s="7" t="str">
        <f>TEXT(Table1[[#This Row],[Date]],"YYYY")</f>
        <v>2022</v>
      </c>
      <c r="D40" s="7" t="str">
        <f>TEXT(Table1[[#This Row],[Date]],"MMM")</f>
        <v>Oct</v>
      </c>
      <c r="E40" s="5" t="s">
        <v>33</v>
      </c>
      <c r="F40" s="3" t="s">
        <v>15</v>
      </c>
      <c r="G40" s="3" t="s">
        <v>25</v>
      </c>
      <c r="H40" s="3" t="s">
        <v>17</v>
      </c>
      <c r="I40" s="3">
        <v>1</v>
      </c>
      <c r="J40" s="3">
        <v>48600</v>
      </c>
      <c r="K40" s="3">
        <v>54000</v>
      </c>
      <c r="L40" s="3">
        <v>56</v>
      </c>
      <c r="M40">
        <f>Table1[[#This Row],[Qty]]*Table1[[#This Row],[Sales Price]]</f>
        <v>3024000</v>
      </c>
      <c r="N40">
        <f>Table1[[#This Row],[Qty]]*Table1[[#This Row],[Cost]]</f>
        <v>2721600</v>
      </c>
      <c r="O40">
        <f>Table1[[#This Row],[Revenue]]-Table1[[#This Row],[Total Cost]]</f>
        <v>302400</v>
      </c>
    </row>
    <row r="41" spans="1:15" ht="15.6" x14ac:dyDescent="0.55000000000000004">
      <c r="A41" s="3">
        <v>40</v>
      </c>
      <c r="B41" s="6">
        <v>44838</v>
      </c>
      <c r="C41" s="7" t="str">
        <f>TEXT(Table1[[#This Row],[Date]],"YYYY")</f>
        <v>2022</v>
      </c>
      <c r="D41" s="7" t="str">
        <f>TEXT(Table1[[#This Row],[Date]],"MMM")</f>
        <v>Oct</v>
      </c>
      <c r="E41" s="5" t="s">
        <v>31</v>
      </c>
      <c r="F41" s="3" t="s">
        <v>15</v>
      </c>
      <c r="G41" s="3" t="s">
        <v>26</v>
      </c>
      <c r="H41" s="3" t="s">
        <v>17</v>
      </c>
      <c r="I41" s="3">
        <v>1</v>
      </c>
      <c r="J41" s="3">
        <v>72900</v>
      </c>
      <c r="K41" s="3">
        <v>81000</v>
      </c>
      <c r="L41" s="3">
        <v>10</v>
      </c>
      <c r="M41">
        <f>Table1[[#This Row],[Qty]]*Table1[[#This Row],[Sales Price]]</f>
        <v>810000</v>
      </c>
      <c r="N41">
        <f>Table1[[#This Row],[Qty]]*Table1[[#This Row],[Cost]]</f>
        <v>729000</v>
      </c>
      <c r="O41">
        <f>Table1[[#This Row],[Revenue]]-Table1[[#This Row],[Total Cost]]</f>
        <v>81000</v>
      </c>
    </row>
    <row r="42" spans="1:15" ht="15.6" x14ac:dyDescent="0.55000000000000004">
      <c r="A42" s="3">
        <v>41</v>
      </c>
      <c r="B42" s="6">
        <v>44838</v>
      </c>
      <c r="C42" s="7" t="str">
        <f>TEXT(Table1[[#This Row],[Date]],"YYYY")</f>
        <v>2022</v>
      </c>
      <c r="D42" s="7" t="str">
        <f>TEXT(Table1[[#This Row],[Date]],"MMM")</f>
        <v>Oct</v>
      </c>
      <c r="E42" s="5" t="s">
        <v>22</v>
      </c>
      <c r="F42" s="3" t="s">
        <v>15</v>
      </c>
      <c r="G42" s="3" t="s">
        <v>27</v>
      </c>
      <c r="H42" s="3" t="s">
        <v>28</v>
      </c>
      <c r="I42" s="3">
        <v>1</v>
      </c>
      <c r="J42" s="3">
        <v>9450</v>
      </c>
      <c r="K42" s="3">
        <v>10500</v>
      </c>
      <c r="L42" s="3">
        <v>9</v>
      </c>
      <c r="M42">
        <f>Table1[[#This Row],[Qty]]*Table1[[#This Row],[Sales Price]]</f>
        <v>94500</v>
      </c>
      <c r="N42">
        <f>Table1[[#This Row],[Qty]]*Table1[[#This Row],[Cost]]</f>
        <v>85050</v>
      </c>
      <c r="O42">
        <f>Table1[[#This Row],[Revenue]]-Table1[[#This Row],[Total Cost]]</f>
        <v>9450</v>
      </c>
    </row>
    <row r="43" spans="1:15" ht="15.6" x14ac:dyDescent="0.55000000000000004">
      <c r="A43" s="3">
        <v>42</v>
      </c>
      <c r="B43" s="6">
        <v>44838</v>
      </c>
      <c r="C43" s="7" t="str">
        <f>TEXT(Table1[[#This Row],[Date]],"YYYY")</f>
        <v>2022</v>
      </c>
      <c r="D43" s="7" t="str">
        <f>TEXT(Table1[[#This Row],[Date]],"MMM")</f>
        <v>Oct</v>
      </c>
      <c r="E43" s="5" t="s">
        <v>24</v>
      </c>
      <c r="F43" s="3" t="s">
        <v>15</v>
      </c>
      <c r="G43" s="3" t="s">
        <v>30</v>
      </c>
      <c r="H43" s="3" t="s">
        <v>28</v>
      </c>
      <c r="I43" s="3">
        <v>1</v>
      </c>
      <c r="J43" s="3">
        <v>36000</v>
      </c>
      <c r="K43" s="3">
        <v>40000</v>
      </c>
      <c r="L43" s="3">
        <v>27</v>
      </c>
      <c r="M43">
        <f>Table1[[#This Row],[Qty]]*Table1[[#This Row],[Sales Price]]</f>
        <v>1080000</v>
      </c>
      <c r="N43">
        <f>Table1[[#This Row],[Qty]]*Table1[[#This Row],[Cost]]</f>
        <v>972000</v>
      </c>
      <c r="O43">
        <f>Table1[[#This Row],[Revenue]]-Table1[[#This Row],[Total Cost]]</f>
        <v>108000</v>
      </c>
    </row>
    <row r="44" spans="1:15" ht="15.6" x14ac:dyDescent="0.55000000000000004">
      <c r="A44" s="3">
        <v>43</v>
      </c>
      <c r="B44" s="6">
        <v>44838</v>
      </c>
      <c r="C44" s="7" t="str">
        <f>TEXT(Table1[[#This Row],[Date]],"YYYY")</f>
        <v>2022</v>
      </c>
      <c r="D44" s="7" t="str">
        <f>TEXT(Table1[[#This Row],[Date]],"MMM")</f>
        <v>Oct</v>
      </c>
      <c r="E44" s="5" t="s">
        <v>22</v>
      </c>
      <c r="F44" s="3" t="s">
        <v>15</v>
      </c>
      <c r="G44" s="3" t="s">
        <v>32</v>
      </c>
      <c r="H44" s="3" t="s">
        <v>28</v>
      </c>
      <c r="I44" s="3"/>
      <c r="J44" s="3">
        <v>24300</v>
      </c>
      <c r="K44" s="3">
        <v>27000</v>
      </c>
      <c r="L44" s="3">
        <v>15</v>
      </c>
      <c r="M44">
        <f>Table1[[#This Row],[Qty]]*Table1[[#This Row],[Sales Price]]</f>
        <v>405000</v>
      </c>
      <c r="N44">
        <f>Table1[[#This Row],[Qty]]*Table1[[#This Row],[Cost]]</f>
        <v>364500</v>
      </c>
      <c r="O44">
        <f>Table1[[#This Row],[Revenue]]-Table1[[#This Row],[Total Cost]]</f>
        <v>40500</v>
      </c>
    </row>
    <row r="45" spans="1:15" x14ac:dyDescent="0.55000000000000004">
      <c r="A45" s="3">
        <v>44</v>
      </c>
      <c r="B45" s="4">
        <v>44709</v>
      </c>
      <c r="C45" s="4" t="str">
        <f>TEXT(Table1[[#This Row],[Date]],"YYYY")</f>
        <v>2022</v>
      </c>
      <c r="D45" s="4" t="str">
        <f>TEXT(Table1[[#This Row],[Date]],"MMM")</f>
        <v>May</v>
      </c>
      <c r="E45" s="5" t="s">
        <v>51</v>
      </c>
      <c r="F45" s="3" t="s">
        <v>15</v>
      </c>
      <c r="G45" s="3" t="s">
        <v>34</v>
      </c>
      <c r="H45" s="3" t="s">
        <v>28</v>
      </c>
      <c r="I45" s="3"/>
      <c r="J45" s="3">
        <v>9180</v>
      </c>
      <c r="K45" s="3">
        <v>10200</v>
      </c>
      <c r="L45" s="3">
        <v>3</v>
      </c>
      <c r="M45">
        <f>Table1[[#This Row],[Qty]]*Table1[[#This Row],[Sales Price]]</f>
        <v>30600</v>
      </c>
      <c r="N45">
        <f>Table1[[#This Row],[Qty]]*Table1[[#This Row],[Cost]]</f>
        <v>27540</v>
      </c>
      <c r="O45">
        <f>Table1[[#This Row],[Revenue]]-Table1[[#This Row],[Total Cost]]</f>
        <v>3060</v>
      </c>
    </row>
    <row r="46" spans="1:15" x14ac:dyDescent="0.55000000000000004">
      <c r="A46" s="3">
        <v>45</v>
      </c>
      <c r="B46" s="4">
        <v>44710</v>
      </c>
      <c r="C46" s="4" t="str">
        <f>TEXT(Table1[[#This Row],[Date]],"YYYY")</f>
        <v>2022</v>
      </c>
      <c r="D46" s="4" t="str">
        <f>TEXT(Table1[[#This Row],[Date]],"MMM")</f>
        <v>May</v>
      </c>
      <c r="E46" s="5" t="s">
        <v>39</v>
      </c>
      <c r="F46" s="3" t="s">
        <v>15</v>
      </c>
      <c r="G46" s="3" t="s">
        <v>36</v>
      </c>
      <c r="H46" s="3" t="s">
        <v>17</v>
      </c>
      <c r="I46" s="3">
        <v>1</v>
      </c>
      <c r="J46" s="3">
        <v>8640</v>
      </c>
      <c r="K46" s="3">
        <v>9600</v>
      </c>
      <c r="L46" s="3">
        <v>9</v>
      </c>
      <c r="M46">
        <f>Table1[[#This Row],[Qty]]*Table1[[#This Row],[Sales Price]]</f>
        <v>86400</v>
      </c>
      <c r="N46">
        <f>Table1[[#This Row],[Qty]]*Table1[[#This Row],[Cost]]</f>
        <v>77760</v>
      </c>
      <c r="O46">
        <f>Table1[[#This Row],[Revenue]]-Table1[[#This Row],[Total Cost]]</f>
        <v>8640</v>
      </c>
    </row>
    <row r="47" spans="1:15" x14ac:dyDescent="0.55000000000000004">
      <c r="A47" s="3">
        <v>46</v>
      </c>
      <c r="B47" s="4">
        <v>44711</v>
      </c>
      <c r="C47" s="4" t="str">
        <f>TEXT(Table1[[#This Row],[Date]],"YYYY")</f>
        <v>2022</v>
      </c>
      <c r="D47" s="4" t="str">
        <f>TEXT(Table1[[#This Row],[Date]],"MMM")</f>
        <v>May</v>
      </c>
      <c r="E47" s="5" t="s">
        <v>52</v>
      </c>
      <c r="F47" s="3" t="s">
        <v>15</v>
      </c>
      <c r="G47" s="3" t="s">
        <v>37</v>
      </c>
      <c r="H47" s="3" t="s">
        <v>17</v>
      </c>
      <c r="I47" s="3">
        <v>1</v>
      </c>
      <c r="J47" s="3">
        <v>8280</v>
      </c>
      <c r="K47" s="3">
        <v>9200</v>
      </c>
      <c r="L47" s="3">
        <v>22</v>
      </c>
      <c r="M47">
        <f>Table1[[#This Row],[Qty]]*Table1[[#This Row],[Sales Price]]</f>
        <v>202400</v>
      </c>
      <c r="N47">
        <f>Table1[[#This Row],[Qty]]*Table1[[#This Row],[Cost]]</f>
        <v>182160</v>
      </c>
      <c r="O47">
        <f>Table1[[#This Row],[Revenue]]-Table1[[#This Row],[Total Cost]]</f>
        <v>20240</v>
      </c>
    </row>
    <row r="48" spans="1:15" x14ac:dyDescent="0.55000000000000004">
      <c r="A48" s="3">
        <v>47</v>
      </c>
      <c r="B48" s="4">
        <v>44712</v>
      </c>
      <c r="C48" s="4" t="str">
        <f>TEXT(Table1[[#This Row],[Date]],"YYYY")</f>
        <v>2022</v>
      </c>
      <c r="D48" s="4" t="str">
        <f>TEXT(Table1[[#This Row],[Date]],"MMM")</f>
        <v>May</v>
      </c>
      <c r="E48" s="5" t="s">
        <v>53</v>
      </c>
      <c r="F48" s="3" t="s">
        <v>15</v>
      </c>
      <c r="G48" s="3" t="s">
        <v>38</v>
      </c>
      <c r="H48" s="3" t="s">
        <v>17</v>
      </c>
      <c r="I48" s="3">
        <v>1</v>
      </c>
      <c r="J48" s="3">
        <v>4950</v>
      </c>
      <c r="K48" s="3">
        <v>5500</v>
      </c>
      <c r="L48" s="3">
        <v>16</v>
      </c>
      <c r="M48">
        <f>Table1[[#This Row],[Qty]]*Table1[[#This Row],[Sales Price]]</f>
        <v>88000</v>
      </c>
      <c r="N48">
        <f>Table1[[#This Row],[Qty]]*Table1[[#This Row],[Cost]]</f>
        <v>79200</v>
      </c>
      <c r="O48">
        <f>Table1[[#This Row],[Revenue]]-Table1[[#This Row],[Total Cost]]</f>
        <v>8800</v>
      </c>
    </row>
    <row r="49" spans="1:15" x14ac:dyDescent="0.55000000000000004">
      <c r="A49" s="3">
        <v>48</v>
      </c>
      <c r="B49" s="4">
        <v>44713</v>
      </c>
      <c r="C49" s="4" t="str">
        <f>TEXT(Table1[[#This Row],[Date]],"YYYY")</f>
        <v>2022</v>
      </c>
      <c r="D49" s="4" t="str">
        <f>TEXT(Table1[[#This Row],[Date]],"MMM")</f>
        <v>Jun</v>
      </c>
      <c r="E49" s="5" t="s">
        <v>24</v>
      </c>
      <c r="F49" s="3" t="s">
        <v>18</v>
      </c>
      <c r="G49" s="3" t="s">
        <v>19</v>
      </c>
      <c r="H49" s="3" t="s">
        <v>17</v>
      </c>
      <c r="I49" s="3">
        <v>0</v>
      </c>
      <c r="J49" s="3">
        <v>3150</v>
      </c>
      <c r="K49" s="3">
        <v>3500</v>
      </c>
      <c r="L49" s="3">
        <v>6</v>
      </c>
      <c r="M49">
        <f>Table1[[#This Row],[Qty]]*Table1[[#This Row],[Sales Price]]</f>
        <v>21000</v>
      </c>
      <c r="N49">
        <f>Table1[[#This Row],[Qty]]*Table1[[#This Row],[Cost]]</f>
        <v>18900</v>
      </c>
      <c r="O49">
        <f>Table1[[#This Row],[Revenue]]-Table1[[#This Row],[Total Cost]]</f>
        <v>2100</v>
      </c>
    </row>
    <row r="50" spans="1:15" x14ac:dyDescent="0.55000000000000004">
      <c r="A50" s="3">
        <v>49</v>
      </c>
      <c r="B50" s="4">
        <v>44714</v>
      </c>
      <c r="C50" s="4" t="str">
        <f>TEXT(Table1[[#This Row],[Date]],"YYYY")</f>
        <v>2022</v>
      </c>
      <c r="D50" s="4" t="str">
        <f>TEXT(Table1[[#This Row],[Date]],"MMM")</f>
        <v>Jun</v>
      </c>
      <c r="E50" s="5" t="s">
        <v>54</v>
      </c>
      <c r="F50" s="3" t="s">
        <v>15</v>
      </c>
      <c r="G50" s="3" t="s">
        <v>21</v>
      </c>
      <c r="H50" s="3" t="s">
        <v>17</v>
      </c>
      <c r="I50" s="3">
        <v>1</v>
      </c>
      <c r="J50" s="3">
        <v>2700</v>
      </c>
      <c r="K50" s="3">
        <v>3000</v>
      </c>
      <c r="L50" s="3">
        <v>3</v>
      </c>
      <c r="M50">
        <f>Table1[[#This Row],[Qty]]*Table1[[#This Row],[Sales Price]]</f>
        <v>9000</v>
      </c>
      <c r="N50">
        <f>Table1[[#This Row],[Qty]]*Table1[[#This Row],[Cost]]</f>
        <v>8100</v>
      </c>
      <c r="O50">
        <f>Table1[[#This Row],[Revenue]]-Table1[[#This Row],[Total Cost]]</f>
        <v>900</v>
      </c>
    </row>
    <row r="51" spans="1:15" x14ac:dyDescent="0.55000000000000004">
      <c r="A51" s="3">
        <v>50</v>
      </c>
      <c r="B51" s="4">
        <v>44715</v>
      </c>
      <c r="C51" s="4" t="str">
        <f>TEXT(Table1[[#This Row],[Date]],"YYYY")</f>
        <v>2022</v>
      </c>
      <c r="D51" s="4" t="str">
        <f>TEXT(Table1[[#This Row],[Date]],"MMM")</f>
        <v>Jun</v>
      </c>
      <c r="E51" s="5" t="s">
        <v>22</v>
      </c>
      <c r="F51" s="3" t="s">
        <v>18</v>
      </c>
      <c r="G51" s="3" t="s">
        <v>23</v>
      </c>
      <c r="H51" s="3" t="s">
        <v>17</v>
      </c>
      <c r="I51" s="3">
        <v>0</v>
      </c>
      <c r="J51" s="3">
        <v>4050</v>
      </c>
      <c r="K51" s="3">
        <v>4500</v>
      </c>
      <c r="L51" s="3">
        <v>5</v>
      </c>
      <c r="M51">
        <f>Table1[[#This Row],[Qty]]*Table1[[#This Row],[Sales Price]]</f>
        <v>22500</v>
      </c>
      <c r="N51">
        <f>Table1[[#This Row],[Qty]]*Table1[[#This Row],[Cost]]</f>
        <v>20250</v>
      </c>
      <c r="O51">
        <f>Table1[[#This Row],[Revenue]]-Table1[[#This Row],[Total Cost]]</f>
        <v>2250</v>
      </c>
    </row>
    <row r="52" spans="1:15" x14ac:dyDescent="0.55000000000000004">
      <c r="A52" s="3">
        <v>51</v>
      </c>
      <c r="B52" s="4">
        <v>44716</v>
      </c>
      <c r="C52" s="4" t="str">
        <f>TEXT(Table1[[#This Row],[Date]],"YYYY")</f>
        <v>2022</v>
      </c>
      <c r="D52" s="4" t="str">
        <f>TEXT(Table1[[#This Row],[Date]],"MMM")</f>
        <v>Jun</v>
      </c>
      <c r="E52" s="5" t="s">
        <v>55</v>
      </c>
      <c r="F52" s="3" t="s">
        <v>15</v>
      </c>
      <c r="G52" s="3" t="s">
        <v>25</v>
      </c>
      <c r="H52" s="3" t="s">
        <v>17</v>
      </c>
      <c r="I52" s="3"/>
      <c r="J52" s="3">
        <v>53100</v>
      </c>
      <c r="K52" s="3">
        <v>59000</v>
      </c>
      <c r="L52" s="3">
        <v>1</v>
      </c>
      <c r="M52">
        <f>Table1[[#This Row],[Qty]]*Table1[[#This Row],[Sales Price]]</f>
        <v>59000</v>
      </c>
      <c r="N52">
        <f>Table1[[#This Row],[Qty]]*Table1[[#This Row],[Cost]]</f>
        <v>53100</v>
      </c>
      <c r="O52">
        <f>Table1[[#This Row],[Revenue]]-Table1[[#This Row],[Total Cost]]</f>
        <v>5900</v>
      </c>
    </row>
    <row r="53" spans="1:15" x14ac:dyDescent="0.55000000000000004">
      <c r="A53" s="3">
        <v>52</v>
      </c>
      <c r="B53" s="4">
        <v>44717</v>
      </c>
      <c r="C53" s="4" t="str">
        <f>TEXT(Table1[[#This Row],[Date]],"YYYY")</f>
        <v>2022</v>
      </c>
      <c r="D53" s="4" t="str">
        <f>TEXT(Table1[[#This Row],[Date]],"MMM")</f>
        <v>Jun</v>
      </c>
      <c r="E53" s="5" t="s">
        <v>39</v>
      </c>
      <c r="F53" s="3" t="s">
        <v>18</v>
      </c>
      <c r="G53" s="3" t="s">
        <v>26</v>
      </c>
      <c r="H53" s="3" t="s">
        <v>17</v>
      </c>
      <c r="I53" s="3"/>
      <c r="J53" s="3">
        <v>88200</v>
      </c>
      <c r="K53" s="3">
        <v>98000</v>
      </c>
      <c r="L53" s="3">
        <v>5</v>
      </c>
      <c r="M53">
        <f>Table1[[#This Row],[Qty]]*Table1[[#This Row],[Sales Price]]</f>
        <v>490000</v>
      </c>
      <c r="N53">
        <f>Table1[[#This Row],[Qty]]*Table1[[#This Row],[Cost]]</f>
        <v>441000</v>
      </c>
      <c r="O53">
        <f>Table1[[#This Row],[Revenue]]-Table1[[#This Row],[Total Cost]]</f>
        <v>49000</v>
      </c>
    </row>
    <row r="54" spans="1:15" x14ac:dyDescent="0.55000000000000004">
      <c r="A54" s="3">
        <v>53</v>
      </c>
      <c r="B54" s="4">
        <v>44718</v>
      </c>
      <c r="C54" s="4" t="str">
        <f>TEXT(Table1[[#This Row],[Date]],"YYYY")</f>
        <v>2022</v>
      </c>
      <c r="D54" s="4" t="str">
        <f>TEXT(Table1[[#This Row],[Date]],"MMM")</f>
        <v>Jun</v>
      </c>
      <c r="E54" s="5" t="s">
        <v>39</v>
      </c>
      <c r="F54" s="3" t="s">
        <v>15</v>
      </c>
      <c r="G54" s="3" t="s">
        <v>37</v>
      </c>
      <c r="H54" s="3" t="s">
        <v>17</v>
      </c>
      <c r="I54" s="3"/>
      <c r="J54" s="3">
        <v>8640</v>
      </c>
      <c r="K54" s="3">
        <v>9600</v>
      </c>
      <c r="L54" s="3">
        <v>7</v>
      </c>
      <c r="M54">
        <f>Table1[[#This Row],[Qty]]*Table1[[#This Row],[Sales Price]]</f>
        <v>67200</v>
      </c>
      <c r="N54">
        <f>Table1[[#This Row],[Qty]]*Table1[[#This Row],[Cost]]</f>
        <v>60480</v>
      </c>
      <c r="O54">
        <f>Table1[[#This Row],[Revenue]]-Table1[[#This Row],[Total Cost]]</f>
        <v>6720</v>
      </c>
    </row>
    <row r="55" spans="1:15" x14ac:dyDescent="0.55000000000000004">
      <c r="A55" s="3">
        <v>54</v>
      </c>
      <c r="B55" s="4">
        <v>44719</v>
      </c>
      <c r="C55" s="4" t="str">
        <f>TEXT(Table1[[#This Row],[Date]],"YYYY")</f>
        <v>2022</v>
      </c>
      <c r="D55" s="4" t="str">
        <f>TEXT(Table1[[#This Row],[Date]],"MMM")</f>
        <v>Jun</v>
      </c>
      <c r="E55" s="5" t="s">
        <v>31</v>
      </c>
      <c r="F55" s="3" t="s">
        <v>18</v>
      </c>
      <c r="G55" s="3" t="s">
        <v>41</v>
      </c>
      <c r="H55" s="3" t="s">
        <v>28</v>
      </c>
      <c r="I55" s="3">
        <v>1</v>
      </c>
      <c r="J55" s="3">
        <v>8280</v>
      </c>
      <c r="K55" s="3">
        <v>9200</v>
      </c>
      <c r="L55" s="3">
        <v>4</v>
      </c>
      <c r="M55">
        <f>Table1[[#This Row],[Qty]]*Table1[[#This Row],[Sales Price]]</f>
        <v>36800</v>
      </c>
      <c r="N55">
        <f>Table1[[#This Row],[Qty]]*Table1[[#This Row],[Cost]]</f>
        <v>33120</v>
      </c>
      <c r="O55">
        <f>Table1[[#This Row],[Revenue]]-Table1[[#This Row],[Total Cost]]</f>
        <v>3680</v>
      </c>
    </row>
    <row r="56" spans="1:15" x14ac:dyDescent="0.55000000000000004">
      <c r="A56" s="3">
        <v>55</v>
      </c>
      <c r="B56" s="4">
        <v>44720</v>
      </c>
      <c r="C56" s="4" t="str">
        <f>TEXT(Table1[[#This Row],[Date]],"YYYY")</f>
        <v>2022</v>
      </c>
      <c r="D56" s="4" t="str">
        <f>TEXT(Table1[[#This Row],[Date]],"MMM")</f>
        <v>Jun</v>
      </c>
      <c r="E56" s="5" t="s">
        <v>39</v>
      </c>
      <c r="F56" s="3" t="s">
        <v>15</v>
      </c>
      <c r="G56" s="3" t="s">
        <v>27</v>
      </c>
      <c r="H56" s="3" t="s">
        <v>28</v>
      </c>
      <c r="I56" s="3">
        <v>1</v>
      </c>
      <c r="J56" s="3">
        <v>4950</v>
      </c>
      <c r="K56" s="3">
        <v>5500</v>
      </c>
      <c r="L56" s="3">
        <v>8</v>
      </c>
      <c r="M56">
        <f>Table1[[#This Row],[Qty]]*Table1[[#This Row],[Sales Price]]</f>
        <v>44000</v>
      </c>
      <c r="N56">
        <f>Table1[[#This Row],[Qty]]*Table1[[#This Row],[Cost]]</f>
        <v>39600</v>
      </c>
      <c r="O56">
        <f>Table1[[#This Row],[Revenue]]-Table1[[#This Row],[Total Cost]]</f>
        <v>4400</v>
      </c>
    </row>
    <row r="57" spans="1:15" x14ac:dyDescent="0.55000000000000004">
      <c r="A57" s="3">
        <v>56</v>
      </c>
      <c r="B57" s="4">
        <v>44721</v>
      </c>
      <c r="C57" s="4" t="str">
        <f>TEXT(Table1[[#This Row],[Date]],"YYYY")</f>
        <v>2022</v>
      </c>
      <c r="D57" s="4" t="str">
        <f>TEXT(Table1[[#This Row],[Date]],"MMM")</f>
        <v>Jun</v>
      </c>
      <c r="E57" s="5" t="s">
        <v>56</v>
      </c>
      <c r="F57" s="3" t="s">
        <v>18</v>
      </c>
      <c r="G57" s="3" t="s">
        <v>32</v>
      </c>
      <c r="H57" s="3" t="s">
        <v>28</v>
      </c>
      <c r="I57" s="3">
        <v>0</v>
      </c>
      <c r="J57" s="3">
        <v>3150</v>
      </c>
      <c r="K57" s="3">
        <v>3500</v>
      </c>
      <c r="L57" s="3">
        <v>8</v>
      </c>
      <c r="M57">
        <f>Table1[[#This Row],[Qty]]*Table1[[#This Row],[Sales Price]]</f>
        <v>28000</v>
      </c>
      <c r="N57">
        <f>Table1[[#This Row],[Qty]]*Table1[[#This Row],[Cost]]</f>
        <v>25200</v>
      </c>
      <c r="O57">
        <f>Table1[[#This Row],[Revenue]]-Table1[[#This Row],[Total Cost]]</f>
        <v>2800</v>
      </c>
    </row>
    <row r="58" spans="1:15" x14ac:dyDescent="0.55000000000000004">
      <c r="A58" s="3">
        <v>57</v>
      </c>
      <c r="B58" s="4">
        <v>44722</v>
      </c>
      <c r="C58" s="4" t="str">
        <f>TEXT(Table1[[#This Row],[Date]],"YYYY")</f>
        <v>2022</v>
      </c>
      <c r="D58" s="4" t="str">
        <f>TEXT(Table1[[#This Row],[Date]],"MMM")</f>
        <v>Jun</v>
      </c>
      <c r="E58" s="5" t="s">
        <v>22</v>
      </c>
      <c r="F58" s="3" t="s">
        <v>15</v>
      </c>
      <c r="G58" s="3" t="s">
        <v>42</v>
      </c>
      <c r="H58" s="3" t="s">
        <v>43</v>
      </c>
      <c r="I58" s="3">
        <v>1</v>
      </c>
      <c r="J58" s="3">
        <v>2700</v>
      </c>
      <c r="K58" s="3">
        <v>3000</v>
      </c>
      <c r="L58" s="3">
        <v>9</v>
      </c>
      <c r="M58">
        <f>Table1[[#This Row],[Qty]]*Table1[[#This Row],[Sales Price]]</f>
        <v>27000</v>
      </c>
      <c r="N58">
        <f>Table1[[#This Row],[Qty]]*Table1[[#This Row],[Cost]]</f>
        <v>24300</v>
      </c>
      <c r="O58">
        <f>Table1[[#This Row],[Revenue]]-Table1[[#This Row],[Total Cost]]</f>
        <v>2700</v>
      </c>
    </row>
    <row r="59" spans="1:15" x14ac:dyDescent="0.55000000000000004">
      <c r="A59" s="3">
        <v>58</v>
      </c>
      <c r="B59" s="4">
        <v>44723</v>
      </c>
      <c r="C59" s="4" t="str">
        <f>TEXT(Table1[[#This Row],[Date]],"YYYY")</f>
        <v>2022</v>
      </c>
      <c r="D59" s="4" t="str">
        <f>TEXT(Table1[[#This Row],[Date]],"MMM")</f>
        <v>Jun</v>
      </c>
      <c r="E59" s="5" t="s">
        <v>55</v>
      </c>
      <c r="F59" s="3" t="s">
        <v>18</v>
      </c>
      <c r="G59" s="3" t="s">
        <v>44</v>
      </c>
      <c r="H59" s="3" t="s">
        <v>43</v>
      </c>
      <c r="I59" s="3">
        <v>1</v>
      </c>
      <c r="J59" s="3">
        <v>4050</v>
      </c>
      <c r="K59" s="3">
        <v>4500</v>
      </c>
      <c r="L59" s="3">
        <v>2</v>
      </c>
      <c r="M59">
        <f>Table1[[#This Row],[Qty]]*Table1[[#This Row],[Sales Price]]</f>
        <v>9000</v>
      </c>
      <c r="N59">
        <f>Table1[[#This Row],[Qty]]*Table1[[#This Row],[Cost]]</f>
        <v>8100</v>
      </c>
      <c r="O59">
        <f>Table1[[#This Row],[Revenue]]-Table1[[#This Row],[Total Cost]]</f>
        <v>900</v>
      </c>
    </row>
    <row r="60" spans="1:15" x14ac:dyDescent="0.55000000000000004">
      <c r="A60" s="3">
        <v>59</v>
      </c>
      <c r="B60" s="4">
        <v>44724</v>
      </c>
      <c r="C60" s="4" t="str">
        <f>TEXT(Table1[[#This Row],[Date]],"YYYY")</f>
        <v>2022</v>
      </c>
      <c r="D60" s="4" t="str">
        <f>TEXT(Table1[[#This Row],[Date]],"MMM")</f>
        <v>Jun</v>
      </c>
      <c r="E60" s="5" t="s">
        <v>54</v>
      </c>
      <c r="F60" s="3" t="s">
        <v>15</v>
      </c>
      <c r="G60" s="3" t="s">
        <v>45</v>
      </c>
      <c r="H60" s="3" t="s">
        <v>43</v>
      </c>
      <c r="I60" s="3">
        <v>1</v>
      </c>
      <c r="J60" s="3">
        <v>53100</v>
      </c>
      <c r="K60" s="3">
        <v>59000</v>
      </c>
      <c r="L60" s="3">
        <v>1</v>
      </c>
      <c r="M60">
        <f>Table1[[#This Row],[Qty]]*Table1[[#This Row],[Sales Price]]</f>
        <v>59000</v>
      </c>
      <c r="N60">
        <f>Table1[[#This Row],[Qty]]*Table1[[#This Row],[Cost]]</f>
        <v>53100</v>
      </c>
      <c r="O60">
        <f>Table1[[#This Row],[Revenue]]-Table1[[#This Row],[Total Cost]]</f>
        <v>5900</v>
      </c>
    </row>
    <row r="61" spans="1:15" x14ac:dyDescent="0.55000000000000004">
      <c r="A61" s="3">
        <v>60</v>
      </c>
      <c r="B61" s="4">
        <v>44725</v>
      </c>
      <c r="C61" s="4" t="str">
        <f>TEXT(Table1[[#This Row],[Date]],"YYYY")</f>
        <v>2022</v>
      </c>
      <c r="D61" s="4" t="str">
        <f>TEXT(Table1[[#This Row],[Date]],"MMM")</f>
        <v>Jun</v>
      </c>
      <c r="E61" s="5" t="s">
        <v>14</v>
      </c>
      <c r="F61" s="3" t="s">
        <v>18</v>
      </c>
      <c r="G61" s="3" t="s">
        <v>47</v>
      </c>
      <c r="H61" s="3" t="s">
        <v>43</v>
      </c>
      <c r="I61" s="3">
        <v>1</v>
      </c>
      <c r="J61" s="3">
        <v>88200</v>
      </c>
      <c r="K61" s="3">
        <v>98000</v>
      </c>
      <c r="L61" s="3">
        <v>22</v>
      </c>
      <c r="M61">
        <f>Table1[[#This Row],[Qty]]*Table1[[#This Row],[Sales Price]]</f>
        <v>2156000</v>
      </c>
      <c r="N61">
        <f>Table1[[#This Row],[Qty]]*Table1[[#This Row],[Cost]]</f>
        <v>1940400</v>
      </c>
      <c r="O61">
        <f>Table1[[#This Row],[Revenue]]-Table1[[#This Row],[Total Cost]]</f>
        <v>215600</v>
      </c>
    </row>
    <row r="62" spans="1:15" x14ac:dyDescent="0.55000000000000004">
      <c r="A62" s="3">
        <v>61</v>
      </c>
      <c r="B62" s="4">
        <v>44726</v>
      </c>
      <c r="C62" s="4" t="str">
        <f>TEXT(Table1[[#This Row],[Date]],"YYYY")</f>
        <v>2022</v>
      </c>
      <c r="D62" s="4" t="str">
        <f>TEXT(Table1[[#This Row],[Date]],"MMM")</f>
        <v>Jun</v>
      </c>
      <c r="E62" s="5" t="s">
        <v>31</v>
      </c>
      <c r="F62" s="3" t="s">
        <v>15</v>
      </c>
      <c r="G62" s="3" t="s">
        <v>48</v>
      </c>
      <c r="H62" s="3" t="s">
        <v>43</v>
      </c>
      <c r="I62" s="3"/>
      <c r="J62" s="3">
        <v>38250</v>
      </c>
      <c r="K62" s="3">
        <v>42500</v>
      </c>
      <c r="L62" s="3">
        <v>8</v>
      </c>
      <c r="M62">
        <f>Table1[[#This Row],[Qty]]*Table1[[#This Row],[Sales Price]]</f>
        <v>340000</v>
      </c>
      <c r="N62">
        <f>Table1[[#This Row],[Qty]]*Table1[[#This Row],[Cost]]</f>
        <v>306000</v>
      </c>
      <c r="O62">
        <f>Table1[[#This Row],[Revenue]]-Table1[[#This Row],[Total Cost]]</f>
        <v>34000</v>
      </c>
    </row>
    <row r="63" spans="1:15" x14ac:dyDescent="0.55000000000000004">
      <c r="A63" s="3">
        <v>62</v>
      </c>
      <c r="B63" s="4">
        <v>44727</v>
      </c>
      <c r="C63" s="4" t="str">
        <f>TEXT(Table1[[#This Row],[Date]],"YYYY")</f>
        <v>2022</v>
      </c>
      <c r="D63" s="4" t="str">
        <f>TEXT(Table1[[#This Row],[Date]],"MMM")</f>
        <v>Jun</v>
      </c>
      <c r="E63" s="5" t="s">
        <v>24</v>
      </c>
      <c r="F63" s="3" t="s">
        <v>18</v>
      </c>
      <c r="G63" s="3" t="s">
        <v>42</v>
      </c>
      <c r="H63" s="3" t="s">
        <v>43</v>
      </c>
      <c r="I63" s="3"/>
      <c r="J63" s="3">
        <v>2700</v>
      </c>
      <c r="K63" s="3">
        <v>3000</v>
      </c>
      <c r="L63" s="3">
        <v>7</v>
      </c>
      <c r="M63">
        <f>Table1[[#This Row],[Qty]]*Table1[[#This Row],[Sales Price]]</f>
        <v>21000</v>
      </c>
      <c r="N63">
        <f>Table1[[#This Row],[Qty]]*Table1[[#This Row],[Cost]]</f>
        <v>18900</v>
      </c>
      <c r="O63">
        <f>Table1[[#This Row],[Revenue]]-Table1[[#This Row],[Total Cost]]</f>
        <v>2100</v>
      </c>
    </row>
    <row r="64" spans="1:15" x14ac:dyDescent="0.55000000000000004">
      <c r="A64" s="3">
        <v>63</v>
      </c>
      <c r="B64" s="4">
        <v>44728</v>
      </c>
      <c r="C64" s="4" t="str">
        <f>TEXT(Table1[[#This Row],[Date]],"YYYY")</f>
        <v>2022</v>
      </c>
      <c r="D64" s="4" t="str">
        <f>TEXT(Table1[[#This Row],[Date]],"MMM")</f>
        <v>Jun</v>
      </c>
      <c r="E64" s="5" t="s">
        <v>57</v>
      </c>
      <c r="F64" s="3" t="s">
        <v>15</v>
      </c>
      <c r="G64" s="3" t="s">
        <v>44</v>
      </c>
      <c r="H64" s="3" t="s">
        <v>43</v>
      </c>
      <c r="I64" s="3">
        <v>1</v>
      </c>
      <c r="J64" s="3">
        <v>23850</v>
      </c>
      <c r="K64" s="3">
        <v>26500</v>
      </c>
      <c r="L64" s="3">
        <v>56</v>
      </c>
      <c r="M64">
        <f>Table1[[#This Row],[Qty]]*Table1[[#This Row],[Sales Price]]</f>
        <v>1484000</v>
      </c>
      <c r="N64">
        <f>Table1[[#This Row],[Qty]]*Table1[[#This Row],[Cost]]</f>
        <v>1335600</v>
      </c>
      <c r="O64">
        <f>Table1[[#This Row],[Revenue]]-Table1[[#This Row],[Total Cost]]</f>
        <v>148400</v>
      </c>
    </row>
    <row r="65" spans="1:15" x14ac:dyDescent="0.55000000000000004">
      <c r="A65" s="3">
        <v>64</v>
      </c>
      <c r="B65" s="4">
        <v>44729</v>
      </c>
      <c r="C65" s="4" t="str">
        <f>TEXT(Table1[[#This Row],[Date]],"YYYY")</f>
        <v>2022</v>
      </c>
      <c r="D65" s="4" t="str">
        <f>TEXT(Table1[[#This Row],[Date]],"MMM")</f>
        <v>Jun</v>
      </c>
      <c r="E65" s="5" t="s">
        <v>53</v>
      </c>
      <c r="F65" s="3" t="s">
        <v>18</v>
      </c>
      <c r="G65" s="3" t="s">
        <v>45</v>
      </c>
      <c r="H65" s="3" t="s">
        <v>43</v>
      </c>
      <c r="I65" s="3">
        <v>1</v>
      </c>
      <c r="J65" s="3">
        <v>24750</v>
      </c>
      <c r="K65" s="3">
        <v>27500</v>
      </c>
      <c r="L65" s="3">
        <v>10</v>
      </c>
      <c r="M65">
        <f>Table1[[#This Row],[Qty]]*Table1[[#This Row],[Sales Price]]</f>
        <v>275000</v>
      </c>
      <c r="N65">
        <f>Table1[[#This Row],[Qty]]*Table1[[#This Row],[Cost]]</f>
        <v>247500</v>
      </c>
      <c r="O65">
        <f>Table1[[#This Row],[Revenue]]-Table1[[#This Row],[Total Cost]]</f>
        <v>27500</v>
      </c>
    </row>
    <row r="66" spans="1:15" x14ac:dyDescent="0.55000000000000004">
      <c r="A66" s="3">
        <v>65</v>
      </c>
      <c r="B66" s="4">
        <v>44730</v>
      </c>
      <c r="C66" s="4" t="str">
        <f>TEXT(Table1[[#This Row],[Date]],"YYYY")</f>
        <v>2022</v>
      </c>
      <c r="D66" s="4" t="str">
        <f>TEXT(Table1[[#This Row],[Date]],"MMM")</f>
        <v>Jun</v>
      </c>
      <c r="E66" s="5" t="s">
        <v>58</v>
      </c>
      <c r="F66" s="3" t="s">
        <v>15</v>
      </c>
      <c r="G66" s="3" t="s">
        <v>47</v>
      </c>
      <c r="H66" s="3" t="s">
        <v>43</v>
      </c>
      <c r="I66" s="3">
        <v>1</v>
      </c>
      <c r="J66" s="3">
        <v>44550</v>
      </c>
      <c r="K66" s="3">
        <v>49500</v>
      </c>
      <c r="L66" s="3">
        <v>9</v>
      </c>
      <c r="M66">
        <f>Table1[[#This Row],[Qty]]*Table1[[#This Row],[Sales Price]]</f>
        <v>445500</v>
      </c>
      <c r="N66">
        <f>Table1[[#This Row],[Qty]]*Table1[[#This Row],[Cost]]</f>
        <v>400950</v>
      </c>
      <c r="O66">
        <f>Table1[[#This Row],[Revenue]]-Table1[[#This Row],[Total Cost]]</f>
        <v>44550</v>
      </c>
    </row>
    <row r="67" spans="1:15" x14ac:dyDescent="0.55000000000000004">
      <c r="A67" s="3">
        <v>66</v>
      </c>
      <c r="B67" s="4">
        <v>44731</v>
      </c>
      <c r="C67" s="4" t="str">
        <f>TEXT(Table1[[#This Row],[Date]],"YYYY")</f>
        <v>2022</v>
      </c>
      <c r="D67" s="4" t="str">
        <f>TEXT(Table1[[#This Row],[Date]],"MMM")</f>
        <v>Jun</v>
      </c>
      <c r="E67" s="5" t="s">
        <v>22</v>
      </c>
      <c r="F67" s="3" t="s">
        <v>18</v>
      </c>
      <c r="G67" s="3" t="s">
        <v>48</v>
      </c>
      <c r="H67" s="3" t="s">
        <v>43</v>
      </c>
      <c r="I67" s="3">
        <v>1</v>
      </c>
      <c r="J67" s="3">
        <v>9000</v>
      </c>
      <c r="K67" s="3">
        <v>10000</v>
      </c>
      <c r="L67" s="3">
        <v>27</v>
      </c>
      <c r="M67">
        <f>Table1[[#This Row],[Qty]]*Table1[[#This Row],[Sales Price]]</f>
        <v>270000</v>
      </c>
      <c r="N67">
        <f>Table1[[#This Row],[Qty]]*Table1[[#This Row],[Cost]]</f>
        <v>243000</v>
      </c>
      <c r="O67">
        <f>Table1[[#This Row],[Revenue]]-Table1[[#This Row],[Total Cost]]</f>
        <v>27000</v>
      </c>
    </row>
    <row r="68" spans="1:15" x14ac:dyDescent="0.55000000000000004">
      <c r="A68" s="3">
        <v>67</v>
      </c>
      <c r="B68" s="4">
        <v>44732</v>
      </c>
      <c r="C68" s="4" t="str">
        <f>TEXT(Table1[[#This Row],[Date]],"YYYY")</f>
        <v>2022</v>
      </c>
      <c r="D68" s="4" t="str">
        <f>TEXT(Table1[[#This Row],[Date]],"MMM")</f>
        <v>Jun</v>
      </c>
      <c r="E68" s="5" t="s">
        <v>22</v>
      </c>
      <c r="F68" s="3" t="s">
        <v>15</v>
      </c>
      <c r="G68" s="3" t="s">
        <v>48</v>
      </c>
      <c r="H68" s="3" t="s">
        <v>43</v>
      </c>
      <c r="I68" s="3">
        <v>1</v>
      </c>
      <c r="J68" s="3">
        <v>8640</v>
      </c>
      <c r="K68" s="3">
        <v>9600</v>
      </c>
      <c r="L68" s="3">
        <v>15</v>
      </c>
      <c r="M68">
        <f>Table1[[#This Row],[Qty]]*Table1[[#This Row],[Sales Price]]</f>
        <v>144000</v>
      </c>
      <c r="N68">
        <f>Table1[[#This Row],[Qty]]*Table1[[#This Row],[Cost]]</f>
        <v>129600</v>
      </c>
      <c r="O68">
        <f>Table1[[#This Row],[Revenue]]-Table1[[#This Row],[Total Cost]]</f>
        <v>14400</v>
      </c>
    </row>
    <row r="69" spans="1:15" x14ac:dyDescent="0.55000000000000004">
      <c r="A69" s="3">
        <v>68</v>
      </c>
      <c r="B69" s="4">
        <v>44733</v>
      </c>
      <c r="C69" s="4" t="str">
        <f>TEXT(Table1[[#This Row],[Date]],"YYYY")</f>
        <v>2022</v>
      </c>
      <c r="D69" s="4" t="str">
        <f>TEXT(Table1[[#This Row],[Date]],"MMM")</f>
        <v>Jun</v>
      </c>
      <c r="E69" s="5" t="s">
        <v>40</v>
      </c>
      <c r="F69" s="3" t="s">
        <v>18</v>
      </c>
      <c r="G69" s="3" t="s">
        <v>42</v>
      </c>
      <c r="H69" s="3" t="s">
        <v>43</v>
      </c>
      <c r="I69" s="3">
        <v>1</v>
      </c>
      <c r="J69" s="3">
        <v>9000</v>
      </c>
      <c r="K69" s="3">
        <v>10000</v>
      </c>
      <c r="L69" s="3">
        <v>3</v>
      </c>
      <c r="M69">
        <f>Table1[[#This Row],[Qty]]*Table1[[#This Row],[Sales Price]]</f>
        <v>30000</v>
      </c>
      <c r="N69">
        <f>Table1[[#This Row],[Qty]]*Table1[[#This Row],[Cost]]</f>
        <v>27000</v>
      </c>
      <c r="O69">
        <f>Table1[[#This Row],[Revenue]]-Table1[[#This Row],[Total Cost]]</f>
        <v>3000</v>
      </c>
    </row>
    <row r="70" spans="1:15" x14ac:dyDescent="0.55000000000000004">
      <c r="A70" s="3">
        <v>69</v>
      </c>
      <c r="B70" s="4">
        <v>44734</v>
      </c>
      <c r="C70" s="4" t="str">
        <f>TEXT(Table1[[#This Row],[Date]],"YYYY")</f>
        <v>2022</v>
      </c>
      <c r="D70" s="4" t="str">
        <f>TEXT(Table1[[#This Row],[Date]],"MMM")</f>
        <v>Jun</v>
      </c>
      <c r="E70" s="5" t="s">
        <v>40</v>
      </c>
      <c r="F70" s="3" t="s">
        <v>15</v>
      </c>
      <c r="G70" s="3" t="s">
        <v>16</v>
      </c>
      <c r="H70" s="3" t="s">
        <v>17</v>
      </c>
      <c r="I70" s="3"/>
      <c r="J70" s="3">
        <v>3870</v>
      </c>
      <c r="K70" s="3">
        <v>4300</v>
      </c>
      <c r="L70" s="3">
        <v>9</v>
      </c>
      <c r="M70">
        <f>Table1[[#This Row],[Qty]]*Table1[[#This Row],[Sales Price]]</f>
        <v>38700</v>
      </c>
      <c r="N70">
        <f>Table1[[#This Row],[Qty]]*Table1[[#This Row],[Cost]]</f>
        <v>34830</v>
      </c>
      <c r="O70">
        <f>Table1[[#This Row],[Revenue]]-Table1[[#This Row],[Total Cost]]</f>
        <v>3870</v>
      </c>
    </row>
    <row r="71" spans="1:15" x14ac:dyDescent="0.55000000000000004">
      <c r="A71" s="3">
        <v>70</v>
      </c>
      <c r="B71" s="4">
        <v>44735</v>
      </c>
      <c r="C71" s="4" t="str">
        <f>TEXT(Table1[[#This Row],[Date]],"YYYY")</f>
        <v>2022</v>
      </c>
      <c r="D71" s="4" t="str">
        <f>TEXT(Table1[[#This Row],[Date]],"MMM")</f>
        <v>Jun</v>
      </c>
      <c r="E71" s="5" t="s">
        <v>39</v>
      </c>
      <c r="F71" s="3" t="s">
        <v>18</v>
      </c>
      <c r="G71" s="3" t="s">
        <v>19</v>
      </c>
      <c r="H71" s="3" t="s">
        <v>17</v>
      </c>
      <c r="I71" s="3"/>
      <c r="J71" s="3">
        <v>8640</v>
      </c>
      <c r="K71" s="3">
        <v>9600</v>
      </c>
      <c r="L71" s="3">
        <v>22</v>
      </c>
      <c r="M71">
        <f>Table1[[#This Row],[Qty]]*Table1[[#This Row],[Sales Price]]</f>
        <v>211200</v>
      </c>
      <c r="N71">
        <f>Table1[[#This Row],[Qty]]*Table1[[#This Row],[Cost]]</f>
        <v>190080</v>
      </c>
      <c r="O71">
        <f>Table1[[#This Row],[Revenue]]-Table1[[#This Row],[Total Cost]]</f>
        <v>21120</v>
      </c>
    </row>
    <row r="72" spans="1:15" x14ac:dyDescent="0.55000000000000004">
      <c r="A72" s="3">
        <v>71</v>
      </c>
      <c r="B72" s="4">
        <v>44736</v>
      </c>
      <c r="C72" s="4" t="str">
        <f>TEXT(Table1[[#This Row],[Date]],"YYYY")</f>
        <v>2022</v>
      </c>
      <c r="D72" s="4" t="str">
        <f>TEXT(Table1[[#This Row],[Date]],"MMM")</f>
        <v>Jun</v>
      </c>
      <c r="E72" s="5" t="s">
        <v>20</v>
      </c>
      <c r="F72" s="3" t="s">
        <v>15</v>
      </c>
      <c r="G72" s="3" t="s">
        <v>21</v>
      </c>
      <c r="H72" s="3" t="s">
        <v>17</v>
      </c>
      <c r="I72" s="3"/>
      <c r="J72" s="3">
        <v>8280</v>
      </c>
      <c r="K72" s="3">
        <v>9200</v>
      </c>
      <c r="L72" s="3">
        <v>16</v>
      </c>
      <c r="M72">
        <f>Table1[[#This Row],[Qty]]*Table1[[#This Row],[Sales Price]]</f>
        <v>147200</v>
      </c>
      <c r="N72">
        <f>Table1[[#This Row],[Qty]]*Table1[[#This Row],[Cost]]</f>
        <v>132480</v>
      </c>
      <c r="O72">
        <f>Table1[[#This Row],[Revenue]]-Table1[[#This Row],[Total Cost]]</f>
        <v>14720</v>
      </c>
    </row>
    <row r="73" spans="1:15" x14ac:dyDescent="0.55000000000000004">
      <c r="A73" s="3">
        <v>72</v>
      </c>
      <c r="B73" s="4">
        <v>44737</v>
      </c>
      <c r="C73" s="4" t="str">
        <f>TEXT(Table1[[#This Row],[Date]],"YYYY")</f>
        <v>2022</v>
      </c>
      <c r="D73" s="4" t="str">
        <f>TEXT(Table1[[#This Row],[Date]],"MMM")</f>
        <v>Jun</v>
      </c>
      <c r="E73" s="5" t="s">
        <v>22</v>
      </c>
      <c r="F73" s="3" t="s">
        <v>18</v>
      </c>
      <c r="G73" s="3" t="s">
        <v>23</v>
      </c>
      <c r="H73" s="3" t="s">
        <v>17</v>
      </c>
      <c r="I73" s="3">
        <v>1</v>
      </c>
      <c r="J73" s="3">
        <v>4950</v>
      </c>
      <c r="K73" s="3">
        <v>5500</v>
      </c>
      <c r="L73" s="3">
        <v>6</v>
      </c>
      <c r="M73">
        <f>Table1[[#This Row],[Qty]]*Table1[[#This Row],[Sales Price]]</f>
        <v>33000</v>
      </c>
      <c r="N73">
        <f>Table1[[#This Row],[Qty]]*Table1[[#This Row],[Cost]]</f>
        <v>29700</v>
      </c>
      <c r="O73">
        <f>Table1[[#This Row],[Revenue]]-Table1[[#This Row],[Total Cost]]</f>
        <v>3300</v>
      </c>
    </row>
    <row r="74" spans="1:15" x14ac:dyDescent="0.55000000000000004">
      <c r="A74" s="3">
        <v>73</v>
      </c>
      <c r="B74" s="4">
        <v>44738</v>
      </c>
      <c r="C74" s="4" t="str">
        <f>TEXT(Table1[[#This Row],[Date]],"YYYY")</f>
        <v>2022</v>
      </c>
      <c r="D74" s="4" t="str">
        <f>TEXT(Table1[[#This Row],[Date]],"MMM")</f>
        <v>Jun</v>
      </c>
      <c r="E74" s="5" t="s">
        <v>14</v>
      </c>
      <c r="F74" s="3" t="s">
        <v>15</v>
      </c>
      <c r="G74" s="3" t="s">
        <v>25</v>
      </c>
      <c r="H74" s="3" t="s">
        <v>17</v>
      </c>
      <c r="I74" s="3">
        <v>1</v>
      </c>
      <c r="J74" s="3">
        <v>3150</v>
      </c>
      <c r="K74" s="3">
        <v>3500</v>
      </c>
      <c r="L74" s="3">
        <v>3</v>
      </c>
      <c r="M74">
        <f>Table1[[#This Row],[Qty]]*Table1[[#This Row],[Sales Price]]</f>
        <v>10500</v>
      </c>
      <c r="N74">
        <f>Table1[[#This Row],[Qty]]*Table1[[#This Row],[Cost]]</f>
        <v>9450</v>
      </c>
      <c r="O74">
        <f>Table1[[#This Row],[Revenue]]-Table1[[#This Row],[Total Cost]]</f>
        <v>1050</v>
      </c>
    </row>
    <row r="75" spans="1:15" x14ac:dyDescent="0.55000000000000004">
      <c r="A75" s="3">
        <v>74</v>
      </c>
      <c r="B75" s="4">
        <v>44739</v>
      </c>
      <c r="C75" s="4" t="str">
        <f>TEXT(Table1[[#This Row],[Date]],"YYYY")</f>
        <v>2022</v>
      </c>
      <c r="D75" s="4" t="str">
        <f>TEXT(Table1[[#This Row],[Date]],"MMM")</f>
        <v>Jun</v>
      </c>
      <c r="E75" s="5" t="s">
        <v>22</v>
      </c>
      <c r="F75" s="3" t="s">
        <v>18</v>
      </c>
      <c r="G75" s="3" t="s">
        <v>26</v>
      </c>
      <c r="H75" s="3" t="s">
        <v>17</v>
      </c>
      <c r="I75" s="3">
        <v>1</v>
      </c>
      <c r="J75" s="3">
        <v>2700</v>
      </c>
      <c r="K75" s="3">
        <v>3000</v>
      </c>
      <c r="L75" s="3">
        <v>5</v>
      </c>
      <c r="M75">
        <f>Table1[[#This Row],[Qty]]*Table1[[#This Row],[Sales Price]]</f>
        <v>15000</v>
      </c>
      <c r="N75">
        <f>Table1[[#This Row],[Qty]]*Table1[[#This Row],[Cost]]</f>
        <v>13500</v>
      </c>
      <c r="O75">
        <f>Table1[[#This Row],[Revenue]]-Table1[[#This Row],[Total Cost]]</f>
        <v>1500</v>
      </c>
    </row>
    <row r="76" spans="1:15" x14ac:dyDescent="0.55000000000000004">
      <c r="A76" s="3">
        <v>75</v>
      </c>
      <c r="B76" s="4">
        <v>44740</v>
      </c>
      <c r="C76" s="4" t="str">
        <f>TEXT(Table1[[#This Row],[Date]],"YYYY")</f>
        <v>2022</v>
      </c>
      <c r="D76" s="4" t="str">
        <f>TEXT(Table1[[#This Row],[Date]],"MMM")</f>
        <v>Jun</v>
      </c>
      <c r="E76" s="5" t="s">
        <v>40</v>
      </c>
      <c r="F76" s="3" t="s">
        <v>15</v>
      </c>
      <c r="G76" s="3" t="s">
        <v>27</v>
      </c>
      <c r="H76" s="3" t="s">
        <v>28</v>
      </c>
      <c r="I76" s="3">
        <v>1</v>
      </c>
      <c r="J76" s="3">
        <v>4050</v>
      </c>
      <c r="K76" s="3">
        <v>4500</v>
      </c>
      <c r="L76" s="3">
        <v>1</v>
      </c>
      <c r="M76">
        <f>Table1[[#This Row],[Qty]]*Table1[[#This Row],[Sales Price]]</f>
        <v>4500</v>
      </c>
      <c r="N76">
        <f>Table1[[#This Row],[Qty]]*Table1[[#This Row],[Cost]]</f>
        <v>4050</v>
      </c>
      <c r="O76">
        <f>Table1[[#This Row],[Revenue]]-Table1[[#This Row],[Total Cost]]</f>
        <v>450</v>
      </c>
    </row>
    <row r="77" spans="1:15" x14ac:dyDescent="0.55000000000000004">
      <c r="A77" s="3">
        <v>76</v>
      </c>
      <c r="B77" s="4">
        <v>44741</v>
      </c>
      <c r="C77" s="4" t="str">
        <f>TEXT(Table1[[#This Row],[Date]],"YYYY")</f>
        <v>2022</v>
      </c>
      <c r="D77" s="4" t="str">
        <f>TEXT(Table1[[#This Row],[Date]],"MMM")</f>
        <v>Jun</v>
      </c>
      <c r="E77" s="5" t="s">
        <v>14</v>
      </c>
      <c r="F77" s="3" t="s">
        <v>18</v>
      </c>
      <c r="G77" s="3" t="s">
        <v>30</v>
      </c>
      <c r="H77" s="3" t="s">
        <v>28</v>
      </c>
      <c r="I77" s="3">
        <v>1</v>
      </c>
      <c r="J77" s="3">
        <v>53100</v>
      </c>
      <c r="K77" s="3">
        <v>59000</v>
      </c>
      <c r="L77" s="3">
        <v>5</v>
      </c>
      <c r="M77">
        <f>Table1[[#This Row],[Qty]]*Table1[[#This Row],[Sales Price]]</f>
        <v>295000</v>
      </c>
      <c r="N77">
        <f>Table1[[#This Row],[Qty]]*Table1[[#This Row],[Cost]]</f>
        <v>265500</v>
      </c>
      <c r="O77">
        <f>Table1[[#This Row],[Revenue]]-Table1[[#This Row],[Total Cost]]</f>
        <v>29500</v>
      </c>
    </row>
    <row r="78" spans="1:15" x14ac:dyDescent="0.55000000000000004">
      <c r="A78" s="3">
        <v>77</v>
      </c>
      <c r="B78" s="4">
        <v>44742</v>
      </c>
      <c r="C78" s="4" t="str">
        <f>TEXT(Table1[[#This Row],[Date]],"YYYY")</f>
        <v>2022</v>
      </c>
      <c r="D78" s="4" t="str">
        <f>TEXT(Table1[[#This Row],[Date]],"MMM")</f>
        <v>Jun</v>
      </c>
      <c r="E78" s="5" t="s">
        <v>40</v>
      </c>
      <c r="F78" s="3" t="s">
        <v>15</v>
      </c>
      <c r="G78" s="3" t="s">
        <v>32</v>
      </c>
      <c r="H78" s="3" t="s">
        <v>28</v>
      </c>
      <c r="I78" s="3">
        <v>1</v>
      </c>
      <c r="J78" s="3">
        <v>88200</v>
      </c>
      <c r="K78" s="3">
        <v>98000</v>
      </c>
      <c r="L78" s="3">
        <v>7</v>
      </c>
      <c r="M78">
        <f>Table1[[#This Row],[Qty]]*Table1[[#This Row],[Sales Price]]</f>
        <v>686000</v>
      </c>
      <c r="N78">
        <f>Table1[[#This Row],[Qty]]*Table1[[#This Row],[Cost]]</f>
        <v>617400</v>
      </c>
      <c r="O78">
        <f>Table1[[#This Row],[Revenue]]-Table1[[#This Row],[Total Cost]]</f>
        <v>68600</v>
      </c>
    </row>
    <row r="79" spans="1:15" x14ac:dyDescent="0.55000000000000004">
      <c r="A79" s="3">
        <v>78</v>
      </c>
      <c r="B79" s="4">
        <v>44743</v>
      </c>
      <c r="C79" s="4" t="str">
        <f>TEXT(Table1[[#This Row],[Date]],"YYYY")</f>
        <v>2022</v>
      </c>
      <c r="D79" s="4" t="str">
        <f>TEXT(Table1[[#This Row],[Date]],"MMM")</f>
        <v>Jul</v>
      </c>
      <c r="E79" s="5" t="s">
        <v>31</v>
      </c>
      <c r="F79" s="3" t="s">
        <v>18</v>
      </c>
      <c r="G79" s="3" t="s">
        <v>34</v>
      </c>
      <c r="H79" s="3" t="s">
        <v>28</v>
      </c>
      <c r="I79" s="3">
        <v>1</v>
      </c>
      <c r="J79" s="3">
        <v>38250</v>
      </c>
      <c r="K79" s="3">
        <v>42500</v>
      </c>
      <c r="L79" s="3">
        <v>4</v>
      </c>
      <c r="M79">
        <f>Table1[[#This Row],[Qty]]*Table1[[#This Row],[Sales Price]]</f>
        <v>170000</v>
      </c>
      <c r="N79">
        <f>Table1[[#This Row],[Qty]]*Table1[[#This Row],[Cost]]</f>
        <v>153000</v>
      </c>
      <c r="O79">
        <f>Table1[[#This Row],[Revenue]]-Table1[[#This Row],[Total Cost]]</f>
        <v>17000</v>
      </c>
    </row>
    <row r="80" spans="1:15" x14ac:dyDescent="0.55000000000000004">
      <c r="A80" s="3">
        <v>79</v>
      </c>
      <c r="B80" s="4">
        <v>44744</v>
      </c>
      <c r="C80" s="4" t="str">
        <f>TEXT(Table1[[#This Row],[Date]],"YYYY")</f>
        <v>2022</v>
      </c>
      <c r="D80" s="4" t="str">
        <f>TEXT(Table1[[#This Row],[Date]],"MMM")</f>
        <v>Jul</v>
      </c>
      <c r="E80" s="5" t="s">
        <v>50</v>
      </c>
      <c r="F80" s="3" t="s">
        <v>15</v>
      </c>
      <c r="G80" s="3" t="s">
        <v>36</v>
      </c>
      <c r="H80" s="3" t="s">
        <v>17</v>
      </c>
      <c r="I80" s="3"/>
      <c r="J80" s="3">
        <v>2700</v>
      </c>
      <c r="K80" s="3">
        <v>3000</v>
      </c>
      <c r="L80" s="3">
        <v>8</v>
      </c>
      <c r="M80">
        <f>Table1[[#This Row],[Qty]]*Table1[[#This Row],[Sales Price]]</f>
        <v>24000</v>
      </c>
      <c r="N80">
        <f>Table1[[#This Row],[Qty]]*Table1[[#This Row],[Cost]]</f>
        <v>21600</v>
      </c>
      <c r="O80">
        <f>Table1[[#This Row],[Revenue]]-Table1[[#This Row],[Total Cost]]</f>
        <v>2400</v>
      </c>
    </row>
    <row r="81" spans="1:15" x14ac:dyDescent="0.55000000000000004">
      <c r="A81" s="3">
        <v>80</v>
      </c>
      <c r="B81" s="4">
        <v>44745</v>
      </c>
      <c r="C81" s="4" t="str">
        <f>TEXT(Table1[[#This Row],[Date]],"YYYY")</f>
        <v>2022</v>
      </c>
      <c r="D81" s="4" t="str">
        <f>TEXT(Table1[[#This Row],[Date]],"MMM")</f>
        <v>Jul</v>
      </c>
      <c r="E81" s="5" t="s">
        <v>33</v>
      </c>
      <c r="F81" s="3" t="s">
        <v>18</v>
      </c>
      <c r="G81" s="3" t="s">
        <v>37</v>
      </c>
      <c r="H81" s="3" t="s">
        <v>17</v>
      </c>
      <c r="I81" s="3"/>
      <c r="J81" s="3">
        <v>23850</v>
      </c>
      <c r="K81" s="3">
        <v>26500</v>
      </c>
      <c r="L81" s="3">
        <v>8</v>
      </c>
      <c r="M81">
        <f>Table1[[#This Row],[Qty]]*Table1[[#This Row],[Sales Price]]</f>
        <v>212000</v>
      </c>
      <c r="N81">
        <f>Table1[[#This Row],[Qty]]*Table1[[#This Row],[Cost]]</f>
        <v>190800</v>
      </c>
      <c r="O81">
        <f>Table1[[#This Row],[Revenue]]-Table1[[#This Row],[Total Cost]]</f>
        <v>21200</v>
      </c>
    </row>
    <row r="82" spans="1:15" x14ac:dyDescent="0.55000000000000004">
      <c r="A82" s="3">
        <v>81</v>
      </c>
      <c r="B82" s="4">
        <v>44746</v>
      </c>
      <c r="C82" s="4" t="str">
        <f>TEXT(Table1[[#This Row],[Date]],"YYYY")</f>
        <v>2022</v>
      </c>
      <c r="D82" s="4" t="str">
        <f>TEXT(Table1[[#This Row],[Date]],"MMM")</f>
        <v>Jul</v>
      </c>
      <c r="E82" s="5" t="s">
        <v>39</v>
      </c>
      <c r="F82" s="3" t="s">
        <v>15</v>
      </c>
      <c r="G82" s="3" t="s">
        <v>38</v>
      </c>
      <c r="H82" s="3" t="s">
        <v>17</v>
      </c>
      <c r="I82" s="3">
        <v>1</v>
      </c>
      <c r="J82" s="3">
        <v>24750</v>
      </c>
      <c r="K82" s="3">
        <v>27500</v>
      </c>
      <c r="L82" s="3">
        <v>9</v>
      </c>
      <c r="M82">
        <f>Table1[[#This Row],[Qty]]*Table1[[#This Row],[Sales Price]]</f>
        <v>247500</v>
      </c>
      <c r="N82">
        <f>Table1[[#This Row],[Qty]]*Table1[[#This Row],[Cost]]</f>
        <v>222750</v>
      </c>
      <c r="O82">
        <f>Table1[[#This Row],[Revenue]]-Table1[[#This Row],[Total Cost]]</f>
        <v>24750</v>
      </c>
    </row>
    <row r="83" spans="1:15" x14ac:dyDescent="0.55000000000000004">
      <c r="A83" s="3">
        <v>82</v>
      </c>
      <c r="B83" s="4">
        <v>44747</v>
      </c>
      <c r="C83" s="4" t="str">
        <f>TEXT(Table1[[#This Row],[Date]],"YYYY")</f>
        <v>2022</v>
      </c>
      <c r="D83" s="4" t="str">
        <f>TEXT(Table1[[#This Row],[Date]],"MMM")</f>
        <v>Jul</v>
      </c>
      <c r="E83" s="5" t="s">
        <v>40</v>
      </c>
      <c r="F83" s="3" t="s">
        <v>15</v>
      </c>
      <c r="G83" s="3" t="s">
        <v>19</v>
      </c>
      <c r="H83" s="3" t="s">
        <v>17</v>
      </c>
      <c r="I83" s="3">
        <v>1</v>
      </c>
      <c r="J83" s="3">
        <v>44550</v>
      </c>
      <c r="K83" s="3">
        <v>49500</v>
      </c>
      <c r="L83" s="3">
        <v>2</v>
      </c>
      <c r="M83">
        <f>Table1[[#This Row],[Qty]]*Table1[[#This Row],[Sales Price]]</f>
        <v>99000</v>
      </c>
      <c r="N83">
        <f>Table1[[#This Row],[Qty]]*Table1[[#This Row],[Cost]]</f>
        <v>89100</v>
      </c>
      <c r="O83">
        <f>Table1[[#This Row],[Revenue]]-Table1[[#This Row],[Total Cost]]</f>
        <v>9900</v>
      </c>
    </row>
    <row r="84" spans="1:15" x14ac:dyDescent="0.55000000000000004">
      <c r="A84" s="3">
        <v>83</v>
      </c>
      <c r="B84" s="4">
        <v>44748</v>
      </c>
      <c r="C84" s="4" t="str">
        <f>TEXT(Table1[[#This Row],[Date]],"YYYY")</f>
        <v>2022</v>
      </c>
      <c r="D84" s="4" t="str">
        <f>TEXT(Table1[[#This Row],[Date]],"MMM")</f>
        <v>Jul</v>
      </c>
      <c r="E84" s="5" t="s">
        <v>35</v>
      </c>
      <c r="F84" s="3" t="s">
        <v>18</v>
      </c>
      <c r="G84" s="3" t="s">
        <v>21</v>
      </c>
      <c r="H84" s="3" t="s">
        <v>17</v>
      </c>
      <c r="I84" s="3">
        <v>1</v>
      </c>
      <c r="J84" s="3">
        <v>9000</v>
      </c>
      <c r="K84" s="3">
        <v>10000</v>
      </c>
      <c r="L84" s="3">
        <v>1</v>
      </c>
      <c r="M84">
        <f>Table1[[#This Row],[Qty]]*Table1[[#This Row],[Sales Price]]</f>
        <v>10000</v>
      </c>
      <c r="N84">
        <f>Table1[[#This Row],[Qty]]*Table1[[#This Row],[Cost]]</f>
        <v>9000</v>
      </c>
      <c r="O84">
        <f>Table1[[#This Row],[Revenue]]-Table1[[#This Row],[Total Cost]]</f>
        <v>1000</v>
      </c>
    </row>
    <row r="85" spans="1:15" x14ac:dyDescent="0.55000000000000004">
      <c r="A85" s="3">
        <v>84</v>
      </c>
      <c r="B85" s="4">
        <v>44749</v>
      </c>
      <c r="C85" s="4" t="str">
        <f>TEXT(Table1[[#This Row],[Date]],"YYYY")</f>
        <v>2022</v>
      </c>
      <c r="D85" s="4" t="str">
        <f>TEXT(Table1[[#This Row],[Date]],"MMM")</f>
        <v>Jul</v>
      </c>
      <c r="E85" s="5" t="s">
        <v>31</v>
      </c>
      <c r="F85" s="3" t="s">
        <v>15</v>
      </c>
      <c r="G85" s="3" t="s">
        <v>23</v>
      </c>
      <c r="H85" s="3" t="s">
        <v>17</v>
      </c>
      <c r="I85" s="3">
        <v>1</v>
      </c>
      <c r="J85" s="3">
        <v>8640</v>
      </c>
      <c r="K85" s="3">
        <v>9600</v>
      </c>
      <c r="L85" s="3">
        <v>22</v>
      </c>
      <c r="M85">
        <f>Table1[[#This Row],[Qty]]*Table1[[#This Row],[Sales Price]]</f>
        <v>211200</v>
      </c>
      <c r="N85">
        <f>Table1[[#This Row],[Qty]]*Table1[[#This Row],[Cost]]</f>
        <v>190080</v>
      </c>
      <c r="O85">
        <f>Table1[[#This Row],[Revenue]]-Table1[[#This Row],[Total Cost]]</f>
        <v>21120</v>
      </c>
    </row>
    <row r="86" spans="1:15" x14ac:dyDescent="0.55000000000000004">
      <c r="A86" s="3">
        <v>85</v>
      </c>
      <c r="B86" s="4">
        <v>44750</v>
      </c>
      <c r="C86" s="4" t="str">
        <f>TEXT(Table1[[#This Row],[Date]],"YYYY")</f>
        <v>2022</v>
      </c>
      <c r="D86" s="4" t="str">
        <f>TEXT(Table1[[#This Row],[Date]],"MMM")</f>
        <v>Jul</v>
      </c>
      <c r="E86" s="5" t="s">
        <v>33</v>
      </c>
      <c r="F86" s="3" t="s">
        <v>18</v>
      </c>
      <c r="G86" s="3" t="s">
        <v>25</v>
      </c>
      <c r="H86" s="3" t="s">
        <v>17</v>
      </c>
      <c r="I86" s="3">
        <v>1</v>
      </c>
      <c r="J86" s="3">
        <v>9000</v>
      </c>
      <c r="K86" s="3">
        <v>10000</v>
      </c>
      <c r="L86" s="3">
        <v>8</v>
      </c>
      <c r="M86">
        <f>Table1[[#This Row],[Qty]]*Table1[[#This Row],[Sales Price]]</f>
        <v>80000</v>
      </c>
      <c r="N86">
        <f>Table1[[#This Row],[Qty]]*Table1[[#This Row],[Cost]]</f>
        <v>72000</v>
      </c>
      <c r="O86">
        <f>Table1[[#This Row],[Revenue]]-Table1[[#This Row],[Total Cost]]</f>
        <v>8000</v>
      </c>
    </row>
    <row r="87" spans="1:15" x14ac:dyDescent="0.55000000000000004">
      <c r="A87" s="3">
        <v>86</v>
      </c>
      <c r="B87" s="4">
        <v>44751</v>
      </c>
      <c r="C87" s="4" t="str">
        <f>TEXT(Table1[[#This Row],[Date]],"YYYY")</f>
        <v>2022</v>
      </c>
      <c r="D87" s="4" t="str">
        <f>TEXT(Table1[[#This Row],[Date]],"MMM")</f>
        <v>Jul</v>
      </c>
      <c r="E87" s="5" t="s">
        <v>22</v>
      </c>
      <c r="F87" s="3" t="s">
        <v>15</v>
      </c>
      <c r="G87" s="3" t="s">
        <v>26</v>
      </c>
      <c r="H87" s="3" t="s">
        <v>17</v>
      </c>
      <c r="I87" s="3">
        <v>1</v>
      </c>
      <c r="J87" s="3">
        <v>3870</v>
      </c>
      <c r="K87" s="3">
        <v>4300</v>
      </c>
      <c r="L87" s="3">
        <v>7</v>
      </c>
      <c r="M87">
        <f>Table1[[#This Row],[Qty]]*Table1[[#This Row],[Sales Price]]</f>
        <v>30100</v>
      </c>
      <c r="N87">
        <f>Table1[[#This Row],[Qty]]*Table1[[#This Row],[Cost]]</f>
        <v>27090</v>
      </c>
      <c r="O87">
        <f>Table1[[#This Row],[Revenue]]-Table1[[#This Row],[Total Cost]]</f>
        <v>3010</v>
      </c>
    </row>
    <row r="88" spans="1:15" x14ac:dyDescent="0.55000000000000004">
      <c r="A88" s="3">
        <v>87</v>
      </c>
      <c r="B88" s="4">
        <v>44752</v>
      </c>
      <c r="C88" s="4" t="str">
        <f>TEXT(Table1[[#This Row],[Date]],"YYYY")</f>
        <v>2022</v>
      </c>
      <c r="D88" s="4" t="str">
        <f>TEXT(Table1[[#This Row],[Date]],"MMM")</f>
        <v>Jul</v>
      </c>
      <c r="E88" s="5" t="s">
        <v>33</v>
      </c>
      <c r="F88" s="3" t="s">
        <v>18</v>
      </c>
      <c r="G88" s="3" t="s">
        <v>37</v>
      </c>
      <c r="H88" s="3" t="s">
        <v>17</v>
      </c>
      <c r="I88" s="3"/>
      <c r="J88" s="3">
        <v>8280</v>
      </c>
      <c r="K88" s="3">
        <v>9200</v>
      </c>
      <c r="L88" s="3">
        <v>56</v>
      </c>
      <c r="M88">
        <f>Table1[[#This Row],[Qty]]*Table1[[#This Row],[Sales Price]]</f>
        <v>515200</v>
      </c>
      <c r="N88">
        <f>Table1[[#This Row],[Qty]]*Table1[[#This Row],[Cost]]</f>
        <v>463680</v>
      </c>
      <c r="O88">
        <f>Table1[[#This Row],[Revenue]]-Table1[[#This Row],[Total Cost]]</f>
        <v>51520</v>
      </c>
    </row>
    <row r="89" spans="1:15" x14ac:dyDescent="0.55000000000000004">
      <c r="A89" s="3">
        <v>88</v>
      </c>
      <c r="B89" s="4">
        <v>44753</v>
      </c>
      <c r="C89" s="4" t="str">
        <f>TEXT(Table1[[#This Row],[Date]],"YYYY")</f>
        <v>2022</v>
      </c>
      <c r="D89" s="4" t="str">
        <f>TEXT(Table1[[#This Row],[Date]],"MMM")</f>
        <v>Jul</v>
      </c>
      <c r="E89" s="5" t="s">
        <v>22</v>
      </c>
      <c r="F89" s="3" t="s">
        <v>15</v>
      </c>
      <c r="G89" s="3" t="s">
        <v>41</v>
      </c>
      <c r="H89" s="3" t="s">
        <v>28</v>
      </c>
      <c r="I89" s="3"/>
      <c r="J89" s="3">
        <v>4950</v>
      </c>
      <c r="K89" s="3">
        <v>5500</v>
      </c>
      <c r="L89" s="3">
        <v>10</v>
      </c>
      <c r="M89">
        <f>Table1[[#This Row],[Qty]]*Table1[[#This Row],[Sales Price]]</f>
        <v>55000</v>
      </c>
      <c r="N89">
        <f>Table1[[#This Row],[Qty]]*Table1[[#This Row],[Cost]]</f>
        <v>49500</v>
      </c>
      <c r="O89">
        <f>Table1[[#This Row],[Revenue]]-Table1[[#This Row],[Total Cost]]</f>
        <v>5500</v>
      </c>
    </row>
    <row r="90" spans="1:15" x14ac:dyDescent="0.55000000000000004">
      <c r="A90" s="3">
        <v>89</v>
      </c>
      <c r="B90" s="4">
        <v>44754</v>
      </c>
      <c r="C90" s="4" t="str">
        <f>TEXT(Table1[[#This Row],[Date]],"YYYY")</f>
        <v>2022</v>
      </c>
      <c r="D90" s="4" t="str">
        <f>TEXT(Table1[[#This Row],[Date]],"MMM")</f>
        <v>Jul</v>
      </c>
      <c r="E90" s="5" t="s">
        <v>50</v>
      </c>
      <c r="F90" s="3" t="s">
        <v>18</v>
      </c>
      <c r="G90" s="3" t="s">
        <v>27</v>
      </c>
      <c r="H90" s="3" t="s">
        <v>28</v>
      </c>
      <c r="I90" s="3"/>
      <c r="J90" s="3">
        <v>3150</v>
      </c>
      <c r="K90" s="3">
        <v>3500</v>
      </c>
      <c r="L90" s="3">
        <v>9</v>
      </c>
      <c r="M90">
        <f>Table1[[#This Row],[Qty]]*Table1[[#This Row],[Sales Price]]</f>
        <v>31500</v>
      </c>
      <c r="N90">
        <f>Table1[[#This Row],[Qty]]*Table1[[#This Row],[Cost]]</f>
        <v>28350</v>
      </c>
      <c r="O90">
        <f>Table1[[#This Row],[Revenue]]-Table1[[#This Row],[Total Cost]]</f>
        <v>3150</v>
      </c>
    </row>
    <row r="91" spans="1:15" x14ac:dyDescent="0.55000000000000004">
      <c r="A91" s="3">
        <v>90</v>
      </c>
      <c r="B91" s="4">
        <v>44755</v>
      </c>
      <c r="C91" s="4" t="str">
        <f>TEXT(Table1[[#This Row],[Date]],"YYYY")</f>
        <v>2022</v>
      </c>
      <c r="D91" s="4" t="str">
        <f>TEXT(Table1[[#This Row],[Date]],"MMM")</f>
        <v>Jul</v>
      </c>
      <c r="E91" s="5" t="s">
        <v>22</v>
      </c>
      <c r="F91" s="3" t="s">
        <v>15</v>
      </c>
      <c r="G91" s="3" t="s">
        <v>32</v>
      </c>
      <c r="H91" s="3" t="s">
        <v>28</v>
      </c>
      <c r="I91" s="3">
        <v>1</v>
      </c>
      <c r="J91" s="3">
        <v>2700</v>
      </c>
      <c r="K91" s="3">
        <v>3000</v>
      </c>
      <c r="L91" s="3">
        <v>27</v>
      </c>
      <c r="M91">
        <f>Table1[[#This Row],[Qty]]*Table1[[#This Row],[Sales Price]]</f>
        <v>81000</v>
      </c>
      <c r="N91">
        <f>Table1[[#This Row],[Qty]]*Table1[[#This Row],[Cost]]</f>
        <v>72900</v>
      </c>
      <c r="O91">
        <f>Table1[[#This Row],[Revenue]]-Table1[[#This Row],[Total Cost]]</f>
        <v>8100</v>
      </c>
    </row>
    <row r="92" spans="1:15" x14ac:dyDescent="0.55000000000000004">
      <c r="A92" s="3">
        <v>91</v>
      </c>
      <c r="B92" s="4">
        <v>44756</v>
      </c>
      <c r="C92" s="4" t="str">
        <f>TEXT(Table1[[#This Row],[Date]],"YYYY")</f>
        <v>2022</v>
      </c>
      <c r="D92" s="4" t="str">
        <f>TEXT(Table1[[#This Row],[Date]],"MMM")</f>
        <v>Jul</v>
      </c>
      <c r="E92" s="5" t="s">
        <v>59</v>
      </c>
      <c r="F92" s="3" t="s">
        <v>18</v>
      </c>
      <c r="G92" s="3" t="s">
        <v>42</v>
      </c>
      <c r="H92" s="3" t="s">
        <v>43</v>
      </c>
      <c r="I92" s="3">
        <v>1</v>
      </c>
      <c r="J92" s="3">
        <v>4050</v>
      </c>
      <c r="K92" s="3">
        <v>4500</v>
      </c>
      <c r="L92" s="3">
        <v>15</v>
      </c>
      <c r="M92">
        <f>Table1[[#This Row],[Qty]]*Table1[[#This Row],[Sales Price]]</f>
        <v>67500</v>
      </c>
      <c r="N92">
        <f>Table1[[#This Row],[Qty]]*Table1[[#This Row],[Cost]]</f>
        <v>60750</v>
      </c>
      <c r="O92">
        <f>Table1[[#This Row],[Revenue]]-Table1[[#This Row],[Total Cost]]</f>
        <v>6750</v>
      </c>
    </row>
    <row r="93" spans="1:15" x14ac:dyDescent="0.55000000000000004">
      <c r="A93" s="3">
        <v>92</v>
      </c>
      <c r="B93" s="4">
        <v>44757</v>
      </c>
      <c r="C93" s="4" t="str">
        <f>TEXT(Table1[[#This Row],[Date]],"YYYY")</f>
        <v>2022</v>
      </c>
      <c r="D93" s="4" t="str">
        <f>TEXT(Table1[[#This Row],[Date]],"MMM")</f>
        <v>Jul</v>
      </c>
      <c r="E93" s="5" t="s">
        <v>39</v>
      </c>
      <c r="F93" s="3" t="s">
        <v>15</v>
      </c>
      <c r="G93" s="3" t="s">
        <v>44</v>
      </c>
      <c r="H93" s="3" t="s">
        <v>43</v>
      </c>
      <c r="I93" s="3">
        <v>1</v>
      </c>
      <c r="J93" s="3">
        <v>8280</v>
      </c>
      <c r="K93" s="3">
        <v>9200</v>
      </c>
      <c r="L93" s="3">
        <v>3</v>
      </c>
      <c r="M93">
        <f>Table1[[#This Row],[Qty]]*Table1[[#This Row],[Sales Price]]</f>
        <v>27600</v>
      </c>
      <c r="N93">
        <f>Table1[[#This Row],[Qty]]*Table1[[#This Row],[Cost]]</f>
        <v>24840</v>
      </c>
      <c r="O93">
        <f>Table1[[#This Row],[Revenue]]-Table1[[#This Row],[Total Cost]]</f>
        <v>2760</v>
      </c>
    </row>
    <row r="94" spans="1:15" x14ac:dyDescent="0.55000000000000004">
      <c r="A94" s="3">
        <v>93</v>
      </c>
      <c r="B94" s="4">
        <v>44758</v>
      </c>
      <c r="C94" s="4" t="str">
        <f>TEXT(Table1[[#This Row],[Date]],"YYYY")</f>
        <v>2022</v>
      </c>
      <c r="D94" s="4" t="str">
        <f>TEXT(Table1[[#This Row],[Date]],"MMM")</f>
        <v>Jul</v>
      </c>
      <c r="E94" s="5" t="s">
        <v>24</v>
      </c>
      <c r="F94" s="3" t="s">
        <v>18</v>
      </c>
      <c r="G94" s="3" t="s">
        <v>45</v>
      </c>
      <c r="H94" s="3" t="s">
        <v>43</v>
      </c>
      <c r="I94" s="3">
        <v>1</v>
      </c>
      <c r="J94" s="3">
        <v>4950</v>
      </c>
      <c r="K94" s="3">
        <v>5500</v>
      </c>
      <c r="L94" s="3">
        <v>9</v>
      </c>
      <c r="M94">
        <f>Table1[[#This Row],[Qty]]*Table1[[#This Row],[Sales Price]]</f>
        <v>49500</v>
      </c>
      <c r="N94">
        <f>Table1[[#This Row],[Qty]]*Table1[[#This Row],[Cost]]</f>
        <v>44550</v>
      </c>
      <c r="O94">
        <f>Table1[[#This Row],[Revenue]]-Table1[[#This Row],[Total Cost]]</f>
        <v>4950</v>
      </c>
    </row>
    <row r="95" spans="1:15" x14ac:dyDescent="0.55000000000000004">
      <c r="A95" s="3">
        <v>94</v>
      </c>
      <c r="B95" s="4">
        <v>44759</v>
      </c>
      <c r="C95" s="4" t="str">
        <f>TEXT(Table1[[#This Row],[Date]],"YYYY")</f>
        <v>2022</v>
      </c>
      <c r="D95" s="4" t="str">
        <f>TEXT(Table1[[#This Row],[Date]],"MMM")</f>
        <v>Jul</v>
      </c>
      <c r="E95" s="5" t="s">
        <v>24</v>
      </c>
      <c r="F95" s="3" t="s">
        <v>15</v>
      </c>
      <c r="G95" s="3" t="s">
        <v>47</v>
      </c>
      <c r="H95" s="3" t="s">
        <v>43</v>
      </c>
      <c r="I95" s="3">
        <v>1</v>
      </c>
      <c r="J95" s="3">
        <v>3150</v>
      </c>
      <c r="K95" s="3">
        <v>3500</v>
      </c>
      <c r="L95" s="3">
        <v>22</v>
      </c>
      <c r="M95">
        <f>Table1[[#This Row],[Qty]]*Table1[[#This Row],[Sales Price]]</f>
        <v>77000</v>
      </c>
      <c r="N95">
        <f>Table1[[#This Row],[Qty]]*Table1[[#This Row],[Cost]]</f>
        <v>69300</v>
      </c>
      <c r="O95">
        <f>Table1[[#This Row],[Revenue]]-Table1[[#This Row],[Total Cost]]</f>
        <v>7700</v>
      </c>
    </row>
    <row r="96" spans="1:15" x14ac:dyDescent="0.55000000000000004">
      <c r="A96" s="3">
        <v>95</v>
      </c>
      <c r="B96" s="4">
        <v>44760</v>
      </c>
      <c r="C96" s="4" t="str">
        <f>TEXT(Table1[[#This Row],[Date]],"YYYY")</f>
        <v>2022</v>
      </c>
      <c r="D96" s="4" t="str">
        <f>TEXT(Table1[[#This Row],[Date]],"MMM")</f>
        <v>Jul</v>
      </c>
      <c r="E96" s="5" t="s">
        <v>31</v>
      </c>
      <c r="F96" s="3" t="s">
        <v>18</v>
      </c>
      <c r="G96" s="3" t="s">
        <v>48</v>
      </c>
      <c r="H96" s="3" t="s">
        <v>43</v>
      </c>
      <c r="I96" s="3">
        <v>1</v>
      </c>
      <c r="J96" s="3">
        <v>2700</v>
      </c>
      <c r="K96" s="3">
        <v>3000</v>
      </c>
      <c r="L96" s="3">
        <v>16</v>
      </c>
      <c r="M96">
        <f>Table1[[#This Row],[Qty]]*Table1[[#This Row],[Sales Price]]</f>
        <v>48000</v>
      </c>
      <c r="N96">
        <f>Table1[[#This Row],[Qty]]*Table1[[#This Row],[Cost]]</f>
        <v>43200</v>
      </c>
      <c r="O96">
        <f>Table1[[#This Row],[Revenue]]-Table1[[#This Row],[Total Cost]]</f>
        <v>4800</v>
      </c>
    </row>
    <row r="97" spans="1:15" x14ac:dyDescent="0.55000000000000004">
      <c r="A97" s="3">
        <v>96</v>
      </c>
      <c r="B97" s="4">
        <v>44761</v>
      </c>
      <c r="C97" s="4" t="str">
        <f>TEXT(Table1[[#This Row],[Date]],"YYYY")</f>
        <v>2022</v>
      </c>
      <c r="D97" s="4" t="str">
        <f>TEXT(Table1[[#This Row],[Date]],"MMM")</f>
        <v>Jul</v>
      </c>
      <c r="E97" s="5" t="s">
        <v>39</v>
      </c>
      <c r="F97" s="3" t="s">
        <v>15</v>
      </c>
      <c r="G97" s="3" t="s">
        <v>42</v>
      </c>
      <c r="H97" s="3" t="s">
        <v>43</v>
      </c>
      <c r="I97" s="3">
        <v>1</v>
      </c>
      <c r="J97" s="3">
        <v>4050</v>
      </c>
      <c r="K97" s="3">
        <v>4500</v>
      </c>
      <c r="L97" s="3">
        <v>6</v>
      </c>
      <c r="M97">
        <f>Table1[[#This Row],[Qty]]*Table1[[#This Row],[Sales Price]]</f>
        <v>27000</v>
      </c>
      <c r="N97">
        <f>Table1[[#This Row],[Qty]]*Table1[[#This Row],[Cost]]</f>
        <v>24300</v>
      </c>
      <c r="O97">
        <f>Table1[[#This Row],[Revenue]]-Table1[[#This Row],[Total Cost]]</f>
        <v>2700</v>
      </c>
    </row>
    <row r="98" spans="1:15" x14ac:dyDescent="0.55000000000000004">
      <c r="A98" s="3">
        <v>97</v>
      </c>
      <c r="B98" s="4">
        <v>44762</v>
      </c>
      <c r="C98" s="4" t="str">
        <f>TEXT(Table1[[#This Row],[Date]],"YYYY")</f>
        <v>2022</v>
      </c>
      <c r="D98" s="4" t="str">
        <f>TEXT(Table1[[#This Row],[Date]],"MMM")</f>
        <v>Jul</v>
      </c>
      <c r="E98" s="5" t="s">
        <v>50</v>
      </c>
      <c r="F98" s="3" t="s">
        <v>18</v>
      </c>
      <c r="G98" s="3" t="s">
        <v>44</v>
      </c>
      <c r="H98" s="3" t="s">
        <v>43</v>
      </c>
      <c r="I98" s="3"/>
      <c r="J98" s="3">
        <v>8280</v>
      </c>
      <c r="K98" s="3">
        <v>9200</v>
      </c>
      <c r="L98" s="3">
        <v>3</v>
      </c>
      <c r="M98">
        <f>Table1[[#This Row],[Qty]]*Table1[[#This Row],[Sales Price]]</f>
        <v>27600</v>
      </c>
      <c r="N98">
        <f>Table1[[#This Row],[Qty]]*Table1[[#This Row],[Cost]]</f>
        <v>24840</v>
      </c>
      <c r="O98">
        <f>Table1[[#This Row],[Revenue]]-Table1[[#This Row],[Total Cost]]</f>
        <v>2760</v>
      </c>
    </row>
    <row r="99" spans="1:15" x14ac:dyDescent="0.55000000000000004">
      <c r="A99" s="3">
        <v>98</v>
      </c>
      <c r="B99" s="4">
        <v>44763</v>
      </c>
      <c r="C99" s="4" t="str">
        <f>TEXT(Table1[[#This Row],[Date]],"YYYY")</f>
        <v>2022</v>
      </c>
      <c r="D99" s="4" t="str">
        <f>TEXT(Table1[[#This Row],[Date]],"MMM")</f>
        <v>Jul</v>
      </c>
      <c r="E99" s="5" t="s">
        <v>50</v>
      </c>
      <c r="F99" s="3" t="s">
        <v>15</v>
      </c>
      <c r="G99" s="3" t="s">
        <v>45</v>
      </c>
      <c r="H99" s="3" t="s">
        <v>43</v>
      </c>
      <c r="I99" s="3"/>
      <c r="J99" s="3">
        <v>4950</v>
      </c>
      <c r="K99" s="3">
        <v>5500</v>
      </c>
      <c r="L99" s="3">
        <v>5</v>
      </c>
      <c r="M99">
        <f>Table1[[#This Row],[Qty]]*Table1[[#This Row],[Sales Price]]</f>
        <v>27500</v>
      </c>
      <c r="N99">
        <f>Table1[[#This Row],[Qty]]*Table1[[#This Row],[Cost]]</f>
        <v>24750</v>
      </c>
      <c r="O99">
        <f>Table1[[#This Row],[Revenue]]-Table1[[#This Row],[Total Cost]]</f>
        <v>2750</v>
      </c>
    </row>
    <row r="100" spans="1:15" x14ac:dyDescent="0.55000000000000004">
      <c r="A100" s="3">
        <v>99</v>
      </c>
      <c r="B100" s="4">
        <v>44764</v>
      </c>
      <c r="C100" s="4" t="str">
        <f>TEXT(Table1[[#This Row],[Date]],"YYYY")</f>
        <v>2022</v>
      </c>
      <c r="D100" s="4" t="str">
        <f>TEXT(Table1[[#This Row],[Date]],"MMM")</f>
        <v>Jul</v>
      </c>
      <c r="E100" s="5" t="s">
        <v>40</v>
      </c>
      <c r="F100" s="3" t="s">
        <v>18</v>
      </c>
      <c r="G100" s="3" t="s">
        <v>47</v>
      </c>
      <c r="H100" s="3" t="s">
        <v>43</v>
      </c>
      <c r="I100" s="3">
        <v>1</v>
      </c>
      <c r="J100" s="3">
        <v>3150</v>
      </c>
      <c r="K100" s="3">
        <v>3500</v>
      </c>
      <c r="L100" s="3">
        <v>1</v>
      </c>
      <c r="M100">
        <f>Table1[[#This Row],[Qty]]*Table1[[#This Row],[Sales Price]]</f>
        <v>3500</v>
      </c>
      <c r="N100">
        <f>Table1[[#This Row],[Qty]]*Table1[[#This Row],[Cost]]</f>
        <v>3150</v>
      </c>
      <c r="O100">
        <f>Table1[[#This Row],[Revenue]]-Table1[[#This Row],[Total Cost]]</f>
        <v>350</v>
      </c>
    </row>
    <row r="101" spans="1:15" x14ac:dyDescent="0.55000000000000004">
      <c r="A101" s="3">
        <v>100</v>
      </c>
      <c r="B101" s="4">
        <v>44765</v>
      </c>
      <c r="C101" s="4" t="str">
        <f>TEXT(Table1[[#This Row],[Date]],"YYYY")</f>
        <v>2022</v>
      </c>
      <c r="D101" s="4" t="str">
        <f>TEXT(Table1[[#This Row],[Date]],"MMM")</f>
        <v>Jul</v>
      </c>
      <c r="E101" s="5" t="s">
        <v>46</v>
      </c>
      <c r="F101" s="3" t="s">
        <v>15</v>
      </c>
      <c r="G101" s="3" t="s">
        <v>48</v>
      </c>
      <c r="H101" s="3" t="s">
        <v>43</v>
      </c>
      <c r="I101" s="3">
        <v>1</v>
      </c>
      <c r="J101" s="3">
        <v>2700</v>
      </c>
      <c r="K101" s="3">
        <v>3000</v>
      </c>
      <c r="L101" s="3">
        <v>5</v>
      </c>
      <c r="M101">
        <f>Table1[[#This Row],[Qty]]*Table1[[#This Row],[Sales Price]]</f>
        <v>15000</v>
      </c>
      <c r="N101">
        <f>Table1[[#This Row],[Qty]]*Table1[[#This Row],[Cost]]</f>
        <v>13500</v>
      </c>
      <c r="O101">
        <f>Table1[[#This Row],[Revenue]]-Table1[[#This Row],[Total Cost]]</f>
        <v>1500</v>
      </c>
    </row>
    <row r="102" spans="1:15" x14ac:dyDescent="0.55000000000000004">
      <c r="A102" s="3">
        <v>101</v>
      </c>
      <c r="B102" s="4">
        <v>44766</v>
      </c>
      <c r="C102" s="4" t="str">
        <f>TEXT(Table1[[#This Row],[Date]],"YYYY")</f>
        <v>2022</v>
      </c>
      <c r="D102" s="4" t="str">
        <f>TEXT(Table1[[#This Row],[Date]],"MMM")</f>
        <v>Jul</v>
      </c>
      <c r="E102" s="5" t="s">
        <v>56</v>
      </c>
      <c r="F102" s="3" t="s">
        <v>18</v>
      </c>
      <c r="G102" s="3" t="s">
        <v>48</v>
      </c>
      <c r="H102" s="3" t="s">
        <v>43</v>
      </c>
      <c r="I102" s="3">
        <v>1</v>
      </c>
      <c r="J102" s="3">
        <v>4050</v>
      </c>
      <c r="K102" s="3">
        <v>4500</v>
      </c>
      <c r="L102" s="3">
        <v>7</v>
      </c>
      <c r="M102">
        <f>Table1[[#This Row],[Qty]]*Table1[[#This Row],[Sales Price]]</f>
        <v>31500</v>
      </c>
      <c r="N102">
        <f>Table1[[#This Row],[Qty]]*Table1[[#This Row],[Cost]]</f>
        <v>28350</v>
      </c>
      <c r="O102">
        <f>Table1[[#This Row],[Revenue]]-Table1[[#This Row],[Total Cost]]</f>
        <v>3150</v>
      </c>
    </row>
    <row r="103" spans="1:15" x14ac:dyDescent="0.55000000000000004">
      <c r="A103" s="3">
        <v>102</v>
      </c>
      <c r="B103" s="4">
        <v>44767</v>
      </c>
      <c r="C103" s="4" t="str">
        <f>TEXT(Table1[[#This Row],[Date]],"YYYY")</f>
        <v>2022</v>
      </c>
      <c r="D103" s="4" t="str">
        <f>TEXT(Table1[[#This Row],[Date]],"MMM")</f>
        <v>Jul</v>
      </c>
      <c r="E103" s="5" t="s">
        <v>24</v>
      </c>
      <c r="F103" s="3" t="s">
        <v>15</v>
      </c>
      <c r="G103" s="3" t="s">
        <v>42</v>
      </c>
      <c r="H103" s="3" t="s">
        <v>43</v>
      </c>
      <c r="I103" s="3">
        <v>1</v>
      </c>
      <c r="J103" s="3">
        <v>8280</v>
      </c>
      <c r="K103" s="3">
        <v>9200</v>
      </c>
      <c r="L103" s="3">
        <v>4</v>
      </c>
      <c r="M103">
        <f>Table1[[#This Row],[Qty]]*Table1[[#This Row],[Sales Price]]</f>
        <v>36800</v>
      </c>
      <c r="N103">
        <f>Table1[[#This Row],[Qty]]*Table1[[#This Row],[Cost]]</f>
        <v>33120</v>
      </c>
      <c r="O103">
        <f>Table1[[#This Row],[Revenue]]-Table1[[#This Row],[Total Cost]]</f>
        <v>3680</v>
      </c>
    </row>
    <row r="104" spans="1:15" x14ac:dyDescent="0.55000000000000004">
      <c r="A104" s="3">
        <v>103</v>
      </c>
      <c r="B104" s="4">
        <v>44768</v>
      </c>
      <c r="C104" s="4" t="str">
        <f>TEXT(Table1[[#This Row],[Date]],"YYYY")</f>
        <v>2022</v>
      </c>
      <c r="D104" s="4" t="str">
        <f>TEXT(Table1[[#This Row],[Date]],"MMM")</f>
        <v>Jul</v>
      </c>
      <c r="E104" s="5" t="s">
        <v>14</v>
      </c>
      <c r="F104" s="3" t="s">
        <v>18</v>
      </c>
      <c r="G104" s="3" t="s">
        <v>45</v>
      </c>
      <c r="H104" s="3" t="s">
        <v>43</v>
      </c>
      <c r="I104" s="3">
        <v>1</v>
      </c>
      <c r="J104" s="3">
        <v>4950</v>
      </c>
      <c r="K104" s="3">
        <v>5500</v>
      </c>
      <c r="L104" s="3">
        <v>8</v>
      </c>
      <c r="M104">
        <f>Table1[[#This Row],[Qty]]*Table1[[#This Row],[Sales Price]]</f>
        <v>44000</v>
      </c>
      <c r="N104">
        <f>Table1[[#This Row],[Qty]]*Table1[[#This Row],[Cost]]</f>
        <v>39600</v>
      </c>
      <c r="O104">
        <f>Table1[[#This Row],[Revenue]]-Table1[[#This Row],[Total Cost]]</f>
        <v>4400</v>
      </c>
    </row>
    <row r="105" spans="1:15" x14ac:dyDescent="0.55000000000000004">
      <c r="A105" s="3">
        <v>104</v>
      </c>
      <c r="B105" s="4">
        <v>44769</v>
      </c>
      <c r="C105" s="4" t="str">
        <f>TEXT(Table1[[#This Row],[Date]],"YYYY")</f>
        <v>2022</v>
      </c>
      <c r="D105" s="4" t="str">
        <f>TEXT(Table1[[#This Row],[Date]],"MMM")</f>
        <v>Jul</v>
      </c>
      <c r="E105" s="5" t="s">
        <v>40</v>
      </c>
      <c r="F105" s="3" t="s">
        <v>15</v>
      </c>
      <c r="G105" s="3" t="s">
        <v>47</v>
      </c>
      <c r="H105" s="3" t="s">
        <v>43</v>
      </c>
      <c r="I105" s="3">
        <v>1</v>
      </c>
      <c r="J105" s="3">
        <v>3150</v>
      </c>
      <c r="K105" s="3">
        <v>3500</v>
      </c>
      <c r="L105" s="3">
        <v>8</v>
      </c>
      <c r="M105">
        <f>Table1[[#This Row],[Qty]]*Table1[[#This Row],[Sales Price]]</f>
        <v>28000</v>
      </c>
      <c r="N105">
        <f>Table1[[#This Row],[Qty]]*Table1[[#This Row],[Cost]]</f>
        <v>25200</v>
      </c>
      <c r="O105">
        <f>Table1[[#This Row],[Revenue]]-Table1[[#This Row],[Total Cost]]</f>
        <v>2800</v>
      </c>
    </row>
    <row r="106" spans="1:15" x14ac:dyDescent="0.55000000000000004">
      <c r="A106" s="3">
        <v>105</v>
      </c>
      <c r="B106" s="4">
        <v>44770</v>
      </c>
      <c r="C106" s="4" t="str">
        <f>TEXT(Table1[[#This Row],[Date]],"YYYY")</f>
        <v>2022</v>
      </c>
      <c r="D106" s="4" t="str">
        <f>TEXT(Table1[[#This Row],[Date]],"MMM")</f>
        <v>Jul</v>
      </c>
      <c r="E106" s="5" t="s">
        <v>50</v>
      </c>
      <c r="F106" s="3" t="s">
        <v>18</v>
      </c>
      <c r="G106" s="3" t="s">
        <v>48</v>
      </c>
      <c r="H106" s="3" t="s">
        <v>43</v>
      </c>
      <c r="I106" s="3"/>
      <c r="J106" s="3">
        <v>2700</v>
      </c>
      <c r="K106" s="3">
        <v>3000</v>
      </c>
      <c r="L106" s="3">
        <v>9</v>
      </c>
      <c r="M106">
        <f>Table1[[#This Row],[Qty]]*Table1[[#This Row],[Sales Price]]</f>
        <v>27000</v>
      </c>
      <c r="N106">
        <f>Table1[[#This Row],[Qty]]*Table1[[#This Row],[Cost]]</f>
        <v>24300</v>
      </c>
      <c r="O106">
        <f>Table1[[#This Row],[Revenue]]-Table1[[#This Row],[Total Cost]]</f>
        <v>2700</v>
      </c>
    </row>
    <row r="107" spans="1:15" x14ac:dyDescent="0.55000000000000004">
      <c r="A107" s="3">
        <v>106</v>
      </c>
      <c r="B107" s="4">
        <v>44771</v>
      </c>
      <c r="C107" s="4" t="str">
        <f>TEXT(Table1[[#This Row],[Date]],"YYYY")</f>
        <v>2022</v>
      </c>
      <c r="D107" s="4" t="str">
        <f>TEXT(Table1[[#This Row],[Date]],"MMM")</f>
        <v>Jul</v>
      </c>
      <c r="E107" s="5" t="s">
        <v>35</v>
      </c>
      <c r="F107" s="3" t="s">
        <v>15</v>
      </c>
      <c r="G107" s="3" t="s">
        <v>42</v>
      </c>
      <c r="H107" s="3" t="s">
        <v>43</v>
      </c>
      <c r="I107" s="3"/>
      <c r="J107" s="3">
        <v>4050</v>
      </c>
      <c r="K107" s="3">
        <v>4500</v>
      </c>
      <c r="L107" s="3">
        <v>2</v>
      </c>
      <c r="M107">
        <f>Table1[[#This Row],[Qty]]*Table1[[#This Row],[Sales Price]]</f>
        <v>9000</v>
      </c>
      <c r="N107">
        <f>Table1[[#This Row],[Qty]]*Table1[[#This Row],[Cost]]</f>
        <v>8100</v>
      </c>
      <c r="O107">
        <f>Table1[[#This Row],[Revenue]]-Table1[[#This Row],[Total Cost]]</f>
        <v>900</v>
      </c>
    </row>
    <row r="108" spans="1:15" x14ac:dyDescent="0.55000000000000004">
      <c r="A108" s="3">
        <v>107</v>
      </c>
      <c r="B108" s="4">
        <v>44772</v>
      </c>
      <c r="C108" s="4" t="str">
        <f>TEXT(Table1[[#This Row],[Date]],"YYYY")</f>
        <v>2022</v>
      </c>
      <c r="D108" s="4" t="str">
        <f>TEXT(Table1[[#This Row],[Date]],"MMM")</f>
        <v>Jul</v>
      </c>
      <c r="E108" s="5" t="s">
        <v>58</v>
      </c>
      <c r="F108" s="3" t="s">
        <v>18</v>
      </c>
      <c r="G108" s="3" t="s">
        <v>44</v>
      </c>
      <c r="H108" s="3" t="s">
        <v>43</v>
      </c>
      <c r="I108" s="3">
        <v>1</v>
      </c>
      <c r="J108" s="3">
        <v>24750</v>
      </c>
      <c r="K108" s="3">
        <v>27500</v>
      </c>
      <c r="L108" s="3">
        <v>1</v>
      </c>
      <c r="M108">
        <f>Table1[[#This Row],[Qty]]*Table1[[#This Row],[Sales Price]]</f>
        <v>27500</v>
      </c>
      <c r="N108">
        <f>Table1[[#This Row],[Qty]]*Table1[[#This Row],[Cost]]</f>
        <v>24750</v>
      </c>
      <c r="O108">
        <f>Table1[[#This Row],[Revenue]]-Table1[[#This Row],[Total Cost]]</f>
        <v>2750</v>
      </c>
    </row>
    <row r="109" spans="1:15" x14ac:dyDescent="0.55000000000000004">
      <c r="A109" s="3">
        <v>108</v>
      </c>
      <c r="B109" s="4">
        <v>44773</v>
      </c>
      <c r="C109" s="4" t="str">
        <f>TEXT(Table1[[#This Row],[Date]],"YYYY")</f>
        <v>2022</v>
      </c>
      <c r="D109" s="4" t="str">
        <f>TEXT(Table1[[#This Row],[Date]],"MMM")</f>
        <v>Jul</v>
      </c>
      <c r="E109" s="5" t="s">
        <v>39</v>
      </c>
      <c r="F109" s="3" t="s">
        <v>15</v>
      </c>
      <c r="G109" s="3" t="s">
        <v>45</v>
      </c>
      <c r="H109" s="3" t="s">
        <v>43</v>
      </c>
      <c r="I109" s="3">
        <v>0</v>
      </c>
      <c r="J109" s="3">
        <v>44550</v>
      </c>
      <c r="K109" s="3">
        <v>49500</v>
      </c>
      <c r="L109" s="3">
        <v>22</v>
      </c>
      <c r="M109">
        <f>Table1[[#This Row],[Qty]]*Table1[[#This Row],[Sales Price]]</f>
        <v>1089000</v>
      </c>
      <c r="N109">
        <f>Table1[[#This Row],[Qty]]*Table1[[#This Row],[Cost]]</f>
        <v>980100</v>
      </c>
      <c r="O109">
        <f>Table1[[#This Row],[Revenue]]-Table1[[#This Row],[Total Cost]]</f>
        <v>108900</v>
      </c>
    </row>
    <row r="110" spans="1:15" x14ac:dyDescent="0.55000000000000004">
      <c r="A110" s="3">
        <v>109</v>
      </c>
      <c r="B110" s="4">
        <v>44774</v>
      </c>
      <c r="C110" s="4" t="str">
        <f>TEXT(Table1[[#This Row],[Date]],"YYYY")</f>
        <v>2022</v>
      </c>
      <c r="D110" s="4" t="str">
        <f>TEXT(Table1[[#This Row],[Date]],"MMM")</f>
        <v>Aug</v>
      </c>
      <c r="E110" s="5" t="s">
        <v>20</v>
      </c>
      <c r="F110" s="3" t="s">
        <v>18</v>
      </c>
      <c r="G110" s="3" t="s">
        <v>47</v>
      </c>
      <c r="H110" s="3" t="s">
        <v>43</v>
      </c>
      <c r="I110" s="3">
        <v>1</v>
      </c>
      <c r="J110" s="3">
        <v>9000</v>
      </c>
      <c r="K110" s="3">
        <v>10000</v>
      </c>
      <c r="L110" s="3">
        <v>8</v>
      </c>
      <c r="M110">
        <f>Table1[[#This Row],[Qty]]*Table1[[#This Row],[Sales Price]]</f>
        <v>80000</v>
      </c>
      <c r="N110">
        <f>Table1[[#This Row],[Qty]]*Table1[[#This Row],[Cost]]</f>
        <v>72000</v>
      </c>
      <c r="O110">
        <f>Table1[[#This Row],[Revenue]]-Table1[[#This Row],[Total Cost]]</f>
        <v>8000</v>
      </c>
    </row>
    <row r="111" spans="1:15" x14ac:dyDescent="0.55000000000000004">
      <c r="A111" s="3">
        <v>110</v>
      </c>
      <c r="B111" s="4">
        <v>44775</v>
      </c>
      <c r="C111" s="4" t="str">
        <f>TEXT(Table1[[#This Row],[Date]],"YYYY")</f>
        <v>2022</v>
      </c>
      <c r="D111" s="4" t="str">
        <f>TEXT(Table1[[#This Row],[Date]],"MMM")</f>
        <v>Aug</v>
      </c>
      <c r="E111" s="5" t="s">
        <v>40</v>
      </c>
      <c r="F111" s="3" t="s">
        <v>15</v>
      </c>
      <c r="G111" s="3" t="s">
        <v>48</v>
      </c>
      <c r="H111" s="3" t="s">
        <v>43</v>
      </c>
      <c r="I111" s="3">
        <v>1</v>
      </c>
      <c r="J111" s="3">
        <v>8640</v>
      </c>
      <c r="K111" s="3">
        <v>9600</v>
      </c>
      <c r="L111" s="3">
        <v>7</v>
      </c>
      <c r="M111">
        <f>Table1[[#This Row],[Qty]]*Table1[[#This Row],[Sales Price]]</f>
        <v>67200</v>
      </c>
      <c r="N111">
        <f>Table1[[#This Row],[Qty]]*Table1[[#This Row],[Cost]]</f>
        <v>60480</v>
      </c>
      <c r="O111">
        <f>Table1[[#This Row],[Revenue]]-Table1[[#This Row],[Total Cost]]</f>
        <v>6720</v>
      </c>
    </row>
    <row r="112" spans="1:15" x14ac:dyDescent="0.55000000000000004">
      <c r="A112" s="3">
        <v>111</v>
      </c>
      <c r="B112" s="4">
        <v>44776</v>
      </c>
      <c r="C112" s="4" t="str">
        <f>TEXT(Table1[[#This Row],[Date]],"YYYY")</f>
        <v>2022</v>
      </c>
      <c r="D112" s="4" t="str">
        <f>TEXT(Table1[[#This Row],[Date]],"MMM")</f>
        <v>Aug</v>
      </c>
      <c r="E112" s="5" t="s">
        <v>58</v>
      </c>
      <c r="F112" s="3" t="s">
        <v>18</v>
      </c>
      <c r="G112" s="3" t="s">
        <v>48</v>
      </c>
      <c r="H112" s="3" t="s">
        <v>43</v>
      </c>
      <c r="I112" s="3">
        <v>1</v>
      </c>
      <c r="J112" s="3">
        <v>9000</v>
      </c>
      <c r="K112" s="3">
        <v>10000</v>
      </c>
      <c r="L112" s="3">
        <v>56</v>
      </c>
      <c r="M112">
        <f>Table1[[#This Row],[Qty]]*Table1[[#This Row],[Sales Price]]</f>
        <v>560000</v>
      </c>
      <c r="N112">
        <f>Table1[[#This Row],[Qty]]*Table1[[#This Row],[Cost]]</f>
        <v>504000</v>
      </c>
      <c r="O112">
        <f>Table1[[#This Row],[Revenue]]-Table1[[#This Row],[Total Cost]]</f>
        <v>56000</v>
      </c>
    </row>
    <row r="113" spans="1:15" x14ac:dyDescent="0.55000000000000004">
      <c r="A113" s="3">
        <v>112</v>
      </c>
      <c r="B113" s="4">
        <v>44777</v>
      </c>
      <c r="C113" s="4" t="str">
        <f>TEXT(Table1[[#This Row],[Date]],"YYYY")</f>
        <v>2022</v>
      </c>
      <c r="D113" s="4" t="str">
        <f>TEXT(Table1[[#This Row],[Date]],"MMM")</f>
        <v>Aug</v>
      </c>
      <c r="E113" s="5" t="s">
        <v>56</v>
      </c>
      <c r="F113" s="3" t="s">
        <v>15</v>
      </c>
      <c r="G113" s="3" t="s">
        <v>42</v>
      </c>
      <c r="H113" s="3" t="s">
        <v>43</v>
      </c>
      <c r="I113" s="3">
        <v>1</v>
      </c>
      <c r="J113" s="3">
        <v>3870</v>
      </c>
      <c r="K113" s="3">
        <v>4300</v>
      </c>
      <c r="L113" s="3">
        <v>10</v>
      </c>
      <c r="M113">
        <f>Table1[[#This Row],[Qty]]*Table1[[#This Row],[Sales Price]]</f>
        <v>43000</v>
      </c>
      <c r="N113">
        <f>Table1[[#This Row],[Qty]]*Table1[[#This Row],[Cost]]</f>
        <v>38700</v>
      </c>
      <c r="O113">
        <f>Table1[[#This Row],[Revenue]]-Table1[[#This Row],[Total Cost]]</f>
        <v>4300</v>
      </c>
    </row>
    <row r="114" spans="1:15" x14ac:dyDescent="0.55000000000000004">
      <c r="A114" s="3">
        <v>113</v>
      </c>
      <c r="B114" s="4">
        <v>44778</v>
      </c>
      <c r="C114" s="4" t="str">
        <f>TEXT(Table1[[#This Row],[Date]],"YYYY")</f>
        <v>2022</v>
      </c>
      <c r="D114" s="4" t="str">
        <f>TEXT(Table1[[#This Row],[Date]],"MMM")</f>
        <v>Aug</v>
      </c>
      <c r="E114" s="5" t="s">
        <v>22</v>
      </c>
      <c r="F114" s="3" t="s">
        <v>18</v>
      </c>
      <c r="G114" s="3" t="s">
        <v>16</v>
      </c>
      <c r="H114" s="3" t="s">
        <v>17</v>
      </c>
      <c r="I114" s="3"/>
      <c r="J114" s="3">
        <v>45450</v>
      </c>
      <c r="K114" s="3">
        <v>50500</v>
      </c>
      <c r="L114" s="3">
        <v>9</v>
      </c>
      <c r="M114">
        <f>Table1[[#This Row],[Qty]]*Table1[[#This Row],[Sales Price]]</f>
        <v>454500</v>
      </c>
      <c r="N114">
        <f>Table1[[#This Row],[Qty]]*Table1[[#This Row],[Cost]]</f>
        <v>409050</v>
      </c>
      <c r="O114">
        <f>Table1[[#This Row],[Revenue]]-Table1[[#This Row],[Total Cost]]</f>
        <v>45450</v>
      </c>
    </row>
    <row r="115" spans="1:15" x14ac:dyDescent="0.55000000000000004">
      <c r="A115" s="3">
        <v>114</v>
      </c>
      <c r="B115" s="4">
        <v>44779</v>
      </c>
      <c r="C115" s="4" t="str">
        <f>TEXT(Table1[[#This Row],[Date]],"YYYY")</f>
        <v>2022</v>
      </c>
      <c r="D115" s="4" t="str">
        <f>TEXT(Table1[[#This Row],[Date]],"MMM")</f>
        <v>Aug</v>
      </c>
      <c r="E115" s="5" t="s">
        <v>22</v>
      </c>
      <c r="F115" s="3" t="s">
        <v>15</v>
      </c>
      <c r="G115" s="3" t="s">
        <v>41</v>
      </c>
      <c r="H115" s="3" t="s">
        <v>28</v>
      </c>
      <c r="I115" s="3"/>
      <c r="J115" s="3">
        <v>18225</v>
      </c>
      <c r="K115" s="3">
        <v>20250</v>
      </c>
      <c r="L115" s="3">
        <v>27</v>
      </c>
      <c r="M115">
        <f>Table1[[#This Row],[Qty]]*Table1[[#This Row],[Sales Price]]</f>
        <v>546750</v>
      </c>
      <c r="N115">
        <f>Table1[[#This Row],[Qty]]*Table1[[#This Row],[Cost]]</f>
        <v>492075</v>
      </c>
      <c r="O115">
        <f>Table1[[#This Row],[Revenue]]-Table1[[#This Row],[Total Cost]]</f>
        <v>54675</v>
      </c>
    </row>
    <row r="116" spans="1:15" x14ac:dyDescent="0.55000000000000004">
      <c r="A116" s="3">
        <v>115</v>
      </c>
      <c r="B116" s="4">
        <v>44780</v>
      </c>
      <c r="C116" s="4" t="str">
        <f>TEXT(Table1[[#This Row],[Date]],"YYYY")</f>
        <v>2022</v>
      </c>
      <c r="D116" s="4" t="str">
        <f>TEXT(Table1[[#This Row],[Date]],"MMM")</f>
        <v>Aug</v>
      </c>
      <c r="E116" s="5" t="s">
        <v>22</v>
      </c>
      <c r="F116" s="3" t="s">
        <v>18</v>
      </c>
      <c r="G116" s="3" t="s">
        <v>27</v>
      </c>
      <c r="H116" s="3" t="s">
        <v>28</v>
      </c>
      <c r="I116" s="3">
        <v>1</v>
      </c>
      <c r="J116" s="3">
        <v>1800</v>
      </c>
      <c r="K116" s="3">
        <v>2000</v>
      </c>
      <c r="L116" s="3">
        <v>15</v>
      </c>
      <c r="M116">
        <f>Table1[[#This Row],[Qty]]*Table1[[#This Row],[Sales Price]]</f>
        <v>30000</v>
      </c>
      <c r="N116">
        <f>Table1[[#This Row],[Qty]]*Table1[[#This Row],[Cost]]</f>
        <v>27000</v>
      </c>
      <c r="O116">
        <f>Table1[[#This Row],[Revenue]]-Table1[[#This Row],[Total Cost]]</f>
        <v>3000</v>
      </c>
    </row>
    <row r="117" spans="1:15" x14ac:dyDescent="0.55000000000000004">
      <c r="A117" s="3">
        <v>116</v>
      </c>
      <c r="B117" s="4">
        <v>44781</v>
      </c>
      <c r="C117" s="4" t="str">
        <f>TEXT(Table1[[#This Row],[Date]],"YYYY")</f>
        <v>2022</v>
      </c>
      <c r="D117" s="4" t="str">
        <f>TEXT(Table1[[#This Row],[Date]],"MMM")</f>
        <v>Aug</v>
      </c>
      <c r="E117" s="5" t="s">
        <v>40</v>
      </c>
      <c r="F117" s="3" t="s">
        <v>15</v>
      </c>
      <c r="G117" s="3" t="s">
        <v>32</v>
      </c>
      <c r="H117" s="3" t="s">
        <v>28</v>
      </c>
      <c r="I117" s="3">
        <v>1</v>
      </c>
      <c r="J117" s="3">
        <v>48600</v>
      </c>
      <c r="K117" s="3">
        <v>54000</v>
      </c>
      <c r="L117" s="3">
        <v>3</v>
      </c>
      <c r="M117">
        <f>Table1[[#This Row],[Qty]]*Table1[[#This Row],[Sales Price]]</f>
        <v>162000</v>
      </c>
      <c r="N117">
        <f>Table1[[#This Row],[Qty]]*Table1[[#This Row],[Cost]]</f>
        <v>145800</v>
      </c>
      <c r="O117">
        <f>Table1[[#This Row],[Revenue]]-Table1[[#This Row],[Total Cost]]</f>
        <v>16200</v>
      </c>
    </row>
    <row r="118" spans="1:15" x14ac:dyDescent="0.55000000000000004">
      <c r="A118" s="3">
        <v>117</v>
      </c>
      <c r="B118" s="4">
        <v>44782</v>
      </c>
      <c r="C118" s="4" t="str">
        <f>TEXT(Table1[[#This Row],[Date]],"YYYY")</f>
        <v>2022</v>
      </c>
      <c r="D118" s="4" t="str">
        <f>TEXT(Table1[[#This Row],[Date]],"MMM")</f>
        <v>Aug</v>
      </c>
      <c r="E118" s="5" t="s">
        <v>33</v>
      </c>
      <c r="F118" s="3" t="s">
        <v>18</v>
      </c>
      <c r="G118" s="3" t="s">
        <v>42</v>
      </c>
      <c r="H118" s="3" t="s">
        <v>43</v>
      </c>
      <c r="I118" s="3">
        <v>1</v>
      </c>
      <c r="J118" s="3">
        <v>72900</v>
      </c>
      <c r="K118" s="3">
        <v>81000</v>
      </c>
      <c r="L118" s="3">
        <v>9</v>
      </c>
      <c r="M118">
        <f>Table1[[#This Row],[Qty]]*Table1[[#This Row],[Sales Price]]</f>
        <v>729000</v>
      </c>
      <c r="N118">
        <f>Table1[[#This Row],[Qty]]*Table1[[#This Row],[Cost]]</f>
        <v>656100</v>
      </c>
      <c r="O118">
        <f>Table1[[#This Row],[Revenue]]-Table1[[#This Row],[Total Cost]]</f>
        <v>72900</v>
      </c>
    </row>
    <row r="119" spans="1:15" x14ac:dyDescent="0.55000000000000004">
      <c r="A119" s="3">
        <v>118</v>
      </c>
      <c r="B119" s="4">
        <v>44783</v>
      </c>
      <c r="C119" s="4" t="str">
        <f>TEXT(Table1[[#This Row],[Date]],"YYYY")</f>
        <v>2022</v>
      </c>
      <c r="D119" s="4" t="str">
        <f>TEXT(Table1[[#This Row],[Date]],"MMM")</f>
        <v>Aug</v>
      </c>
      <c r="E119" s="5" t="s">
        <v>60</v>
      </c>
      <c r="F119" s="3" t="s">
        <v>15</v>
      </c>
      <c r="G119" s="3" t="s">
        <v>44</v>
      </c>
      <c r="H119" s="3" t="s">
        <v>43</v>
      </c>
      <c r="I119" s="3">
        <v>1</v>
      </c>
      <c r="J119" s="3">
        <v>9450</v>
      </c>
      <c r="K119" s="3">
        <v>10500</v>
      </c>
      <c r="L119" s="3">
        <v>22</v>
      </c>
      <c r="M119">
        <f>Table1[[#This Row],[Qty]]*Table1[[#This Row],[Sales Price]]</f>
        <v>231000</v>
      </c>
      <c r="N119">
        <f>Table1[[#This Row],[Qty]]*Table1[[#This Row],[Cost]]</f>
        <v>207900</v>
      </c>
      <c r="O119">
        <f>Table1[[#This Row],[Revenue]]-Table1[[#This Row],[Total Cost]]</f>
        <v>23100</v>
      </c>
    </row>
    <row r="120" spans="1:15" x14ac:dyDescent="0.55000000000000004">
      <c r="A120" s="3">
        <v>119</v>
      </c>
      <c r="B120" s="4">
        <v>44784</v>
      </c>
      <c r="C120" s="4" t="str">
        <f>TEXT(Table1[[#This Row],[Date]],"YYYY")</f>
        <v>2022</v>
      </c>
      <c r="D120" s="4" t="str">
        <f>TEXT(Table1[[#This Row],[Date]],"MMM")</f>
        <v>Aug</v>
      </c>
      <c r="E120" s="5" t="s">
        <v>14</v>
      </c>
      <c r="F120" s="3" t="s">
        <v>18</v>
      </c>
      <c r="G120" s="3" t="s">
        <v>45</v>
      </c>
      <c r="H120" s="3" t="s">
        <v>43</v>
      </c>
      <c r="I120" s="3">
        <v>1</v>
      </c>
      <c r="J120" s="3">
        <v>36000</v>
      </c>
      <c r="K120" s="3">
        <v>40000</v>
      </c>
      <c r="L120" s="3">
        <v>16</v>
      </c>
      <c r="M120">
        <f>Table1[[#This Row],[Qty]]*Table1[[#This Row],[Sales Price]]</f>
        <v>640000</v>
      </c>
      <c r="N120">
        <f>Table1[[#This Row],[Qty]]*Table1[[#This Row],[Cost]]</f>
        <v>576000</v>
      </c>
      <c r="O120">
        <f>Table1[[#This Row],[Revenue]]-Table1[[#This Row],[Total Cost]]</f>
        <v>64000</v>
      </c>
    </row>
    <row r="121" spans="1:15" x14ac:dyDescent="0.55000000000000004">
      <c r="A121" s="3">
        <v>120</v>
      </c>
      <c r="B121" s="4">
        <v>44785</v>
      </c>
      <c r="C121" s="4" t="str">
        <f>TEXT(Table1[[#This Row],[Date]],"YYYY")</f>
        <v>2022</v>
      </c>
      <c r="D121" s="4" t="str">
        <f>TEXT(Table1[[#This Row],[Date]],"MMM")</f>
        <v>Aug</v>
      </c>
      <c r="E121" s="5" t="s">
        <v>22</v>
      </c>
      <c r="F121" s="3" t="s">
        <v>15</v>
      </c>
      <c r="G121" s="3" t="s">
        <v>47</v>
      </c>
      <c r="H121" s="3" t="s">
        <v>43</v>
      </c>
      <c r="I121" s="3">
        <v>1</v>
      </c>
      <c r="J121" s="3">
        <v>24300</v>
      </c>
      <c r="K121" s="3">
        <v>27000</v>
      </c>
      <c r="L121" s="3">
        <v>6</v>
      </c>
      <c r="M121">
        <f>Table1[[#This Row],[Qty]]*Table1[[#This Row],[Sales Price]]</f>
        <v>162000</v>
      </c>
      <c r="N121">
        <f>Table1[[#This Row],[Qty]]*Table1[[#This Row],[Cost]]</f>
        <v>145800</v>
      </c>
      <c r="O121">
        <f>Table1[[#This Row],[Revenue]]-Table1[[#This Row],[Total Cost]]</f>
        <v>16200</v>
      </c>
    </row>
    <row r="122" spans="1:15" x14ac:dyDescent="0.55000000000000004">
      <c r="A122" s="3">
        <v>121</v>
      </c>
      <c r="B122" s="4">
        <v>44786</v>
      </c>
      <c r="C122" s="4" t="str">
        <f>TEXT(Table1[[#This Row],[Date]],"YYYY")</f>
        <v>2022</v>
      </c>
      <c r="D122" s="4" t="str">
        <f>TEXT(Table1[[#This Row],[Date]],"MMM")</f>
        <v>Aug</v>
      </c>
      <c r="E122" s="5" t="s">
        <v>39</v>
      </c>
      <c r="F122" s="3" t="s">
        <v>18</v>
      </c>
      <c r="G122" s="3" t="s">
        <v>48</v>
      </c>
      <c r="H122" s="3" t="s">
        <v>43</v>
      </c>
      <c r="I122" s="3"/>
      <c r="J122" s="3">
        <v>9180</v>
      </c>
      <c r="K122" s="3">
        <v>10200</v>
      </c>
      <c r="L122" s="3">
        <v>3</v>
      </c>
      <c r="M122">
        <f>Table1[[#This Row],[Qty]]*Table1[[#This Row],[Sales Price]]</f>
        <v>30600</v>
      </c>
      <c r="N122">
        <f>Table1[[#This Row],[Qty]]*Table1[[#This Row],[Cost]]</f>
        <v>27540</v>
      </c>
      <c r="O122">
        <f>Table1[[#This Row],[Revenue]]-Table1[[#This Row],[Total Cost]]</f>
        <v>3060</v>
      </c>
    </row>
    <row r="123" spans="1:15" x14ac:dyDescent="0.55000000000000004">
      <c r="A123" s="3">
        <v>122</v>
      </c>
      <c r="B123" s="4">
        <v>44787</v>
      </c>
      <c r="C123" s="4" t="str">
        <f>TEXT(Table1[[#This Row],[Date]],"YYYY")</f>
        <v>2022</v>
      </c>
      <c r="D123" s="4" t="str">
        <f>TEXT(Table1[[#This Row],[Date]],"MMM")</f>
        <v>Aug</v>
      </c>
      <c r="E123" s="5" t="s">
        <v>54</v>
      </c>
      <c r="F123" s="3" t="s">
        <v>61</v>
      </c>
      <c r="G123" s="3" t="s">
        <v>42</v>
      </c>
      <c r="H123" s="3" t="s">
        <v>43</v>
      </c>
      <c r="I123" s="3"/>
      <c r="J123" s="3">
        <v>8640</v>
      </c>
      <c r="K123" s="3">
        <v>9600</v>
      </c>
      <c r="L123" s="3">
        <v>5</v>
      </c>
      <c r="M123">
        <f>Table1[[#This Row],[Qty]]*Table1[[#This Row],[Sales Price]]</f>
        <v>48000</v>
      </c>
      <c r="N123">
        <f>Table1[[#This Row],[Qty]]*Table1[[#This Row],[Cost]]</f>
        <v>43200</v>
      </c>
      <c r="O123">
        <f>Table1[[#This Row],[Revenue]]-Table1[[#This Row],[Total Cost]]</f>
        <v>4800</v>
      </c>
    </row>
    <row r="124" spans="1:15" x14ac:dyDescent="0.55000000000000004">
      <c r="A124" s="3">
        <v>123</v>
      </c>
      <c r="B124" s="4">
        <v>44788</v>
      </c>
      <c r="C124" s="4" t="str">
        <f>TEXT(Table1[[#This Row],[Date]],"YYYY")</f>
        <v>2022</v>
      </c>
      <c r="D124" s="4" t="str">
        <f>TEXT(Table1[[#This Row],[Date]],"MMM")</f>
        <v>Aug</v>
      </c>
      <c r="E124" s="5" t="s">
        <v>39</v>
      </c>
      <c r="F124" s="3" t="s">
        <v>18</v>
      </c>
      <c r="G124" s="3" t="s">
        <v>44</v>
      </c>
      <c r="H124" s="3" t="s">
        <v>43</v>
      </c>
      <c r="I124" s="3"/>
      <c r="J124" s="3">
        <v>8280</v>
      </c>
      <c r="K124" s="3">
        <v>9200</v>
      </c>
      <c r="L124" s="3">
        <v>1</v>
      </c>
      <c r="M124">
        <f>Table1[[#This Row],[Qty]]*Table1[[#This Row],[Sales Price]]</f>
        <v>9200</v>
      </c>
      <c r="N124">
        <f>Table1[[#This Row],[Qty]]*Table1[[#This Row],[Cost]]</f>
        <v>8280</v>
      </c>
      <c r="O124">
        <f>Table1[[#This Row],[Revenue]]-Table1[[#This Row],[Total Cost]]</f>
        <v>920</v>
      </c>
    </row>
    <row r="125" spans="1:15" x14ac:dyDescent="0.55000000000000004">
      <c r="A125" s="3">
        <v>124</v>
      </c>
      <c r="B125" s="4">
        <v>44789</v>
      </c>
      <c r="C125" s="4" t="str">
        <f>TEXT(Table1[[#This Row],[Date]],"YYYY")</f>
        <v>2022</v>
      </c>
      <c r="D125" s="4" t="str">
        <f>TEXT(Table1[[#This Row],[Date]],"MMM")</f>
        <v>Aug</v>
      </c>
      <c r="E125" s="5" t="s">
        <v>39</v>
      </c>
      <c r="F125" s="3" t="s">
        <v>61</v>
      </c>
      <c r="G125" s="3" t="s">
        <v>45</v>
      </c>
      <c r="H125" s="3" t="s">
        <v>43</v>
      </c>
      <c r="I125" s="3">
        <v>1</v>
      </c>
      <c r="J125" s="3">
        <v>4950</v>
      </c>
      <c r="K125" s="3">
        <v>5500</v>
      </c>
      <c r="L125" s="3">
        <v>5</v>
      </c>
      <c r="M125">
        <f>Table1[[#This Row],[Qty]]*Table1[[#This Row],[Sales Price]]</f>
        <v>27500</v>
      </c>
      <c r="N125">
        <f>Table1[[#This Row],[Qty]]*Table1[[#This Row],[Cost]]</f>
        <v>24750</v>
      </c>
      <c r="O125">
        <f>Table1[[#This Row],[Revenue]]-Table1[[#This Row],[Total Cost]]</f>
        <v>2750</v>
      </c>
    </row>
    <row r="126" spans="1:15" x14ac:dyDescent="0.55000000000000004">
      <c r="A126" s="3">
        <v>125</v>
      </c>
      <c r="B126" s="4">
        <v>44790</v>
      </c>
      <c r="C126" s="4" t="str">
        <f>TEXT(Table1[[#This Row],[Date]],"YYYY")</f>
        <v>2022</v>
      </c>
      <c r="D126" s="4" t="str">
        <f>TEXT(Table1[[#This Row],[Date]],"MMM")</f>
        <v>Aug</v>
      </c>
      <c r="E126" s="5" t="s">
        <v>22</v>
      </c>
      <c r="F126" s="3" t="s">
        <v>18</v>
      </c>
      <c r="G126" s="3" t="s">
        <v>47</v>
      </c>
      <c r="H126" s="3" t="s">
        <v>43</v>
      </c>
      <c r="I126" s="3">
        <v>1</v>
      </c>
      <c r="J126" s="3">
        <v>3150</v>
      </c>
      <c r="K126" s="3">
        <v>3500</v>
      </c>
      <c r="L126" s="3">
        <v>7</v>
      </c>
      <c r="M126">
        <f>Table1[[#This Row],[Qty]]*Table1[[#This Row],[Sales Price]]</f>
        <v>24500</v>
      </c>
      <c r="N126">
        <f>Table1[[#This Row],[Qty]]*Table1[[#This Row],[Cost]]</f>
        <v>22050</v>
      </c>
      <c r="O126">
        <f>Table1[[#This Row],[Revenue]]-Table1[[#This Row],[Total Cost]]</f>
        <v>2450</v>
      </c>
    </row>
    <row r="127" spans="1:15" x14ac:dyDescent="0.55000000000000004">
      <c r="A127" s="3">
        <v>126</v>
      </c>
      <c r="B127" s="4">
        <v>44791</v>
      </c>
      <c r="C127" s="4" t="str">
        <f>TEXT(Table1[[#This Row],[Date]],"YYYY")</f>
        <v>2022</v>
      </c>
      <c r="D127" s="4" t="str">
        <f>TEXT(Table1[[#This Row],[Date]],"MMM")</f>
        <v>Aug</v>
      </c>
      <c r="E127" s="5" t="s">
        <v>35</v>
      </c>
      <c r="F127" s="3" t="s">
        <v>61</v>
      </c>
      <c r="G127" s="3" t="s">
        <v>48</v>
      </c>
      <c r="H127" s="3" t="s">
        <v>43</v>
      </c>
      <c r="I127" s="3">
        <v>1</v>
      </c>
      <c r="J127" s="3">
        <v>2700</v>
      </c>
      <c r="K127" s="3">
        <v>3000</v>
      </c>
      <c r="L127" s="3">
        <v>4</v>
      </c>
      <c r="M127">
        <f>Table1[[#This Row],[Qty]]*Table1[[#This Row],[Sales Price]]</f>
        <v>12000</v>
      </c>
      <c r="N127">
        <f>Table1[[#This Row],[Qty]]*Table1[[#This Row],[Cost]]</f>
        <v>10800</v>
      </c>
      <c r="O127">
        <f>Table1[[#This Row],[Revenue]]-Table1[[#This Row],[Total Cost]]</f>
        <v>1200</v>
      </c>
    </row>
    <row r="128" spans="1:15" x14ac:dyDescent="0.55000000000000004">
      <c r="A128" s="3">
        <v>127</v>
      </c>
      <c r="B128" s="4">
        <v>44792</v>
      </c>
      <c r="C128" s="4" t="str">
        <f>TEXT(Table1[[#This Row],[Date]],"YYYY")</f>
        <v>2022</v>
      </c>
      <c r="D128" s="4" t="str">
        <f>TEXT(Table1[[#This Row],[Date]],"MMM")</f>
        <v>Aug</v>
      </c>
      <c r="E128" s="5" t="s">
        <v>31</v>
      </c>
      <c r="F128" s="3" t="s">
        <v>18</v>
      </c>
      <c r="G128" s="3" t="s">
        <v>48</v>
      </c>
      <c r="H128" s="3" t="s">
        <v>43</v>
      </c>
      <c r="I128" s="3">
        <v>0</v>
      </c>
      <c r="J128" s="3">
        <v>4050</v>
      </c>
      <c r="K128" s="3">
        <v>4500</v>
      </c>
      <c r="L128" s="3">
        <v>8</v>
      </c>
      <c r="M128">
        <f>Table1[[#This Row],[Qty]]*Table1[[#This Row],[Sales Price]]</f>
        <v>36000</v>
      </c>
      <c r="N128">
        <f>Table1[[#This Row],[Qty]]*Table1[[#This Row],[Cost]]</f>
        <v>32400</v>
      </c>
      <c r="O128">
        <f>Table1[[#This Row],[Revenue]]-Table1[[#This Row],[Total Cost]]</f>
        <v>3600</v>
      </c>
    </row>
    <row r="129" spans="1:15" x14ac:dyDescent="0.55000000000000004">
      <c r="A129" s="3">
        <v>128</v>
      </c>
      <c r="B129" s="4">
        <v>44793</v>
      </c>
      <c r="C129" s="4" t="str">
        <f>TEXT(Table1[[#This Row],[Date]],"YYYY")</f>
        <v>2022</v>
      </c>
      <c r="D129" s="4" t="str">
        <f>TEXT(Table1[[#This Row],[Date]],"MMM")</f>
        <v>Aug</v>
      </c>
      <c r="E129" s="5" t="s">
        <v>53</v>
      </c>
      <c r="F129" s="3" t="s">
        <v>61</v>
      </c>
      <c r="G129" s="3" t="s">
        <v>42</v>
      </c>
      <c r="H129" s="3" t="s">
        <v>43</v>
      </c>
      <c r="I129" s="3">
        <v>0</v>
      </c>
      <c r="J129" s="3">
        <v>53100</v>
      </c>
      <c r="K129" s="3">
        <v>59000</v>
      </c>
      <c r="L129" s="3">
        <v>8</v>
      </c>
      <c r="M129">
        <f>Table1[[#This Row],[Qty]]*Table1[[#This Row],[Sales Price]]</f>
        <v>472000</v>
      </c>
      <c r="N129">
        <f>Table1[[#This Row],[Qty]]*Table1[[#This Row],[Cost]]</f>
        <v>424800</v>
      </c>
      <c r="O129">
        <f>Table1[[#This Row],[Revenue]]-Table1[[#This Row],[Total Cost]]</f>
        <v>47200</v>
      </c>
    </row>
    <row r="130" spans="1:15" x14ac:dyDescent="0.55000000000000004">
      <c r="A130" s="3">
        <v>129</v>
      </c>
      <c r="B130" s="4">
        <v>44794</v>
      </c>
      <c r="C130" s="4" t="str">
        <f>TEXT(Table1[[#This Row],[Date]],"YYYY")</f>
        <v>2022</v>
      </c>
      <c r="D130" s="4" t="str">
        <f>TEXT(Table1[[#This Row],[Date]],"MMM")</f>
        <v>Aug</v>
      </c>
      <c r="E130" s="5" t="s">
        <v>14</v>
      </c>
      <c r="F130" s="3" t="s">
        <v>18</v>
      </c>
      <c r="G130" s="3" t="s">
        <v>27</v>
      </c>
      <c r="H130" s="3" t="s">
        <v>28</v>
      </c>
      <c r="I130" s="3">
        <v>0</v>
      </c>
      <c r="J130" s="3">
        <v>88200</v>
      </c>
      <c r="K130" s="3">
        <v>98000</v>
      </c>
      <c r="L130" s="3">
        <v>9</v>
      </c>
      <c r="M130">
        <f>Table1[[#This Row],[Qty]]*Table1[[#This Row],[Sales Price]]</f>
        <v>882000</v>
      </c>
      <c r="N130">
        <f>Table1[[#This Row],[Qty]]*Table1[[#This Row],[Cost]]</f>
        <v>793800</v>
      </c>
      <c r="O130">
        <f>Table1[[#This Row],[Revenue]]-Table1[[#This Row],[Total Cost]]</f>
        <v>88200</v>
      </c>
    </row>
    <row r="131" spans="1:15" x14ac:dyDescent="0.55000000000000004">
      <c r="A131" s="3">
        <v>130</v>
      </c>
      <c r="B131" s="4">
        <v>44795</v>
      </c>
      <c r="C131" s="4" t="str">
        <f>TEXT(Table1[[#This Row],[Date]],"YYYY")</f>
        <v>2022</v>
      </c>
      <c r="D131" s="4" t="str">
        <f>TEXT(Table1[[#This Row],[Date]],"MMM")</f>
        <v>Aug</v>
      </c>
      <c r="E131" s="5" t="s">
        <v>50</v>
      </c>
      <c r="F131" s="3" t="s">
        <v>61</v>
      </c>
      <c r="G131" s="3" t="s">
        <v>30</v>
      </c>
      <c r="H131" s="3" t="s">
        <v>28</v>
      </c>
      <c r="I131" s="3">
        <v>1</v>
      </c>
      <c r="J131" s="3">
        <v>38250</v>
      </c>
      <c r="K131" s="3">
        <v>42500</v>
      </c>
      <c r="L131" s="3">
        <v>2</v>
      </c>
      <c r="M131">
        <f>Table1[[#This Row],[Qty]]*Table1[[#This Row],[Sales Price]]</f>
        <v>85000</v>
      </c>
      <c r="N131">
        <f>Table1[[#This Row],[Qty]]*Table1[[#This Row],[Cost]]</f>
        <v>76500</v>
      </c>
      <c r="O131">
        <f>Table1[[#This Row],[Revenue]]-Table1[[#This Row],[Total Cost]]</f>
        <v>8500</v>
      </c>
    </row>
    <row r="132" spans="1:15" x14ac:dyDescent="0.55000000000000004">
      <c r="A132" s="3">
        <v>131</v>
      </c>
      <c r="B132" s="4">
        <v>44796</v>
      </c>
      <c r="C132" s="4" t="str">
        <f>TEXT(Table1[[#This Row],[Date]],"YYYY")</f>
        <v>2022</v>
      </c>
      <c r="D132" s="4" t="str">
        <f>TEXT(Table1[[#This Row],[Date]],"MMM")</f>
        <v>Aug</v>
      </c>
      <c r="E132" s="5" t="s">
        <v>56</v>
      </c>
      <c r="F132" s="3" t="s">
        <v>18</v>
      </c>
      <c r="G132" s="3" t="s">
        <v>32</v>
      </c>
      <c r="H132" s="3" t="s">
        <v>28</v>
      </c>
      <c r="I132" s="3"/>
      <c r="J132" s="3">
        <v>2700</v>
      </c>
      <c r="K132" s="3">
        <v>3000</v>
      </c>
      <c r="L132" s="3">
        <v>1</v>
      </c>
      <c r="M132">
        <f>Table1[[#This Row],[Qty]]*Table1[[#This Row],[Sales Price]]</f>
        <v>3000</v>
      </c>
      <c r="N132">
        <f>Table1[[#This Row],[Qty]]*Table1[[#This Row],[Cost]]</f>
        <v>2700</v>
      </c>
      <c r="O132">
        <f>Table1[[#This Row],[Revenue]]-Table1[[#This Row],[Total Cost]]</f>
        <v>300</v>
      </c>
    </row>
    <row r="133" spans="1:15" x14ac:dyDescent="0.55000000000000004">
      <c r="A133" s="3">
        <v>132</v>
      </c>
      <c r="B133" s="4">
        <v>44797</v>
      </c>
      <c r="C133" s="4" t="str">
        <f>TEXT(Table1[[#This Row],[Date]],"YYYY")</f>
        <v>2022</v>
      </c>
      <c r="D133" s="4" t="str">
        <f>TEXT(Table1[[#This Row],[Date]],"MMM")</f>
        <v>Aug</v>
      </c>
      <c r="E133" s="5" t="s">
        <v>22</v>
      </c>
      <c r="F133" s="3" t="s">
        <v>61</v>
      </c>
      <c r="G133" s="3" t="s">
        <v>34</v>
      </c>
      <c r="H133" s="3" t="s">
        <v>28</v>
      </c>
      <c r="I133" s="3"/>
      <c r="J133" s="3">
        <v>23850</v>
      </c>
      <c r="K133" s="3">
        <v>26500</v>
      </c>
      <c r="L133" s="3">
        <v>22</v>
      </c>
      <c r="M133">
        <f>Table1[[#This Row],[Qty]]*Table1[[#This Row],[Sales Price]]</f>
        <v>583000</v>
      </c>
      <c r="N133">
        <f>Table1[[#This Row],[Qty]]*Table1[[#This Row],[Cost]]</f>
        <v>524700</v>
      </c>
      <c r="O133">
        <f>Table1[[#This Row],[Revenue]]-Table1[[#This Row],[Total Cost]]</f>
        <v>58300</v>
      </c>
    </row>
    <row r="134" spans="1:15" x14ac:dyDescent="0.55000000000000004">
      <c r="A134" s="3">
        <v>133</v>
      </c>
      <c r="B134" s="4">
        <v>44798</v>
      </c>
      <c r="C134" s="4" t="str">
        <f>TEXT(Table1[[#This Row],[Date]],"YYYY")</f>
        <v>2022</v>
      </c>
      <c r="D134" s="4" t="str">
        <f>TEXT(Table1[[#This Row],[Date]],"MMM")</f>
        <v>Aug</v>
      </c>
      <c r="E134" s="5" t="s">
        <v>62</v>
      </c>
      <c r="F134" s="3" t="s">
        <v>15</v>
      </c>
      <c r="G134" s="3" t="s">
        <v>41</v>
      </c>
      <c r="H134" s="3" t="s">
        <v>28</v>
      </c>
      <c r="I134" s="3">
        <v>1</v>
      </c>
      <c r="J134" s="3">
        <v>24750</v>
      </c>
      <c r="K134" s="3">
        <v>27500</v>
      </c>
      <c r="L134" s="3">
        <v>8</v>
      </c>
      <c r="M134">
        <f>Table1[[#This Row],[Qty]]*Table1[[#This Row],[Sales Price]]</f>
        <v>220000</v>
      </c>
      <c r="N134">
        <f>Table1[[#This Row],[Qty]]*Table1[[#This Row],[Cost]]</f>
        <v>198000</v>
      </c>
      <c r="O134">
        <f>Table1[[#This Row],[Revenue]]-Table1[[#This Row],[Total Cost]]</f>
        <v>22000</v>
      </c>
    </row>
    <row r="135" spans="1:15" x14ac:dyDescent="0.55000000000000004">
      <c r="A135" s="3">
        <v>134</v>
      </c>
      <c r="B135" s="4">
        <v>44799</v>
      </c>
      <c r="C135" s="4" t="str">
        <f>TEXT(Table1[[#This Row],[Date]],"YYYY")</f>
        <v>2022</v>
      </c>
      <c r="D135" s="4" t="str">
        <f>TEXT(Table1[[#This Row],[Date]],"MMM")</f>
        <v>Aug</v>
      </c>
      <c r="E135" s="5" t="s">
        <v>40</v>
      </c>
      <c r="F135" s="3" t="s">
        <v>61</v>
      </c>
      <c r="G135" s="3" t="s">
        <v>27</v>
      </c>
      <c r="H135" s="3" t="s">
        <v>28</v>
      </c>
      <c r="I135" s="3">
        <v>1</v>
      </c>
      <c r="J135" s="3">
        <v>44550</v>
      </c>
      <c r="K135" s="3">
        <v>49500</v>
      </c>
      <c r="L135" s="3">
        <v>7</v>
      </c>
      <c r="M135">
        <f>Table1[[#This Row],[Qty]]*Table1[[#This Row],[Sales Price]]</f>
        <v>346500</v>
      </c>
      <c r="N135">
        <f>Table1[[#This Row],[Qty]]*Table1[[#This Row],[Cost]]</f>
        <v>311850</v>
      </c>
      <c r="O135">
        <f>Table1[[#This Row],[Revenue]]-Table1[[#This Row],[Total Cost]]</f>
        <v>34650</v>
      </c>
    </row>
    <row r="136" spans="1:15" x14ac:dyDescent="0.55000000000000004">
      <c r="A136" s="3">
        <v>135</v>
      </c>
      <c r="B136" s="4">
        <v>44800</v>
      </c>
      <c r="C136" s="4" t="str">
        <f>TEXT(Table1[[#This Row],[Date]],"YYYY")</f>
        <v>2022</v>
      </c>
      <c r="D136" s="4" t="str">
        <f>TEXT(Table1[[#This Row],[Date]],"MMM")</f>
        <v>Aug</v>
      </c>
      <c r="E136" s="5" t="s">
        <v>40</v>
      </c>
      <c r="F136" s="3" t="s">
        <v>18</v>
      </c>
      <c r="G136" s="3" t="s">
        <v>32</v>
      </c>
      <c r="H136" s="3" t="s">
        <v>28</v>
      </c>
      <c r="I136" s="3">
        <v>1</v>
      </c>
      <c r="J136" s="3">
        <v>9000</v>
      </c>
      <c r="K136" s="3">
        <v>10000</v>
      </c>
      <c r="L136" s="3">
        <v>56</v>
      </c>
      <c r="M136">
        <f>Table1[[#This Row],[Qty]]*Table1[[#This Row],[Sales Price]]</f>
        <v>560000</v>
      </c>
      <c r="N136">
        <f>Table1[[#This Row],[Qty]]*Table1[[#This Row],[Cost]]</f>
        <v>504000</v>
      </c>
      <c r="O136">
        <f>Table1[[#This Row],[Revenue]]-Table1[[#This Row],[Total Cost]]</f>
        <v>56000</v>
      </c>
    </row>
    <row r="137" spans="1:15" x14ac:dyDescent="0.55000000000000004">
      <c r="A137" s="3">
        <v>136</v>
      </c>
      <c r="B137" s="4">
        <v>44801</v>
      </c>
      <c r="C137" s="4" t="str">
        <f>TEXT(Table1[[#This Row],[Date]],"YYYY")</f>
        <v>2022</v>
      </c>
      <c r="D137" s="4" t="str">
        <f>TEXT(Table1[[#This Row],[Date]],"MMM")</f>
        <v>Aug</v>
      </c>
      <c r="E137" s="5" t="s">
        <v>40</v>
      </c>
      <c r="F137" s="3" t="s">
        <v>15</v>
      </c>
      <c r="G137" s="3" t="s">
        <v>27</v>
      </c>
      <c r="H137" s="3" t="s">
        <v>28</v>
      </c>
      <c r="I137" s="3">
        <v>1</v>
      </c>
      <c r="J137" s="3">
        <v>8640</v>
      </c>
      <c r="K137" s="3">
        <v>9600</v>
      </c>
      <c r="L137" s="3">
        <v>10</v>
      </c>
      <c r="M137">
        <f>Table1[[#This Row],[Qty]]*Table1[[#This Row],[Sales Price]]</f>
        <v>96000</v>
      </c>
      <c r="N137">
        <f>Table1[[#This Row],[Qty]]*Table1[[#This Row],[Cost]]</f>
        <v>86400</v>
      </c>
      <c r="O137">
        <f>Table1[[#This Row],[Revenue]]-Table1[[#This Row],[Total Cost]]</f>
        <v>9600</v>
      </c>
    </row>
    <row r="138" spans="1:15" x14ac:dyDescent="0.55000000000000004">
      <c r="A138" s="3">
        <v>137</v>
      </c>
      <c r="B138" s="4">
        <v>44802</v>
      </c>
      <c r="C138" s="4" t="str">
        <f>TEXT(Table1[[#This Row],[Date]],"YYYY")</f>
        <v>2022</v>
      </c>
      <c r="D138" s="4" t="str">
        <f>TEXT(Table1[[#This Row],[Date]],"MMM")</f>
        <v>Aug</v>
      </c>
      <c r="E138" s="5" t="s">
        <v>59</v>
      </c>
      <c r="F138" s="3" t="s">
        <v>61</v>
      </c>
      <c r="G138" s="3" t="s">
        <v>30</v>
      </c>
      <c r="H138" s="3" t="s">
        <v>28</v>
      </c>
      <c r="I138" s="3">
        <v>1</v>
      </c>
      <c r="J138" s="3">
        <v>9000</v>
      </c>
      <c r="K138" s="3">
        <v>10000</v>
      </c>
      <c r="L138" s="3">
        <v>9</v>
      </c>
      <c r="M138">
        <f>Table1[[#This Row],[Qty]]*Table1[[#This Row],[Sales Price]]</f>
        <v>90000</v>
      </c>
      <c r="N138">
        <f>Table1[[#This Row],[Qty]]*Table1[[#This Row],[Cost]]</f>
        <v>81000</v>
      </c>
      <c r="O138">
        <f>Table1[[#This Row],[Revenue]]-Table1[[#This Row],[Total Cost]]</f>
        <v>9000</v>
      </c>
    </row>
    <row r="139" spans="1:15" x14ac:dyDescent="0.55000000000000004">
      <c r="A139" s="3">
        <v>138</v>
      </c>
      <c r="B139" s="4">
        <v>44803</v>
      </c>
      <c r="C139" s="4" t="str">
        <f>TEXT(Table1[[#This Row],[Date]],"YYYY")</f>
        <v>2022</v>
      </c>
      <c r="D139" s="4" t="str">
        <f>TEXT(Table1[[#This Row],[Date]],"MMM")</f>
        <v>Aug</v>
      </c>
      <c r="E139" s="5" t="s">
        <v>39</v>
      </c>
      <c r="F139" s="3" t="s">
        <v>18</v>
      </c>
      <c r="G139" s="3" t="s">
        <v>32</v>
      </c>
      <c r="H139" s="3" t="s">
        <v>28</v>
      </c>
      <c r="I139" s="3">
        <v>1</v>
      </c>
      <c r="J139" s="3">
        <v>3870</v>
      </c>
      <c r="K139" s="3">
        <v>4300</v>
      </c>
      <c r="L139" s="3">
        <v>27</v>
      </c>
      <c r="M139">
        <f>Table1[[#This Row],[Qty]]*Table1[[#This Row],[Sales Price]]</f>
        <v>116100</v>
      </c>
      <c r="N139">
        <f>Table1[[#This Row],[Qty]]*Table1[[#This Row],[Cost]]</f>
        <v>104490</v>
      </c>
      <c r="O139">
        <f>Table1[[#This Row],[Revenue]]-Table1[[#This Row],[Total Cost]]</f>
        <v>11610</v>
      </c>
    </row>
    <row r="140" spans="1:15" x14ac:dyDescent="0.55000000000000004">
      <c r="A140" s="3">
        <v>139</v>
      </c>
      <c r="B140" s="4">
        <v>44804</v>
      </c>
      <c r="C140" s="4" t="str">
        <f>TEXT(Table1[[#This Row],[Date]],"YYYY")</f>
        <v>2022</v>
      </c>
      <c r="D140" s="4" t="str">
        <f>TEXT(Table1[[#This Row],[Date]],"MMM")</f>
        <v>Aug</v>
      </c>
      <c r="E140" s="5" t="s">
        <v>46</v>
      </c>
      <c r="F140" s="3" t="s">
        <v>15</v>
      </c>
      <c r="G140" s="3" t="s">
        <v>34</v>
      </c>
      <c r="H140" s="3" t="s">
        <v>28</v>
      </c>
      <c r="I140" s="3"/>
      <c r="J140" s="3">
        <v>45450</v>
      </c>
      <c r="K140" s="3">
        <v>50500</v>
      </c>
      <c r="L140" s="3">
        <v>15</v>
      </c>
      <c r="M140">
        <f>Table1[[#This Row],[Qty]]*Table1[[#This Row],[Sales Price]]</f>
        <v>757500</v>
      </c>
      <c r="N140">
        <f>Table1[[#This Row],[Qty]]*Table1[[#This Row],[Cost]]</f>
        <v>681750</v>
      </c>
      <c r="O140">
        <f>Table1[[#This Row],[Revenue]]-Table1[[#This Row],[Total Cost]]</f>
        <v>75750</v>
      </c>
    </row>
    <row r="141" spans="1:15" x14ac:dyDescent="0.55000000000000004">
      <c r="A141" s="3">
        <v>140</v>
      </c>
      <c r="B141" s="4">
        <v>44805</v>
      </c>
      <c r="C141" s="4" t="str">
        <f>TEXT(Table1[[#This Row],[Date]],"YYYY")</f>
        <v>2022</v>
      </c>
      <c r="D141" s="4" t="str">
        <f>TEXT(Table1[[#This Row],[Date]],"MMM")</f>
        <v>Sep</v>
      </c>
      <c r="E141" s="5" t="s">
        <v>31</v>
      </c>
      <c r="F141" s="3" t="s">
        <v>61</v>
      </c>
      <c r="G141" s="3" t="s">
        <v>41</v>
      </c>
      <c r="H141" s="3" t="s">
        <v>28</v>
      </c>
      <c r="I141" s="3"/>
      <c r="J141" s="3">
        <v>18225</v>
      </c>
      <c r="K141" s="3">
        <v>20250</v>
      </c>
      <c r="L141" s="3">
        <v>3</v>
      </c>
      <c r="M141">
        <f>Table1[[#This Row],[Qty]]*Table1[[#This Row],[Sales Price]]</f>
        <v>60750</v>
      </c>
      <c r="N141">
        <f>Table1[[#This Row],[Qty]]*Table1[[#This Row],[Cost]]</f>
        <v>54675</v>
      </c>
      <c r="O141">
        <f>Table1[[#This Row],[Revenue]]-Table1[[#This Row],[Total Cost]]</f>
        <v>6075</v>
      </c>
    </row>
    <row r="142" spans="1:15" x14ac:dyDescent="0.55000000000000004">
      <c r="A142" s="3">
        <v>141</v>
      </c>
      <c r="B142" s="4">
        <v>44806</v>
      </c>
      <c r="C142" s="4" t="str">
        <f>TEXT(Table1[[#This Row],[Date]],"YYYY")</f>
        <v>2022</v>
      </c>
      <c r="D142" s="4" t="str">
        <f>TEXT(Table1[[#This Row],[Date]],"MMM")</f>
        <v>Sep</v>
      </c>
      <c r="E142" s="5" t="s">
        <v>39</v>
      </c>
      <c r="F142" s="3" t="s">
        <v>18</v>
      </c>
      <c r="G142" s="3" t="s">
        <v>27</v>
      </c>
      <c r="H142" s="3" t="s">
        <v>28</v>
      </c>
      <c r="I142" s="3"/>
      <c r="J142" s="3">
        <v>1800</v>
      </c>
      <c r="K142" s="3">
        <v>2000</v>
      </c>
      <c r="L142" s="3">
        <v>9</v>
      </c>
      <c r="M142">
        <f>Table1[[#This Row],[Qty]]*Table1[[#This Row],[Sales Price]]</f>
        <v>18000</v>
      </c>
      <c r="N142">
        <f>Table1[[#This Row],[Qty]]*Table1[[#This Row],[Cost]]</f>
        <v>16200</v>
      </c>
      <c r="O142">
        <f>Table1[[#This Row],[Revenue]]-Table1[[#This Row],[Total Cost]]</f>
        <v>1800</v>
      </c>
    </row>
    <row r="143" spans="1:15" x14ac:dyDescent="0.55000000000000004">
      <c r="A143" s="3">
        <v>142</v>
      </c>
      <c r="B143" s="4">
        <v>44807</v>
      </c>
      <c r="C143" s="4" t="str">
        <f>TEXT(Table1[[#This Row],[Date]],"YYYY")</f>
        <v>2022</v>
      </c>
      <c r="D143" s="4" t="str">
        <f>TEXT(Table1[[#This Row],[Date]],"MMM")</f>
        <v>Sep</v>
      </c>
      <c r="E143" s="5" t="s">
        <v>35</v>
      </c>
      <c r="F143" s="3" t="s">
        <v>15</v>
      </c>
      <c r="G143" s="3" t="s">
        <v>32</v>
      </c>
      <c r="H143" s="3" t="s">
        <v>28</v>
      </c>
      <c r="I143" s="3">
        <v>1</v>
      </c>
      <c r="J143" s="3">
        <v>48600</v>
      </c>
      <c r="K143" s="3">
        <v>54000</v>
      </c>
      <c r="L143" s="3">
        <v>22</v>
      </c>
      <c r="M143">
        <f>Table1[[#This Row],[Qty]]*Table1[[#This Row],[Sales Price]]</f>
        <v>1188000</v>
      </c>
      <c r="N143">
        <f>Table1[[#This Row],[Qty]]*Table1[[#This Row],[Cost]]</f>
        <v>1069200</v>
      </c>
      <c r="O143">
        <f>Table1[[#This Row],[Revenue]]-Table1[[#This Row],[Total Cost]]</f>
        <v>118800</v>
      </c>
    </row>
    <row r="144" spans="1:15" x14ac:dyDescent="0.55000000000000004">
      <c r="A144" s="3">
        <v>143</v>
      </c>
      <c r="B144" s="4">
        <v>44808</v>
      </c>
      <c r="C144" s="4" t="str">
        <f>TEXT(Table1[[#This Row],[Date]],"YYYY")</f>
        <v>2022</v>
      </c>
      <c r="D144" s="4" t="str">
        <f>TEXT(Table1[[#This Row],[Date]],"MMM")</f>
        <v>Sep</v>
      </c>
      <c r="E144" s="5" t="s">
        <v>31</v>
      </c>
      <c r="F144" s="3" t="s">
        <v>61</v>
      </c>
      <c r="G144" s="3" t="s">
        <v>42</v>
      </c>
      <c r="H144" s="3" t="s">
        <v>43</v>
      </c>
      <c r="I144" s="3">
        <v>1</v>
      </c>
      <c r="J144" s="3">
        <v>72900</v>
      </c>
      <c r="K144" s="3">
        <v>81000</v>
      </c>
      <c r="L144" s="3">
        <v>16</v>
      </c>
      <c r="M144">
        <f>Table1[[#This Row],[Qty]]*Table1[[#This Row],[Sales Price]]</f>
        <v>1296000</v>
      </c>
      <c r="N144">
        <f>Table1[[#This Row],[Qty]]*Table1[[#This Row],[Cost]]</f>
        <v>1166400</v>
      </c>
      <c r="O144">
        <f>Table1[[#This Row],[Revenue]]-Table1[[#This Row],[Total Cost]]</f>
        <v>129600</v>
      </c>
    </row>
    <row r="145" spans="1:15" x14ac:dyDescent="0.55000000000000004">
      <c r="A145" s="3">
        <v>144</v>
      </c>
      <c r="B145" s="4">
        <v>44809</v>
      </c>
      <c r="C145" s="4" t="str">
        <f>TEXT(Table1[[#This Row],[Date]],"YYYY")</f>
        <v>2022</v>
      </c>
      <c r="D145" s="4" t="str">
        <f>TEXT(Table1[[#This Row],[Date]],"MMM")</f>
        <v>Sep</v>
      </c>
      <c r="E145" s="5" t="s">
        <v>39</v>
      </c>
      <c r="F145" s="3" t="s">
        <v>18</v>
      </c>
      <c r="G145" s="3" t="s">
        <v>44</v>
      </c>
      <c r="H145" s="3" t="s">
        <v>43</v>
      </c>
      <c r="I145" s="3">
        <v>1</v>
      </c>
      <c r="J145" s="3">
        <v>9450</v>
      </c>
      <c r="K145" s="3">
        <v>10500</v>
      </c>
      <c r="L145" s="3">
        <v>6</v>
      </c>
      <c r="M145">
        <f>Table1[[#This Row],[Qty]]*Table1[[#This Row],[Sales Price]]</f>
        <v>63000</v>
      </c>
      <c r="N145">
        <f>Table1[[#This Row],[Qty]]*Table1[[#This Row],[Cost]]</f>
        <v>56700</v>
      </c>
      <c r="O145">
        <f>Table1[[#This Row],[Revenue]]-Table1[[#This Row],[Total Cost]]</f>
        <v>6300</v>
      </c>
    </row>
    <row r="146" spans="1:15" x14ac:dyDescent="0.55000000000000004">
      <c r="A146" s="3">
        <v>145</v>
      </c>
      <c r="B146" s="4">
        <v>44810</v>
      </c>
      <c r="C146" s="4" t="str">
        <f>TEXT(Table1[[#This Row],[Date]],"YYYY")</f>
        <v>2022</v>
      </c>
      <c r="D146" s="4" t="str">
        <f>TEXT(Table1[[#This Row],[Date]],"MMM")</f>
        <v>Sep</v>
      </c>
      <c r="E146" s="5" t="s">
        <v>58</v>
      </c>
      <c r="F146" s="3" t="s">
        <v>15</v>
      </c>
      <c r="G146" s="3" t="s">
        <v>45</v>
      </c>
      <c r="H146" s="3" t="s">
        <v>43</v>
      </c>
      <c r="I146" s="3">
        <v>1</v>
      </c>
      <c r="J146" s="3">
        <v>36000</v>
      </c>
      <c r="K146" s="3">
        <v>40000</v>
      </c>
      <c r="L146" s="3">
        <v>3</v>
      </c>
      <c r="M146">
        <f>Table1[[#This Row],[Qty]]*Table1[[#This Row],[Sales Price]]</f>
        <v>120000</v>
      </c>
      <c r="N146">
        <f>Table1[[#This Row],[Qty]]*Table1[[#This Row],[Cost]]</f>
        <v>108000</v>
      </c>
      <c r="O146">
        <f>Table1[[#This Row],[Revenue]]-Table1[[#This Row],[Total Cost]]</f>
        <v>12000</v>
      </c>
    </row>
    <row r="147" spans="1:15" x14ac:dyDescent="0.55000000000000004">
      <c r="A147" s="3">
        <v>146</v>
      </c>
      <c r="B147" s="4">
        <v>44811</v>
      </c>
      <c r="C147" s="4" t="str">
        <f>TEXT(Table1[[#This Row],[Date]],"YYYY")</f>
        <v>2022</v>
      </c>
      <c r="D147" s="4" t="str">
        <f>TEXT(Table1[[#This Row],[Date]],"MMM")</f>
        <v>Sep</v>
      </c>
      <c r="E147" s="5" t="s">
        <v>39</v>
      </c>
      <c r="F147" s="3" t="s">
        <v>61</v>
      </c>
      <c r="G147" s="3" t="s">
        <v>47</v>
      </c>
      <c r="H147" s="3" t="s">
        <v>43</v>
      </c>
      <c r="I147" s="3">
        <v>1</v>
      </c>
      <c r="J147" s="3">
        <v>24300</v>
      </c>
      <c r="K147" s="3">
        <v>27000</v>
      </c>
      <c r="L147" s="3">
        <v>5</v>
      </c>
      <c r="M147">
        <f>Table1[[#This Row],[Qty]]*Table1[[#This Row],[Sales Price]]</f>
        <v>135000</v>
      </c>
      <c r="N147">
        <f>Table1[[#This Row],[Qty]]*Table1[[#This Row],[Cost]]</f>
        <v>121500</v>
      </c>
      <c r="O147">
        <f>Table1[[#This Row],[Revenue]]-Table1[[#This Row],[Total Cost]]</f>
        <v>13500</v>
      </c>
    </row>
    <row r="148" spans="1:15" x14ac:dyDescent="0.55000000000000004">
      <c r="A148" s="3">
        <v>147</v>
      </c>
      <c r="B148" s="4">
        <v>44812</v>
      </c>
      <c r="C148" s="4" t="str">
        <f>TEXT(Table1[[#This Row],[Date]],"YYYY")</f>
        <v>2022</v>
      </c>
      <c r="D148" s="4" t="str">
        <f>TEXT(Table1[[#This Row],[Date]],"MMM")</f>
        <v>Sep</v>
      </c>
      <c r="E148" s="5" t="s">
        <v>39</v>
      </c>
      <c r="F148" s="3" t="s">
        <v>18</v>
      </c>
      <c r="G148" s="3" t="s">
        <v>48</v>
      </c>
      <c r="H148" s="3" t="s">
        <v>43</v>
      </c>
      <c r="I148" s="3">
        <v>1</v>
      </c>
      <c r="J148" s="3">
        <v>9180</v>
      </c>
      <c r="K148" s="3">
        <v>10200</v>
      </c>
      <c r="L148" s="3">
        <v>1</v>
      </c>
      <c r="M148">
        <f>Table1[[#This Row],[Qty]]*Table1[[#This Row],[Sales Price]]</f>
        <v>10200</v>
      </c>
      <c r="N148">
        <f>Table1[[#This Row],[Qty]]*Table1[[#This Row],[Cost]]</f>
        <v>9180</v>
      </c>
      <c r="O148">
        <f>Table1[[#This Row],[Revenue]]-Table1[[#This Row],[Total Cost]]</f>
        <v>1020</v>
      </c>
    </row>
    <row r="149" spans="1:15" x14ac:dyDescent="0.55000000000000004">
      <c r="A149" s="3">
        <v>148</v>
      </c>
      <c r="B149" s="4">
        <v>44813</v>
      </c>
      <c r="C149" s="4" t="str">
        <f>TEXT(Table1[[#This Row],[Date]],"YYYY")</f>
        <v>2022</v>
      </c>
      <c r="D149" s="4" t="str">
        <f>TEXT(Table1[[#This Row],[Date]],"MMM")</f>
        <v>Sep</v>
      </c>
      <c r="E149" s="5" t="s">
        <v>33</v>
      </c>
      <c r="F149" s="3" t="s">
        <v>15</v>
      </c>
      <c r="G149" s="3" t="s">
        <v>42</v>
      </c>
      <c r="H149" s="3" t="s">
        <v>43</v>
      </c>
      <c r="I149" s="3">
        <v>1</v>
      </c>
      <c r="J149" s="3">
        <v>8640</v>
      </c>
      <c r="K149" s="3">
        <v>9600</v>
      </c>
      <c r="L149" s="3">
        <v>5</v>
      </c>
      <c r="M149">
        <f>Table1[[#This Row],[Qty]]*Table1[[#This Row],[Sales Price]]</f>
        <v>48000</v>
      </c>
      <c r="N149">
        <f>Table1[[#This Row],[Qty]]*Table1[[#This Row],[Cost]]</f>
        <v>43200</v>
      </c>
      <c r="O149">
        <f>Table1[[#This Row],[Revenue]]-Table1[[#This Row],[Total Cost]]</f>
        <v>4800</v>
      </c>
    </row>
    <row r="150" spans="1:15" x14ac:dyDescent="0.55000000000000004">
      <c r="A150" s="3">
        <v>149</v>
      </c>
      <c r="B150" s="4">
        <v>44814</v>
      </c>
      <c r="C150" s="4" t="str">
        <f>TEXT(Table1[[#This Row],[Date]],"YYYY")</f>
        <v>2022</v>
      </c>
      <c r="D150" s="4" t="str">
        <f>TEXT(Table1[[#This Row],[Date]],"MMM")</f>
        <v>Sep</v>
      </c>
      <c r="E150" s="5" t="s">
        <v>63</v>
      </c>
      <c r="F150" s="3" t="s">
        <v>61</v>
      </c>
      <c r="G150" s="3" t="s">
        <v>44</v>
      </c>
      <c r="H150" s="3" t="s">
        <v>43</v>
      </c>
      <c r="I150" s="3"/>
      <c r="J150" s="3">
        <v>8280</v>
      </c>
      <c r="K150" s="3">
        <v>9200</v>
      </c>
      <c r="L150" s="3">
        <v>7</v>
      </c>
      <c r="M150">
        <f>Table1[[#This Row],[Qty]]*Table1[[#This Row],[Sales Price]]</f>
        <v>64400</v>
      </c>
      <c r="N150">
        <f>Table1[[#This Row],[Qty]]*Table1[[#This Row],[Cost]]</f>
        <v>57960</v>
      </c>
      <c r="O150">
        <f>Table1[[#This Row],[Revenue]]-Table1[[#This Row],[Total Cost]]</f>
        <v>6440</v>
      </c>
    </row>
    <row r="151" spans="1:15" x14ac:dyDescent="0.55000000000000004">
      <c r="A151" s="3">
        <v>150</v>
      </c>
      <c r="B151" s="4">
        <v>44815</v>
      </c>
      <c r="C151" s="4" t="str">
        <f>TEXT(Table1[[#This Row],[Date]],"YYYY")</f>
        <v>2022</v>
      </c>
      <c r="D151" s="4" t="str">
        <f>TEXT(Table1[[#This Row],[Date]],"MMM")</f>
        <v>Sep</v>
      </c>
      <c r="E151" s="5" t="s">
        <v>39</v>
      </c>
      <c r="F151" s="3" t="s">
        <v>18</v>
      </c>
      <c r="G151" s="3" t="s">
        <v>45</v>
      </c>
      <c r="H151" s="3" t="s">
        <v>43</v>
      </c>
      <c r="I151" s="3"/>
      <c r="J151" s="3">
        <v>4950</v>
      </c>
      <c r="K151" s="3">
        <v>5500</v>
      </c>
      <c r="L151" s="3">
        <v>4</v>
      </c>
      <c r="M151">
        <f>Table1[[#This Row],[Qty]]*Table1[[#This Row],[Sales Price]]</f>
        <v>22000</v>
      </c>
      <c r="N151">
        <f>Table1[[#This Row],[Qty]]*Table1[[#This Row],[Cost]]</f>
        <v>19800</v>
      </c>
      <c r="O151">
        <f>Table1[[#This Row],[Revenue]]-Table1[[#This Row],[Total Cost]]</f>
        <v>2200</v>
      </c>
    </row>
    <row r="152" spans="1:15" x14ac:dyDescent="0.55000000000000004">
      <c r="A152" s="3">
        <v>151</v>
      </c>
      <c r="B152" s="4">
        <v>44816</v>
      </c>
      <c r="C152" s="4" t="str">
        <f>TEXT(Table1[[#This Row],[Date]],"YYYY")</f>
        <v>2022</v>
      </c>
      <c r="D152" s="4" t="str">
        <f>TEXT(Table1[[#This Row],[Date]],"MMM")</f>
        <v>Sep</v>
      </c>
      <c r="E152" s="5" t="s">
        <v>64</v>
      </c>
      <c r="F152" s="3" t="s">
        <v>15</v>
      </c>
      <c r="G152" s="3" t="s">
        <v>47</v>
      </c>
      <c r="H152" s="3" t="s">
        <v>43</v>
      </c>
      <c r="I152" s="3">
        <v>1</v>
      </c>
      <c r="J152" s="3">
        <v>3150</v>
      </c>
      <c r="K152" s="3">
        <v>3500</v>
      </c>
      <c r="L152" s="3">
        <v>8</v>
      </c>
      <c r="M152">
        <f>Table1[[#This Row],[Qty]]*Table1[[#This Row],[Sales Price]]</f>
        <v>28000</v>
      </c>
      <c r="N152">
        <f>Table1[[#This Row],[Qty]]*Table1[[#This Row],[Cost]]</f>
        <v>25200</v>
      </c>
      <c r="O152">
        <f>Table1[[#This Row],[Revenue]]-Table1[[#This Row],[Total Cost]]</f>
        <v>2800</v>
      </c>
    </row>
    <row r="153" spans="1:15" x14ac:dyDescent="0.55000000000000004">
      <c r="A153" s="3">
        <v>152</v>
      </c>
      <c r="B153" s="4">
        <v>44817</v>
      </c>
      <c r="C153" s="4" t="str">
        <f>TEXT(Table1[[#This Row],[Date]],"YYYY")</f>
        <v>2022</v>
      </c>
      <c r="D153" s="4" t="str">
        <f>TEXT(Table1[[#This Row],[Date]],"MMM")</f>
        <v>Sep</v>
      </c>
      <c r="E153" s="5" t="s">
        <v>39</v>
      </c>
      <c r="F153" s="3" t="s">
        <v>61</v>
      </c>
      <c r="G153" s="3" t="s">
        <v>48</v>
      </c>
      <c r="H153" s="3" t="s">
        <v>43</v>
      </c>
      <c r="I153" s="3">
        <v>1</v>
      </c>
      <c r="J153" s="3">
        <v>2700</v>
      </c>
      <c r="K153" s="3">
        <v>3000</v>
      </c>
      <c r="L153" s="3">
        <v>8</v>
      </c>
      <c r="M153">
        <f>Table1[[#This Row],[Qty]]*Table1[[#This Row],[Sales Price]]</f>
        <v>24000</v>
      </c>
      <c r="N153">
        <f>Table1[[#This Row],[Qty]]*Table1[[#This Row],[Cost]]</f>
        <v>21600</v>
      </c>
      <c r="O153">
        <f>Table1[[#This Row],[Revenue]]-Table1[[#This Row],[Total Cost]]</f>
        <v>2400</v>
      </c>
    </row>
    <row r="154" spans="1:15" x14ac:dyDescent="0.55000000000000004">
      <c r="A154" s="3">
        <v>153</v>
      </c>
      <c r="B154" s="4">
        <v>44818</v>
      </c>
      <c r="C154" s="4" t="str">
        <f>TEXT(Table1[[#This Row],[Date]],"YYYY")</f>
        <v>2022</v>
      </c>
      <c r="D154" s="4" t="str">
        <f>TEXT(Table1[[#This Row],[Date]],"MMM")</f>
        <v>Sep</v>
      </c>
      <c r="E154" s="5" t="s">
        <v>22</v>
      </c>
      <c r="F154" s="3" t="s">
        <v>18</v>
      </c>
      <c r="G154" s="3" t="s">
        <v>48</v>
      </c>
      <c r="H154" s="3" t="s">
        <v>43</v>
      </c>
      <c r="I154" s="3">
        <v>1</v>
      </c>
      <c r="J154" s="3">
        <v>4050</v>
      </c>
      <c r="K154" s="3">
        <v>4500</v>
      </c>
      <c r="L154" s="3">
        <v>9</v>
      </c>
      <c r="M154">
        <f>Table1[[#This Row],[Qty]]*Table1[[#This Row],[Sales Price]]</f>
        <v>40500</v>
      </c>
      <c r="N154">
        <f>Table1[[#This Row],[Qty]]*Table1[[#This Row],[Cost]]</f>
        <v>36450</v>
      </c>
      <c r="O154">
        <f>Table1[[#This Row],[Revenue]]-Table1[[#This Row],[Total Cost]]</f>
        <v>4050</v>
      </c>
    </row>
    <row r="155" spans="1:15" x14ac:dyDescent="0.55000000000000004">
      <c r="A155" s="3">
        <v>154</v>
      </c>
      <c r="B155" s="4">
        <v>44819</v>
      </c>
      <c r="C155" s="4" t="str">
        <f>TEXT(Table1[[#This Row],[Date]],"YYYY")</f>
        <v>2022</v>
      </c>
      <c r="D155" s="4" t="str">
        <f>TEXT(Table1[[#This Row],[Date]],"MMM")</f>
        <v>Sep</v>
      </c>
      <c r="E155" s="5" t="s">
        <v>40</v>
      </c>
      <c r="F155" s="3" t="s">
        <v>15</v>
      </c>
      <c r="G155" s="3" t="s">
        <v>42</v>
      </c>
      <c r="H155" s="3" t="s">
        <v>43</v>
      </c>
      <c r="I155" s="3">
        <v>0</v>
      </c>
      <c r="J155" s="3">
        <v>53100</v>
      </c>
      <c r="K155" s="3">
        <v>59000</v>
      </c>
      <c r="L155" s="3">
        <v>2</v>
      </c>
      <c r="M155">
        <f>Table1[[#This Row],[Qty]]*Table1[[#This Row],[Sales Price]]</f>
        <v>118000</v>
      </c>
      <c r="N155">
        <f>Table1[[#This Row],[Qty]]*Table1[[#This Row],[Cost]]</f>
        <v>106200</v>
      </c>
      <c r="O155">
        <f>Table1[[#This Row],[Revenue]]-Table1[[#This Row],[Total Cost]]</f>
        <v>11800</v>
      </c>
    </row>
    <row r="156" spans="1:15" x14ac:dyDescent="0.55000000000000004">
      <c r="A156" s="3">
        <v>155</v>
      </c>
      <c r="B156" s="4">
        <v>44820</v>
      </c>
      <c r="C156" s="4" t="str">
        <f>TEXT(Table1[[#This Row],[Date]],"YYYY")</f>
        <v>2022</v>
      </c>
      <c r="D156" s="4" t="str">
        <f>TEXT(Table1[[#This Row],[Date]],"MMM")</f>
        <v>Sep</v>
      </c>
      <c r="E156" s="5" t="s">
        <v>53</v>
      </c>
      <c r="F156" s="3" t="s">
        <v>61</v>
      </c>
      <c r="G156" s="3" t="s">
        <v>45</v>
      </c>
      <c r="H156" s="3" t="s">
        <v>43</v>
      </c>
      <c r="I156" s="3">
        <v>1</v>
      </c>
      <c r="J156" s="3">
        <v>88200</v>
      </c>
      <c r="K156" s="3">
        <v>98000</v>
      </c>
      <c r="L156" s="3">
        <v>1</v>
      </c>
      <c r="M156">
        <f>Table1[[#This Row],[Qty]]*Table1[[#This Row],[Sales Price]]</f>
        <v>98000</v>
      </c>
      <c r="N156">
        <f>Table1[[#This Row],[Qty]]*Table1[[#This Row],[Cost]]</f>
        <v>88200</v>
      </c>
      <c r="O156">
        <f>Table1[[#This Row],[Revenue]]-Table1[[#This Row],[Total Cost]]</f>
        <v>9800</v>
      </c>
    </row>
    <row r="157" spans="1:15" x14ac:dyDescent="0.55000000000000004">
      <c r="A157" s="3">
        <v>156</v>
      </c>
      <c r="B157" s="4">
        <v>44821</v>
      </c>
      <c r="C157" s="4" t="str">
        <f>TEXT(Table1[[#This Row],[Date]],"YYYY")</f>
        <v>2022</v>
      </c>
      <c r="D157" s="4" t="str">
        <f>TEXT(Table1[[#This Row],[Date]],"MMM")</f>
        <v>Sep</v>
      </c>
      <c r="E157" s="5" t="s">
        <v>50</v>
      </c>
      <c r="F157" s="3" t="s">
        <v>18</v>
      </c>
      <c r="G157" s="3" t="s">
        <v>47</v>
      </c>
      <c r="H157" s="3" t="s">
        <v>43</v>
      </c>
      <c r="I157" s="3">
        <v>0</v>
      </c>
      <c r="J157" s="3">
        <v>8640</v>
      </c>
      <c r="K157" s="3">
        <v>9600</v>
      </c>
      <c r="L157" s="3">
        <v>22</v>
      </c>
      <c r="M157">
        <f>Table1[[#This Row],[Qty]]*Table1[[#This Row],[Sales Price]]</f>
        <v>211200</v>
      </c>
      <c r="N157">
        <f>Table1[[#This Row],[Qty]]*Table1[[#This Row],[Cost]]</f>
        <v>190080</v>
      </c>
      <c r="O157">
        <f>Table1[[#This Row],[Revenue]]-Table1[[#This Row],[Total Cost]]</f>
        <v>21120</v>
      </c>
    </row>
    <row r="158" spans="1:15" x14ac:dyDescent="0.55000000000000004">
      <c r="A158" s="3">
        <v>157</v>
      </c>
      <c r="B158" s="4">
        <v>44822</v>
      </c>
      <c r="C158" s="4" t="str">
        <f>TEXT(Table1[[#This Row],[Date]],"YYYY")</f>
        <v>2022</v>
      </c>
      <c r="D158" s="4" t="str">
        <f>TEXT(Table1[[#This Row],[Date]],"MMM")</f>
        <v>Sep</v>
      </c>
      <c r="E158" s="5" t="s">
        <v>39</v>
      </c>
      <c r="F158" s="3" t="s">
        <v>15</v>
      </c>
      <c r="G158" s="3" t="s">
        <v>48</v>
      </c>
      <c r="H158" s="3" t="s">
        <v>43</v>
      </c>
      <c r="I158" s="3"/>
      <c r="J158" s="3">
        <v>8280</v>
      </c>
      <c r="K158" s="3">
        <v>9200</v>
      </c>
      <c r="L158" s="3">
        <v>8</v>
      </c>
      <c r="M158">
        <f>Table1[[#This Row],[Qty]]*Table1[[#This Row],[Sales Price]]</f>
        <v>73600</v>
      </c>
      <c r="N158">
        <f>Table1[[#This Row],[Qty]]*Table1[[#This Row],[Cost]]</f>
        <v>66240</v>
      </c>
      <c r="O158">
        <f>Table1[[#This Row],[Revenue]]-Table1[[#This Row],[Total Cost]]</f>
        <v>7360</v>
      </c>
    </row>
    <row r="159" spans="1:15" x14ac:dyDescent="0.55000000000000004">
      <c r="A159" s="3">
        <v>158</v>
      </c>
      <c r="B159" s="4">
        <v>44823</v>
      </c>
      <c r="C159" s="4" t="str">
        <f>TEXT(Table1[[#This Row],[Date]],"YYYY")</f>
        <v>2022</v>
      </c>
      <c r="D159" s="4" t="str">
        <f>TEXT(Table1[[#This Row],[Date]],"MMM")</f>
        <v>Sep</v>
      </c>
      <c r="E159" s="5" t="s">
        <v>40</v>
      </c>
      <c r="F159" s="3" t="s">
        <v>61</v>
      </c>
      <c r="G159" s="3" t="s">
        <v>42</v>
      </c>
      <c r="H159" s="3" t="s">
        <v>43</v>
      </c>
      <c r="I159" s="3"/>
      <c r="J159" s="3">
        <v>4950</v>
      </c>
      <c r="K159" s="3">
        <v>5500</v>
      </c>
      <c r="L159" s="3">
        <v>7</v>
      </c>
      <c r="M159">
        <f>Table1[[#This Row],[Qty]]*Table1[[#This Row],[Sales Price]]</f>
        <v>38500</v>
      </c>
      <c r="N159">
        <f>Table1[[#This Row],[Qty]]*Table1[[#This Row],[Cost]]</f>
        <v>34650</v>
      </c>
      <c r="O159">
        <f>Table1[[#This Row],[Revenue]]-Table1[[#This Row],[Total Cost]]</f>
        <v>3850</v>
      </c>
    </row>
    <row r="160" spans="1:15" x14ac:dyDescent="0.55000000000000004">
      <c r="A160" s="3">
        <v>159</v>
      </c>
      <c r="B160" s="4">
        <v>44824</v>
      </c>
      <c r="C160" s="4" t="str">
        <f>TEXT(Table1[[#This Row],[Date]],"YYYY")</f>
        <v>2022</v>
      </c>
      <c r="D160" s="4" t="str">
        <f>TEXT(Table1[[#This Row],[Date]],"MMM")</f>
        <v>Sep</v>
      </c>
      <c r="E160" s="5" t="s">
        <v>39</v>
      </c>
      <c r="F160" s="3" t="s">
        <v>18</v>
      </c>
      <c r="G160" s="3" t="s">
        <v>44</v>
      </c>
      <c r="H160" s="3" t="s">
        <v>43</v>
      </c>
      <c r="I160" s="3"/>
      <c r="J160" s="3">
        <v>3150</v>
      </c>
      <c r="K160" s="3">
        <v>3500</v>
      </c>
      <c r="L160" s="3">
        <v>56</v>
      </c>
      <c r="M160">
        <f>Table1[[#This Row],[Qty]]*Table1[[#This Row],[Sales Price]]</f>
        <v>196000</v>
      </c>
      <c r="N160">
        <f>Table1[[#This Row],[Qty]]*Table1[[#This Row],[Cost]]</f>
        <v>176400</v>
      </c>
      <c r="O160">
        <f>Table1[[#This Row],[Revenue]]-Table1[[#This Row],[Total Cost]]</f>
        <v>19600</v>
      </c>
    </row>
    <row r="161" spans="1:15" x14ac:dyDescent="0.55000000000000004">
      <c r="A161" s="3">
        <v>160</v>
      </c>
      <c r="B161" s="4">
        <v>44825</v>
      </c>
      <c r="C161" s="4" t="str">
        <f>TEXT(Table1[[#This Row],[Date]],"YYYY")</f>
        <v>2022</v>
      </c>
      <c r="D161" s="4" t="str">
        <f>TEXT(Table1[[#This Row],[Date]],"MMM")</f>
        <v>Sep</v>
      </c>
      <c r="E161" s="5" t="s">
        <v>14</v>
      </c>
      <c r="F161" s="3" t="s">
        <v>15</v>
      </c>
      <c r="G161" s="3" t="s">
        <v>45</v>
      </c>
      <c r="H161" s="3" t="s">
        <v>43</v>
      </c>
      <c r="I161" s="3">
        <v>1</v>
      </c>
      <c r="J161" s="3">
        <v>2700</v>
      </c>
      <c r="K161" s="3">
        <v>3000</v>
      </c>
      <c r="L161" s="3">
        <v>10</v>
      </c>
      <c r="M161">
        <f>Table1[[#This Row],[Qty]]*Table1[[#This Row],[Sales Price]]</f>
        <v>30000</v>
      </c>
      <c r="N161">
        <f>Table1[[#This Row],[Qty]]*Table1[[#This Row],[Cost]]</f>
        <v>27000</v>
      </c>
      <c r="O161">
        <f>Table1[[#This Row],[Revenue]]-Table1[[#This Row],[Total Cost]]</f>
        <v>3000</v>
      </c>
    </row>
    <row r="162" spans="1:15" x14ac:dyDescent="0.55000000000000004">
      <c r="A162" s="3">
        <v>161</v>
      </c>
      <c r="B162" s="4">
        <v>44826</v>
      </c>
      <c r="C162" s="4" t="str">
        <f>TEXT(Table1[[#This Row],[Date]],"YYYY")</f>
        <v>2022</v>
      </c>
      <c r="D162" s="4" t="str">
        <f>TEXT(Table1[[#This Row],[Date]],"MMM")</f>
        <v>Sep</v>
      </c>
      <c r="E162" s="5" t="s">
        <v>31</v>
      </c>
      <c r="F162" s="3" t="s">
        <v>61</v>
      </c>
      <c r="G162" s="3" t="s">
        <v>47</v>
      </c>
      <c r="H162" s="3" t="s">
        <v>43</v>
      </c>
      <c r="I162" s="3">
        <v>1</v>
      </c>
      <c r="J162" s="3">
        <v>4050</v>
      </c>
      <c r="K162" s="3">
        <v>4500</v>
      </c>
      <c r="L162" s="3">
        <v>9</v>
      </c>
      <c r="M162">
        <f>Table1[[#This Row],[Qty]]*Table1[[#This Row],[Sales Price]]</f>
        <v>40500</v>
      </c>
      <c r="N162">
        <f>Table1[[#This Row],[Qty]]*Table1[[#This Row],[Cost]]</f>
        <v>36450</v>
      </c>
      <c r="O162">
        <f>Table1[[#This Row],[Revenue]]-Table1[[#This Row],[Total Cost]]</f>
        <v>4050</v>
      </c>
    </row>
    <row r="163" spans="1:15" x14ac:dyDescent="0.55000000000000004">
      <c r="A163" s="3">
        <v>162</v>
      </c>
      <c r="B163" s="4">
        <v>44827</v>
      </c>
      <c r="C163" s="4" t="str">
        <f>TEXT(Table1[[#This Row],[Date]],"YYYY")</f>
        <v>2022</v>
      </c>
      <c r="D163" s="4" t="str">
        <f>TEXT(Table1[[#This Row],[Date]],"MMM")</f>
        <v>Sep</v>
      </c>
      <c r="E163" s="5" t="s">
        <v>22</v>
      </c>
      <c r="F163" s="3" t="s">
        <v>18</v>
      </c>
      <c r="G163" s="3" t="s">
        <v>48</v>
      </c>
      <c r="H163" s="3" t="s">
        <v>43</v>
      </c>
      <c r="I163" s="3">
        <v>0</v>
      </c>
      <c r="J163" s="3">
        <v>53100</v>
      </c>
      <c r="K163" s="3">
        <v>59000</v>
      </c>
      <c r="L163" s="3">
        <v>27</v>
      </c>
      <c r="M163">
        <f>Table1[[#This Row],[Qty]]*Table1[[#This Row],[Sales Price]]</f>
        <v>1593000</v>
      </c>
      <c r="N163">
        <f>Table1[[#This Row],[Qty]]*Table1[[#This Row],[Cost]]</f>
        <v>1433700</v>
      </c>
      <c r="O163">
        <f>Table1[[#This Row],[Revenue]]-Table1[[#This Row],[Total Cost]]</f>
        <v>159300</v>
      </c>
    </row>
    <row r="164" spans="1:15" x14ac:dyDescent="0.55000000000000004">
      <c r="A164" s="3">
        <v>163</v>
      </c>
      <c r="B164" s="4">
        <v>44828</v>
      </c>
      <c r="C164" s="4" t="str">
        <f>TEXT(Table1[[#This Row],[Date]],"YYYY")</f>
        <v>2022</v>
      </c>
      <c r="D164" s="4" t="str">
        <f>TEXT(Table1[[#This Row],[Date]],"MMM")</f>
        <v>Sep</v>
      </c>
      <c r="E164" s="5" t="s">
        <v>39</v>
      </c>
      <c r="F164" s="3" t="s">
        <v>15</v>
      </c>
      <c r="G164" s="3" t="s">
        <v>48</v>
      </c>
      <c r="H164" s="3" t="s">
        <v>43</v>
      </c>
      <c r="I164" s="3">
        <v>1</v>
      </c>
      <c r="J164" s="3">
        <v>88200</v>
      </c>
      <c r="K164" s="3">
        <v>98000</v>
      </c>
      <c r="L164" s="3">
        <v>15</v>
      </c>
      <c r="M164">
        <f>Table1[[#This Row],[Qty]]*Table1[[#This Row],[Sales Price]]</f>
        <v>1470000</v>
      </c>
      <c r="N164">
        <f>Table1[[#This Row],[Qty]]*Table1[[#This Row],[Cost]]</f>
        <v>1323000</v>
      </c>
      <c r="O164">
        <f>Table1[[#This Row],[Revenue]]-Table1[[#This Row],[Total Cost]]</f>
        <v>147000</v>
      </c>
    </row>
    <row r="165" spans="1:15" x14ac:dyDescent="0.55000000000000004">
      <c r="A165" s="3">
        <v>164</v>
      </c>
      <c r="B165" s="4">
        <v>44829</v>
      </c>
      <c r="C165" s="4" t="str">
        <f>TEXT(Table1[[#This Row],[Date]],"YYYY")</f>
        <v>2022</v>
      </c>
      <c r="D165" s="4" t="str">
        <f>TEXT(Table1[[#This Row],[Date]],"MMM")</f>
        <v>Sep</v>
      </c>
      <c r="E165" s="5" t="s">
        <v>40</v>
      </c>
      <c r="F165" s="3" t="s">
        <v>61</v>
      </c>
      <c r="G165" s="3" t="s">
        <v>42</v>
      </c>
      <c r="H165" s="3" t="s">
        <v>43</v>
      </c>
      <c r="I165" s="3">
        <v>1</v>
      </c>
      <c r="J165" s="3">
        <v>38250</v>
      </c>
      <c r="K165" s="3">
        <v>42500</v>
      </c>
      <c r="L165" s="3">
        <v>3</v>
      </c>
      <c r="M165">
        <f>Table1[[#This Row],[Qty]]*Table1[[#This Row],[Sales Price]]</f>
        <v>127500</v>
      </c>
      <c r="N165">
        <f>Table1[[#This Row],[Qty]]*Table1[[#This Row],[Cost]]</f>
        <v>114750</v>
      </c>
      <c r="O165">
        <f>Table1[[#This Row],[Revenue]]-Table1[[#This Row],[Total Cost]]</f>
        <v>12750</v>
      </c>
    </row>
    <row r="166" spans="1:15" x14ac:dyDescent="0.55000000000000004">
      <c r="A166" s="3">
        <v>165</v>
      </c>
      <c r="B166" s="4">
        <v>44830</v>
      </c>
      <c r="C166" s="4" t="str">
        <f>TEXT(Table1[[#This Row],[Date]],"YYYY")</f>
        <v>2022</v>
      </c>
      <c r="D166" s="4" t="str">
        <f>TEXT(Table1[[#This Row],[Date]],"MMM")</f>
        <v>Sep</v>
      </c>
      <c r="E166" s="5" t="s">
        <v>35</v>
      </c>
      <c r="F166" s="3" t="s">
        <v>18</v>
      </c>
      <c r="G166" s="3" t="s">
        <v>16</v>
      </c>
      <c r="H166" s="3" t="s">
        <v>17</v>
      </c>
      <c r="I166" s="3">
        <v>1</v>
      </c>
      <c r="J166" s="3">
        <v>2700</v>
      </c>
      <c r="K166" s="3">
        <v>3000</v>
      </c>
      <c r="L166" s="3">
        <v>9</v>
      </c>
      <c r="M166">
        <f>Table1[[#This Row],[Qty]]*Table1[[#This Row],[Sales Price]]</f>
        <v>27000</v>
      </c>
      <c r="N166">
        <f>Table1[[#This Row],[Qty]]*Table1[[#This Row],[Cost]]</f>
        <v>24300</v>
      </c>
      <c r="O166">
        <f>Table1[[#This Row],[Revenue]]-Table1[[#This Row],[Total Cost]]</f>
        <v>2700</v>
      </c>
    </row>
    <row r="167" spans="1:15" x14ac:dyDescent="0.55000000000000004">
      <c r="A167" s="3">
        <v>166</v>
      </c>
      <c r="B167" s="4">
        <v>44831</v>
      </c>
      <c r="C167" s="4" t="str">
        <f>TEXT(Table1[[#This Row],[Date]],"YYYY")</f>
        <v>2022</v>
      </c>
      <c r="D167" s="4" t="str">
        <f>TEXT(Table1[[#This Row],[Date]],"MMM")</f>
        <v>Sep</v>
      </c>
      <c r="E167" s="5" t="s">
        <v>33</v>
      </c>
      <c r="F167" s="3" t="s">
        <v>15</v>
      </c>
      <c r="G167" s="3" t="s">
        <v>41</v>
      </c>
      <c r="H167" s="3" t="s">
        <v>28</v>
      </c>
      <c r="I167" s="3">
        <v>1</v>
      </c>
      <c r="J167" s="3">
        <v>23850</v>
      </c>
      <c r="K167" s="3">
        <v>26500</v>
      </c>
      <c r="L167" s="3">
        <v>22</v>
      </c>
      <c r="M167">
        <f>Table1[[#This Row],[Qty]]*Table1[[#This Row],[Sales Price]]</f>
        <v>583000</v>
      </c>
      <c r="N167">
        <f>Table1[[#This Row],[Qty]]*Table1[[#This Row],[Cost]]</f>
        <v>524700</v>
      </c>
      <c r="O167">
        <f>Table1[[#This Row],[Revenue]]-Table1[[#This Row],[Total Cost]]</f>
        <v>58300</v>
      </c>
    </row>
    <row r="168" spans="1:15" x14ac:dyDescent="0.55000000000000004">
      <c r="A168" s="3">
        <v>167</v>
      </c>
      <c r="B168" s="4">
        <v>44832</v>
      </c>
      <c r="C168" s="4" t="str">
        <f>TEXT(Table1[[#This Row],[Date]],"YYYY")</f>
        <v>2022</v>
      </c>
      <c r="D168" s="4" t="str">
        <f>TEXT(Table1[[#This Row],[Date]],"MMM")</f>
        <v>Sep</v>
      </c>
      <c r="E168" s="5" t="s">
        <v>39</v>
      </c>
      <c r="F168" s="3" t="s">
        <v>61</v>
      </c>
      <c r="G168" s="3" t="s">
        <v>27</v>
      </c>
      <c r="H168" s="3" t="s">
        <v>28</v>
      </c>
      <c r="I168" s="3"/>
      <c r="J168" s="3">
        <v>24750</v>
      </c>
      <c r="K168" s="3">
        <v>27500</v>
      </c>
      <c r="L168" s="3">
        <v>16</v>
      </c>
      <c r="M168">
        <f>Table1[[#This Row],[Qty]]*Table1[[#This Row],[Sales Price]]</f>
        <v>440000</v>
      </c>
      <c r="N168">
        <f>Table1[[#This Row],[Qty]]*Table1[[#This Row],[Cost]]</f>
        <v>396000</v>
      </c>
      <c r="O168">
        <f>Table1[[#This Row],[Revenue]]-Table1[[#This Row],[Total Cost]]</f>
        <v>44000</v>
      </c>
    </row>
    <row r="169" spans="1:15" x14ac:dyDescent="0.55000000000000004">
      <c r="A169" s="3">
        <v>168</v>
      </c>
      <c r="B169" s="4">
        <v>44833</v>
      </c>
      <c r="C169" s="4" t="str">
        <f>TEXT(Table1[[#This Row],[Date]],"YYYY")</f>
        <v>2022</v>
      </c>
      <c r="D169" s="4" t="str">
        <f>TEXT(Table1[[#This Row],[Date]],"MMM")</f>
        <v>Sep</v>
      </c>
      <c r="E169" s="5" t="s">
        <v>40</v>
      </c>
      <c r="F169" s="3" t="s">
        <v>18</v>
      </c>
      <c r="G169" s="3" t="s">
        <v>32</v>
      </c>
      <c r="H169" s="3" t="s">
        <v>28</v>
      </c>
      <c r="I169" s="3"/>
      <c r="J169" s="3">
        <v>44550</v>
      </c>
      <c r="K169" s="3">
        <v>49500</v>
      </c>
      <c r="L169" s="3">
        <v>6</v>
      </c>
      <c r="M169">
        <f>Table1[[#This Row],[Qty]]*Table1[[#This Row],[Sales Price]]</f>
        <v>297000</v>
      </c>
      <c r="N169">
        <f>Table1[[#This Row],[Qty]]*Table1[[#This Row],[Cost]]</f>
        <v>267300</v>
      </c>
      <c r="O169">
        <f>Table1[[#This Row],[Revenue]]-Table1[[#This Row],[Total Cost]]</f>
        <v>29700</v>
      </c>
    </row>
    <row r="170" spans="1:15" x14ac:dyDescent="0.55000000000000004">
      <c r="A170" s="3">
        <v>169</v>
      </c>
      <c r="B170" s="4">
        <v>44834</v>
      </c>
      <c r="C170" s="4" t="str">
        <f>TEXT(Table1[[#This Row],[Date]],"YYYY")</f>
        <v>2022</v>
      </c>
      <c r="D170" s="4" t="str">
        <f>TEXT(Table1[[#This Row],[Date]],"MMM")</f>
        <v>Sep</v>
      </c>
      <c r="E170" s="5" t="s">
        <v>40</v>
      </c>
      <c r="F170" s="3" t="s">
        <v>15</v>
      </c>
      <c r="G170" s="3" t="s">
        <v>42</v>
      </c>
      <c r="H170" s="3" t="s">
        <v>43</v>
      </c>
      <c r="I170" s="3">
        <v>1</v>
      </c>
      <c r="J170" s="3">
        <v>9000</v>
      </c>
      <c r="K170" s="3">
        <v>10000</v>
      </c>
      <c r="L170" s="3">
        <v>3</v>
      </c>
      <c r="M170">
        <f>Table1[[#This Row],[Qty]]*Table1[[#This Row],[Sales Price]]</f>
        <v>30000</v>
      </c>
      <c r="N170">
        <f>Table1[[#This Row],[Qty]]*Table1[[#This Row],[Cost]]</f>
        <v>27000</v>
      </c>
      <c r="O170">
        <f>Table1[[#This Row],[Revenue]]-Table1[[#This Row],[Total Cost]]</f>
        <v>3000</v>
      </c>
    </row>
    <row r="171" spans="1:15" x14ac:dyDescent="0.55000000000000004">
      <c r="A171" s="3">
        <v>170</v>
      </c>
      <c r="B171" s="4">
        <v>44835</v>
      </c>
      <c r="C171" s="4" t="str">
        <f>TEXT(Table1[[#This Row],[Date]],"YYYY")</f>
        <v>2022</v>
      </c>
      <c r="D171" s="4" t="str">
        <f>TEXT(Table1[[#This Row],[Date]],"MMM")</f>
        <v>Oct</v>
      </c>
      <c r="E171" s="5" t="s">
        <v>63</v>
      </c>
      <c r="F171" s="3" t="s">
        <v>61</v>
      </c>
      <c r="G171" s="3" t="s">
        <v>44</v>
      </c>
      <c r="H171" s="3" t="s">
        <v>43</v>
      </c>
      <c r="I171" s="3">
        <v>1</v>
      </c>
      <c r="J171" s="3">
        <v>8640</v>
      </c>
      <c r="K171" s="3">
        <v>9600</v>
      </c>
      <c r="L171" s="3">
        <v>5</v>
      </c>
      <c r="M171">
        <f>Table1[[#This Row],[Qty]]*Table1[[#This Row],[Sales Price]]</f>
        <v>48000</v>
      </c>
      <c r="N171">
        <f>Table1[[#This Row],[Qty]]*Table1[[#This Row],[Cost]]</f>
        <v>43200</v>
      </c>
      <c r="O171">
        <f>Table1[[#This Row],[Revenue]]-Table1[[#This Row],[Total Cost]]</f>
        <v>4800</v>
      </c>
    </row>
    <row r="172" spans="1:15" x14ac:dyDescent="0.55000000000000004">
      <c r="A172" s="3">
        <v>171</v>
      </c>
      <c r="B172" s="4">
        <v>44836</v>
      </c>
      <c r="C172" s="4" t="str">
        <f>TEXT(Table1[[#This Row],[Date]],"YYYY")</f>
        <v>2022</v>
      </c>
      <c r="D172" s="4" t="str">
        <f>TEXT(Table1[[#This Row],[Date]],"MMM")</f>
        <v>Oct</v>
      </c>
      <c r="E172" s="5" t="s">
        <v>35</v>
      </c>
      <c r="F172" s="3" t="s">
        <v>18</v>
      </c>
      <c r="G172" s="3" t="s">
        <v>45</v>
      </c>
      <c r="H172" s="3" t="s">
        <v>43</v>
      </c>
      <c r="I172" s="3">
        <v>1</v>
      </c>
      <c r="J172" s="3">
        <v>9000</v>
      </c>
      <c r="K172" s="3">
        <v>10000</v>
      </c>
      <c r="L172" s="3">
        <v>1</v>
      </c>
      <c r="M172">
        <f>Table1[[#This Row],[Qty]]*Table1[[#This Row],[Sales Price]]</f>
        <v>10000</v>
      </c>
      <c r="N172">
        <f>Table1[[#This Row],[Qty]]*Table1[[#This Row],[Cost]]</f>
        <v>9000</v>
      </c>
      <c r="O172">
        <f>Table1[[#This Row],[Revenue]]-Table1[[#This Row],[Total Cost]]</f>
        <v>1000</v>
      </c>
    </row>
    <row r="173" spans="1:15" x14ac:dyDescent="0.55000000000000004">
      <c r="A173" s="3">
        <v>172</v>
      </c>
      <c r="B173" s="4">
        <v>44837</v>
      </c>
      <c r="C173" s="4" t="str">
        <f>TEXT(Table1[[#This Row],[Date]],"YYYY")</f>
        <v>2022</v>
      </c>
      <c r="D173" s="4" t="str">
        <f>TEXT(Table1[[#This Row],[Date]],"MMM")</f>
        <v>Oct</v>
      </c>
      <c r="E173" s="5" t="s">
        <v>54</v>
      </c>
      <c r="F173" s="3" t="s">
        <v>15</v>
      </c>
      <c r="G173" s="3" t="s">
        <v>47</v>
      </c>
      <c r="H173" s="3" t="s">
        <v>43</v>
      </c>
      <c r="I173" s="3">
        <v>1</v>
      </c>
      <c r="J173" s="3">
        <v>3870</v>
      </c>
      <c r="K173" s="3">
        <v>4300</v>
      </c>
      <c r="L173" s="3">
        <v>5</v>
      </c>
      <c r="M173">
        <f>Table1[[#This Row],[Qty]]*Table1[[#This Row],[Sales Price]]</f>
        <v>21500</v>
      </c>
      <c r="N173">
        <f>Table1[[#This Row],[Qty]]*Table1[[#This Row],[Cost]]</f>
        <v>19350</v>
      </c>
      <c r="O173">
        <f>Table1[[#This Row],[Revenue]]-Table1[[#This Row],[Total Cost]]</f>
        <v>2150</v>
      </c>
    </row>
    <row r="174" spans="1:15" x14ac:dyDescent="0.55000000000000004">
      <c r="A174" s="3">
        <v>173</v>
      </c>
      <c r="B174" s="4">
        <v>44838</v>
      </c>
      <c r="C174" s="4" t="str">
        <f>TEXT(Table1[[#This Row],[Date]],"YYYY")</f>
        <v>2022</v>
      </c>
      <c r="D174" s="4" t="str">
        <f>TEXT(Table1[[#This Row],[Date]],"MMM")</f>
        <v>Oct</v>
      </c>
      <c r="E174" s="5" t="s">
        <v>56</v>
      </c>
      <c r="F174" s="3" t="s">
        <v>61</v>
      </c>
      <c r="G174" s="3" t="s">
        <v>48</v>
      </c>
      <c r="H174" s="3" t="s">
        <v>43</v>
      </c>
      <c r="I174" s="3">
        <v>1</v>
      </c>
      <c r="J174" s="3">
        <v>8640</v>
      </c>
      <c r="K174" s="3">
        <v>9600</v>
      </c>
      <c r="L174" s="3">
        <v>7</v>
      </c>
      <c r="M174">
        <f>Table1[[#This Row],[Qty]]*Table1[[#This Row],[Sales Price]]</f>
        <v>67200</v>
      </c>
      <c r="N174">
        <f>Table1[[#This Row],[Qty]]*Table1[[#This Row],[Cost]]</f>
        <v>60480</v>
      </c>
      <c r="O174">
        <f>Table1[[#This Row],[Revenue]]-Table1[[#This Row],[Total Cost]]</f>
        <v>6720</v>
      </c>
    </row>
    <row r="175" spans="1:15" x14ac:dyDescent="0.55000000000000004">
      <c r="A175" s="3">
        <v>174</v>
      </c>
      <c r="B175" s="4">
        <v>44839</v>
      </c>
      <c r="C175" s="4" t="str">
        <f>TEXT(Table1[[#This Row],[Date]],"YYYY")</f>
        <v>2022</v>
      </c>
      <c r="D175" s="4" t="str">
        <f>TEXT(Table1[[#This Row],[Date]],"MMM")</f>
        <v>Oct</v>
      </c>
      <c r="E175" s="5" t="s">
        <v>39</v>
      </c>
      <c r="F175" s="3" t="s">
        <v>18</v>
      </c>
      <c r="G175" s="3" t="s">
        <v>42</v>
      </c>
      <c r="H175" s="3" t="s">
        <v>43</v>
      </c>
      <c r="I175" s="3">
        <v>1</v>
      </c>
      <c r="J175" s="3">
        <v>8280</v>
      </c>
      <c r="K175" s="3">
        <v>9200</v>
      </c>
      <c r="L175" s="3">
        <v>4</v>
      </c>
      <c r="M175">
        <f>Table1[[#This Row],[Qty]]*Table1[[#This Row],[Sales Price]]</f>
        <v>36800</v>
      </c>
      <c r="N175">
        <f>Table1[[#This Row],[Qty]]*Table1[[#This Row],[Cost]]</f>
        <v>33120</v>
      </c>
      <c r="O175">
        <f>Table1[[#This Row],[Revenue]]-Table1[[#This Row],[Total Cost]]</f>
        <v>3680</v>
      </c>
    </row>
    <row r="176" spans="1:15" x14ac:dyDescent="0.55000000000000004">
      <c r="A176" s="3">
        <v>175</v>
      </c>
      <c r="B176" s="4">
        <v>44840</v>
      </c>
      <c r="C176" s="4" t="str">
        <f>TEXT(Table1[[#This Row],[Date]],"YYYY")</f>
        <v>2022</v>
      </c>
      <c r="D176" s="4" t="str">
        <f>TEXT(Table1[[#This Row],[Date]],"MMM")</f>
        <v>Oct</v>
      </c>
      <c r="E176" s="5" t="s">
        <v>24</v>
      </c>
      <c r="F176" s="3" t="s">
        <v>15</v>
      </c>
      <c r="G176" s="3" t="s">
        <v>44</v>
      </c>
      <c r="H176" s="3" t="s">
        <v>43</v>
      </c>
      <c r="I176" s="3"/>
      <c r="J176" s="3">
        <v>4950</v>
      </c>
      <c r="K176" s="3">
        <v>5500</v>
      </c>
      <c r="L176" s="3">
        <v>8</v>
      </c>
      <c r="M176">
        <f>Table1[[#This Row],[Qty]]*Table1[[#This Row],[Sales Price]]</f>
        <v>44000</v>
      </c>
      <c r="N176">
        <f>Table1[[#This Row],[Qty]]*Table1[[#This Row],[Cost]]</f>
        <v>39600</v>
      </c>
      <c r="O176">
        <f>Table1[[#This Row],[Revenue]]-Table1[[#This Row],[Total Cost]]</f>
        <v>4400</v>
      </c>
    </row>
    <row r="177" spans="1:15" x14ac:dyDescent="0.55000000000000004">
      <c r="A177" s="3">
        <v>176</v>
      </c>
      <c r="B177" s="4">
        <v>44841</v>
      </c>
      <c r="C177" s="4" t="str">
        <f>TEXT(Table1[[#This Row],[Date]],"YYYY")</f>
        <v>2022</v>
      </c>
      <c r="D177" s="4" t="str">
        <f>TEXT(Table1[[#This Row],[Date]],"MMM")</f>
        <v>Oct</v>
      </c>
      <c r="E177" s="5" t="s">
        <v>40</v>
      </c>
      <c r="F177" s="3" t="s">
        <v>61</v>
      </c>
      <c r="G177" s="3" t="s">
        <v>45</v>
      </c>
      <c r="H177" s="3" t="s">
        <v>43</v>
      </c>
      <c r="I177" s="3"/>
      <c r="J177" s="3">
        <v>3150</v>
      </c>
      <c r="K177" s="3">
        <v>3500</v>
      </c>
      <c r="L177" s="3">
        <v>8</v>
      </c>
      <c r="M177">
        <f>Table1[[#This Row],[Qty]]*Table1[[#This Row],[Sales Price]]</f>
        <v>28000</v>
      </c>
      <c r="N177">
        <f>Table1[[#This Row],[Qty]]*Table1[[#This Row],[Cost]]</f>
        <v>25200</v>
      </c>
      <c r="O177">
        <f>Table1[[#This Row],[Revenue]]-Table1[[#This Row],[Total Cost]]</f>
        <v>2800</v>
      </c>
    </row>
    <row r="178" spans="1:15" x14ac:dyDescent="0.55000000000000004">
      <c r="A178" s="3">
        <v>177</v>
      </c>
      <c r="B178" s="4">
        <v>44842</v>
      </c>
      <c r="C178" s="4" t="str">
        <f>TEXT(Table1[[#This Row],[Date]],"YYYY")</f>
        <v>2022</v>
      </c>
      <c r="D178" s="4" t="str">
        <f>TEXT(Table1[[#This Row],[Date]],"MMM")</f>
        <v>Oct</v>
      </c>
      <c r="E178" s="5" t="s">
        <v>14</v>
      </c>
      <c r="F178" s="3" t="s">
        <v>18</v>
      </c>
      <c r="G178" s="3" t="s">
        <v>47</v>
      </c>
      <c r="H178" s="3" t="s">
        <v>43</v>
      </c>
      <c r="I178" s="3"/>
      <c r="J178" s="3">
        <v>2700</v>
      </c>
      <c r="K178" s="3">
        <v>3000</v>
      </c>
      <c r="L178" s="3">
        <v>9</v>
      </c>
      <c r="M178">
        <f>Table1[[#This Row],[Qty]]*Table1[[#This Row],[Sales Price]]</f>
        <v>27000</v>
      </c>
      <c r="N178">
        <f>Table1[[#This Row],[Qty]]*Table1[[#This Row],[Cost]]</f>
        <v>24300</v>
      </c>
      <c r="O178">
        <f>Table1[[#This Row],[Revenue]]-Table1[[#This Row],[Total Cost]]</f>
        <v>2700</v>
      </c>
    </row>
    <row r="179" spans="1:15" x14ac:dyDescent="0.55000000000000004">
      <c r="A179" s="3">
        <v>178</v>
      </c>
      <c r="B179" s="4">
        <v>44843</v>
      </c>
      <c r="C179" s="4" t="str">
        <f>TEXT(Table1[[#This Row],[Date]],"YYYY")</f>
        <v>2022</v>
      </c>
      <c r="D179" s="4" t="str">
        <f>TEXT(Table1[[#This Row],[Date]],"MMM")</f>
        <v>Oct</v>
      </c>
      <c r="E179" s="5" t="s">
        <v>49</v>
      </c>
      <c r="F179" s="3" t="s">
        <v>15</v>
      </c>
      <c r="G179" s="3" t="s">
        <v>48</v>
      </c>
      <c r="H179" s="3" t="s">
        <v>43</v>
      </c>
      <c r="I179" s="3">
        <v>1</v>
      </c>
      <c r="J179" s="3">
        <v>4050</v>
      </c>
      <c r="K179" s="3">
        <v>4500</v>
      </c>
      <c r="L179" s="3">
        <v>2</v>
      </c>
      <c r="M179">
        <f>Table1[[#This Row],[Qty]]*Table1[[#This Row],[Sales Price]]</f>
        <v>9000</v>
      </c>
      <c r="N179">
        <f>Table1[[#This Row],[Qty]]*Table1[[#This Row],[Cost]]</f>
        <v>8100</v>
      </c>
      <c r="O179">
        <f>Table1[[#This Row],[Revenue]]-Table1[[#This Row],[Total Cost]]</f>
        <v>900</v>
      </c>
    </row>
    <row r="180" spans="1:15" x14ac:dyDescent="0.55000000000000004">
      <c r="A180" s="3">
        <v>179</v>
      </c>
      <c r="B180" s="4">
        <v>44844</v>
      </c>
      <c r="C180" s="4" t="str">
        <f>TEXT(Table1[[#This Row],[Date]],"YYYY")</f>
        <v>2022</v>
      </c>
      <c r="D180" s="4" t="str">
        <f>TEXT(Table1[[#This Row],[Date]],"MMM")</f>
        <v>Oct</v>
      </c>
      <c r="E180" s="5" t="s">
        <v>57</v>
      </c>
      <c r="F180" s="3" t="s">
        <v>61</v>
      </c>
      <c r="G180" s="3" t="s">
        <v>48</v>
      </c>
      <c r="H180" s="3" t="s">
        <v>43</v>
      </c>
      <c r="I180" s="3">
        <v>1</v>
      </c>
      <c r="J180" s="3">
        <v>53100</v>
      </c>
      <c r="K180" s="3">
        <v>59000</v>
      </c>
      <c r="L180" s="3">
        <v>1</v>
      </c>
      <c r="M180">
        <f>Table1[[#This Row],[Qty]]*Table1[[#This Row],[Sales Price]]</f>
        <v>59000</v>
      </c>
      <c r="N180">
        <f>Table1[[#This Row],[Qty]]*Table1[[#This Row],[Cost]]</f>
        <v>53100</v>
      </c>
      <c r="O180">
        <f>Table1[[#This Row],[Revenue]]-Table1[[#This Row],[Total Cost]]</f>
        <v>5900</v>
      </c>
    </row>
    <row r="181" spans="1:15" x14ac:dyDescent="0.55000000000000004">
      <c r="A181" s="3">
        <v>180</v>
      </c>
      <c r="B181" s="4">
        <v>44845</v>
      </c>
      <c r="C181" s="4" t="str">
        <f>TEXT(Table1[[#This Row],[Date]],"YYYY")</f>
        <v>2022</v>
      </c>
      <c r="D181" s="4" t="str">
        <f>TEXT(Table1[[#This Row],[Date]],"MMM")</f>
        <v>Oct</v>
      </c>
      <c r="E181" s="5" t="s">
        <v>33</v>
      </c>
      <c r="F181" s="3" t="s">
        <v>18</v>
      </c>
      <c r="G181" s="3" t="s">
        <v>42</v>
      </c>
      <c r="H181" s="3" t="s">
        <v>43</v>
      </c>
      <c r="I181" s="3">
        <v>1</v>
      </c>
      <c r="J181" s="3">
        <v>88200</v>
      </c>
      <c r="K181" s="3">
        <v>98000</v>
      </c>
      <c r="L181" s="3">
        <v>22</v>
      </c>
      <c r="M181">
        <f>Table1[[#This Row],[Qty]]*Table1[[#This Row],[Sales Price]]</f>
        <v>2156000</v>
      </c>
      <c r="N181">
        <f>Table1[[#This Row],[Qty]]*Table1[[#This Row],[Cost]]</f>
        <v>1940400</v>
      </c>
      <c r="O181">
        <f>Table1[[#This Row],[Revenue]]-Table1[[#This Row],[Total Cost]]</f>
        <v>215600</v>
      </c>
    </row>
    <row r="182" spans="1:15" x14ac:dyDescent="0.55000000000000004">
      <c r="A182" s="3">
        <v>181</v>
      </c>
      <c r="B182" s="4">
        <v>44846</v>
      </c>
      <c r="C182" s="4" t="str">
        <f>TEXT(Table1[[#This Row],[Date]],"YYYY")</f>
        <v>2022</v>
      </c>
      <c r="D182" s="4" t="str">
        <f>TEXT(Table1[[#This Row],[Date]],"MMM")</f>
        <v>Oct</v>
      </c>
      <c r="E182" s="5" t="s">
        <v>39</v>
      </c>
      <c r="F182" s="3" t="s">
        <v>15</v>
      </c>
      <c r="G182" s="3" t="s">
        <v>16</v>
      </c>
      <c r="H182" s="3" t="s">
        <v>17</v>
      </c>
      <c r="I182" s="3">
        <v>0</v>
      </c>
      <c r="J182" s="3">
        <v>38250</v>
      </c>
      <c r="K182" s="3">
        <v>42500</v>
      </c>
      <c r="L182" s="3">
        <v>8</v>
      </c>
      <c r="M182">
        <f>Table1[[#This Row],[Qty]]*Table1[[#This Row],[Sales Price]]</f>
        <v>340000</v>
      </c>
      <c r="N182">
        <f>Table1[[#This Row],[Qty]]*Table1[[#This Row],[Cost]]</f>
        <v>306000</v>
      </c>
      <c r="O182">
        <f>Table1[[#This Row],[Revenue]]-Table1[[#This Row],[Total Cost]]</f>
        <v>34000</v>
      </c>
    </row>
    <row r="183" spans="1:15" x14ac:dyDescent="0.55000000000000004">
      <c r="A183" s="3">
        <v>182</v>
      </c>
      <c r="B183" s="4">
        <v>44847</v>
      </c>
      <c r="C183" s="4" t="str">
        <f>TEXT(Table1[[#This Row],[Date]],"YYYY")</f>
        <v>2022</v>
      </c>
      <c r="D183" s="4" t="str">
        <f>TEXT(Table1[[#This Row],[Date]],"MMM")</f>
        <v>Oct</v>
      </c>
      <c r="E183" s="5" t="s">
        <v>52</v>
      </c>
      <c r="F183" s="3" t="s">
        <v>61</v>
      </c>
      <c r="G183" s="3" t="s">
        <v>19</v>
      </c>
      <c r="H183" s="3" t="s">
        <v>17</v>
      </c>
      <c r="I183" s="3">
        <v>0</v>
      </c>
      <c r="J183" s="3">
        <v>2700</v>
      </c>
      <c r="K183" s="3">
        <v>3000</v>
      </c>
      <c r="L183" s="3">
        <v>7</v>
      </c>
      <c r="M183">
        <f>Table1[[#This Row],[Qty]]*Table1[[#This Row],[Sales Price]]</f>
        <v>21000</v>
      </c>
      <c r="N183">
        <f>Table1[[#This Row],[Qty]]*Table1[[#This Row],[Cost]]</f>
        <v>18900</v>
      </c>
      <c r="O183">
        <f>Table1[[#This Row],[Revenue]]-Table1[[#This Row],[Total Cost]]</f>
        <v>2100</v>
      </c>
    </row>
    <row r="184" spans="1:15" x14ac:dyDescent="0.55000000000000004">
      <c r="A184" s="3">
        <v>183</v>
      </c>
      <c r="B184" s="4">
        <v>44848</v>
      </c>
      <c r="C184" s="4" t="str">
        <f>TEXT(Table1[[#This Row],[Date]],"YYYY")</f>
        <v>2022</v>
      </c>
      <c r="D184" s="4" t="str">
        <f>TEXT(Table1[[#This Row],[Date]],"MMM")</f>
        <v>Oct</v>
      </c>
      <c r="E184" s="5" t="s">
        <v>56</v>
      </c>
      <c r="F184" s="3" t="s">
        <v>18</v>
      </c>
      <c r="G184" s="3" t="s">
        <v>21</v>
      </c>
      <c r="H184" s="3" t="s">
        <v>17</v>
      </c>
      <c r="I184" s="3">
        <v>0</v>
      </c>
      <c r="J184" s="3">
        <v>23850</v>
      </c>
      <c r="K184" s="3">
        <v>26500</v>
      </c>
      <c r="L184" s="3">
        <v>56</v>
      </c>
      <c r="M184">
        <f>Table1[[#This Row],[Qty]]*Table1[[#This Row],[Sales Price]]</f>
        <v>1484000</v>
      </c>
      <c r="N184">
        <f>Table1[[#This Row],[Qty]]*Table1[[#This Row],[Cost]]</f>
        <v>1335600</v>
      </c>
      <c r="O184">
        <f>Table1[[#This Row],[Revenue]]-Table1[[#This Row],[Total Cost]]</f>
        <v>148400</v>
      </c>
    </row>
    <row r="185" spans="1:15" x14ac:dyDescent="0.55000000000000004">
      <c r="A185" s="3">
        <v>184</v>
      </c>
      <c r="B185" s="4">
        <v>44849</v>
      </c>
      <c r="C185" s="4" t="str">
        <f>TEXT(Table1[[#This Row],[Date]],"YYYY")</f>
        <v>2022</v>
      </c>
      <c r="D185" s="4" t="str">
        <f>TEXT(Table1[[#This Row],[Date]],"MMM")</f>
        <v>Oct</v>
      </c>
      <c r="E185" s="5" t="s">
        <v>22</v>
      </c>
      <c r="F185" s="3" t="s">
        <v>15</v>
      </c>
      <c r="G185" s="3" t="s">
        <v>23</v>
      </c>
      <c r="H185" s="3" t="s">
        <v>17</v>
      </c>
      <c r="I185" s="3">
        <v>1</v>
      </c>
      <c r="J185" s="3">
        <v>24750</v>
      </c>
      <c r="K185" s="3">
        <v>27500</v>
      </c>
      <c r="L185" s="3">
        <v>10</v>
      </c>
      <c r="M185">
        <f>Table1[[#This Row],[Qty]]*Table1[[#This Row],[Sales Price]]</f>
        <v>275000</v>
      </c>
      <c r="N185">
        <f>Table1[[#This Row],[Qty]]*Table1[[#This Row],[Cost]]</f>
        <v>247500</v>
      </c>
      <c r="O185">
        <f>Table1[[#This Row],[Revenue]]-Table1[[#This Row],[Total Cost]]</f>
        <v>27500</v>
      </c>
    </row>
    <row r="186" spans="1:15" x14ac:dyDescent="0.55000000000000004">
      <c r="A186" s="3">
        <v>185</v>
      </c>
      <c r="B186" s="4">
        <v>44850</v>
      </c>
      <c r="C186" s="4" t="str">
        <f>TEXT(Table1[[#This Row],[Date]],"YYYY")</f>
        <v>2022</v>
      </c>
      <c r="D186" s="4" t="str">
        <f>TEXT(Table1[[#This Row],[Date]],"MMM")</f>
        <v>Oct</v>
      </c>
      <c r="E186" s="5" t="s">
        <v>39</v>
      </c>
      <c r="F186" s="3" t="s">
        <v>61</v>
      </c>
      <c r="G186" s="3" t="s">
        <v>25</v>
      </c>
      <c r="H186" s="3" t="s">
        <v>17</v>
      </c>
      <c r="I186" s="3"/>
      <c r="J186" s="3">
        <v>44550</v>
      </c>
      <c r="K186" s="3">
        <v>49500</v>
      </c>
      <c r="L186" s="3">
        <v>9</v>
      </c>
      <c r="M186">
        <f>Table1[[#This Row],[Qty]]*Table1[[#This Row],[Sales Price]]</f>
        <v>445500</v>
      </c>
      <c r="N186">
        <f>Table1[[#This Row],[Qty]]*Table1[[#This Row],[Cost]]</f>
        <v>400950</v>
      </c>
      <c r="O186">
        <f>Table1[[#This Row],[Revenue]]-Table1[[#This Row],[Total Cost]]</f>
        <v>44550</v>
      </c>
    </row>
    <row r="187" spans="1:15" x14ac:dyDescent="0.55000000000000004">
      <c r="A187" s="3">
        <v>186</v>
      </c>
      <c r="B187" s="4">
        <v>44851</v>
      </c>
      <c r="C187" s="4" t="str">
        <f>TEXT(Table1[[#This Row],[Date]],"YYYY")</f>
        <v>2022</v>
      </c>
      <c r="D187" s="4" t="str">
        <f>TEXT(Table1[[#This Row],[Date]],"MMM")</f>
        <v>Oct</v>
      </c>
      <c r="E187" s="5" t="s">
        <v>22</v>
      </c>
      <c r="F187" s="3" t="s">
        <v>18</v>
      </c>
      <c r="G187" s="3" t="s">
        <v>26</v>
      </c>
      <c r="H187" s="3" t="s">
        <v>17</v>
      </c>
      <c r="I187" s="3"/>
      <c r="J187" s="3">
        <v>9000</v>
      </c>
      <c r="K187" s="3">
        <v>10000</v>
      </c>
      <c r="L187" s="3">
        <v>27</v>
      </c>
      <c r="M187">
        <f>Table1[[#This Row],[Qty]]*Table1[[#This Row],[Sales Price]]</f>
        <v>270000</v>
      </c>
      <c r="N187">
        <f>Table1[[#This Row],[Qty]]*Table1[[#This Row],[Cost]]</f>
        <v>243000</v>
      </c>
      <c r="O187">
        <f>Table1[[#This Row],[Revenue]]-Table1[[#This Row],[Total Cost]]</f>
        <v>27000</v>
      </c>
    </row>
    <row r="188" spans="1:15" x14ac:dyDescent="0.55000000000000004">
      <c r="A188" s="3">
        <v>187</v>
      </c>
      <c r="B188" s="4">
        <v>44852</v>
      </c>
      <c r="C188" s="4" t="str">
        <f>TEXT(Table1[[#This Row],[Date]],"YYYY")</f>
        <v>2022</v>
      </c>
      <c r="D188" s="4" t="str">
        <f>TEXT(Table1[[#This Row],[Date]],"MMM")</f>
        <v>Oct</v>
      </c>
      <c r="E188" s="5" t="s">
        <v>50</v>
      </c>
      <c r="F188" s="3" t="s">
        <v>15</v>
      </c>
      <c r="G188" s="3" t="s">
        <v>27</v>
      </c>
      <c r="H188" s="3" t="s">
        <v>28</v>
      </c>
      <c r="I188" s="3">
        <v>1</v>
      </c>
      <c r="J188" s="3">
        <v>8640</v>
      </c>
      <c r="K188" s="3">
        <v>9600</v>
      </c>
      <c r="L188" s="3">
        <v>15</v>
      </c>
      <c r="M188">
        <f>Table1[[#This Row],[Qty]]*Table1[[#This Row],[Sales Price]]</f>
        <v>144000</v>
      </c>
      <c r="N188">
        <f>Table1[[#This Row],[Qty]]*Table1[[#This Row],[Cost]]</f>
        <v>129600</v>
      </c>
      <c r="O188">
        <f>Table1[[#This Row],[Revenue]]-Table1[[#This Row],[Total Cost]]</f>
        <v>14400</v>
      </c>
    </row>
    <row r="189" spans="1:15" x14ac:dyDescent="0.55000000000000004">
      <c r="A189" s="3">
        <v>188</v>
      </c>
      <c r="B189" s="4">
        <v>44853</v>
      </c>
      <c r="C189" s="4" t="str">
        <f>TEXT(Table1[[#This Row],[Date]],"YYYY")</f>
        <v>2022</v>
      </c>
      <c r="D189" s="4" t="str">
        <f>TEXT(Table1[[#This Row],[Date]],"MMM")</f>
        <v>Oct</v>
      </c>
      <c r="E189" s="5" t="s">
        <v>46</v>
      </c>
      <c r="F189" s="3" t="s">
        <v>61</v>
      </c>
      <c r="G189" s="3" t="s">
        <v>30</v>
      </c>
      <c r="H189" s="3" t="s">
        <v>28</v>
      </c>
      <c r="I189" s="3">
        <v>1</v>
      </c>
      <c r="J189" s="3">
        <v>9000</v>
      </c>
      <c r="K189" s="3">
        <v>10000</v>
      </c>
      <c r="L189" s="3">
        <v>3</v>
      </c>
      <c r="M189">
        <f>Table1[[#This Row],[Qty]]*Table1[[#This Row],[Sales Price]]</f>
        <v>30000</v>
      </c>
      <c r="N189">
        <f>Table1[[#This Row],[Qty]]*Table1[[#This Row],[Cost]]</f>
        <v>27000</v>
      </c>
      <c r="O189">
        <f>Table1[[#This Row],[Revenue]]-Table1[[#This Row],[Total Cost]]</f>
        <v>3000</v>
      </c>
    </row>
    <row r="190" spans="1:15" x14ac:dyDescent="0.55000000000000004">
      <c r="A190" s="3">
        <v>189</v>
      </c>
      <c r="B190" s="4">
        <v>44854</v>
      </c>
      <c r="C190" s="4" t="str">
        <f>TEXT(Table1[[#This Row],[Date]],"YYYY")</f>
        <v>2022</v>
      </c>
      <c r="D190" s="4" t="str">
        <f>TEXT(Table1[[#This Row],[Date]],"MMM")</f>
        <v>Oct</v>
      </c>
      <c r="E190" s="5" t="s">
        <v>39</v>
      </c>
      <c r="F190" s="3" t="s">
        <v>18</v>
      </c>
      <c r="G190" s="3" t="s">
        <v>32</v>
      </c>
      <c r="H190" s="3" t="s">
        <v>28</v>
      </c>
      <c r="I190" s="3">
        <v>0</v>
      </c>
      <c r="J190" s="3">
        <v>3870</v>
      </c>
      <c r="K190" s="3">
        <v>4300</v>
      </c>
      <c r="L190" s="3">
        <v>9</v>
      </c>
      <c r="M190">
        <f>Table1[[#This Row],[Qty]]*Table1[[#This Row],[Sales Price]]</f>
        <v>38700</v>
      </c>
      <c r="N190">
        <f>Table1[[#This Row],[Qty]]*Table1[[#This Row],[Cost]]</f>
        <v>34830</v>
      </c>
      <c r="O190">
        <f>Table1[[#This Row],[Revenue]]-Table1[[#This Row],[Total Cost]]</f>
        <v>3870</v>
      </c>
    </row>
    <row r="191" spans="1:15" x14ac:dyDescent="0.55000000000000004">
      <c r="A191" s="3">
        <v>190</v>
      </c>
      <c r="B191" s="4">
        <v>44855</v>
      </c>
      <c r="C191" s="4" t="str">
        <f>TEXT(Table1[[#This Row],[Date]],"YYYY")</f>
        <v>2022</v>
      </c>
      <c r="D191" s="4" t="str">
        <f>TEXT(Table1[[#This Row],[Date]],"MMM")</f>
        <v>Oct</v>
      </c>
      <c r="E191" s="5" t="s">
        <v>14</v>
      </c>
      <c r="F191" s="3" t="s">
        <v>15</v>
      </c>
      <c r="G191" s="3" t="s">
        <v>34</v>
      </c>
      <c r="H191" s="3" t="s">
        <v>28</v>
      </c>
      <c r="I191" s="3">
        <v>1</v>
      </c>
      <c r="J191" s="3">
        <v>8280</v>
      </c>
      <c r="K191" s="3">
        <v>9200</v>
      </c>
      <c r="L191" s="3">
        <v>22</v>
      </c>
      <c r="M191">
        <f>Table1[[#This Row],[Qty]]*Table1[[#This Row],[Sales Price]]</f>
        <v>202400</v>
      </c>
      <c r="N191">
        <f>Table1[[#This Row],[Qty]]*Table1[[#This Row],[Cost]]</f>
        <v>182160</v>
      </c>
      <c r="O191">
        <f>Table1[[#This Row],[Revenue]]-Table1[[#This Row],[Total Cost]]</f>
        <v>20240</v>
      </c>
    </row>
    <row r="192" spans="1:15" x14ac:dyDescent="0.55000000000000004">
      <c r="A192" s="3">
        <v>191</v>
      </c>
      <c r="B192" s="4">
        <v>44856</v>
      </c>
      <c r="C192" s="4" t="str">
        <f>TEXT(Table1[[#This Row],[Date]],"YYYY")</f>
        <v>2022</v>
      </c>
      <c r="D192" s="4" t="str">
        <f>TEXT(Table1[[#This Row],[Date]],"MMM")</f>
        <v>Oct</v>
      </c>
      <c r="E192" s="5" t="s">
        <v>31</v>
      </c>
      <c r="F192" s="3" t="s">
        <v>61</v>
      </c>
      <c r="G192" s="3" t="s">
        <v>36</v>
      </c>
      <c r="H192" s="3" t="s">
        <v>17</v>
      </c>
      <c r="I192" s="3">
        <v>1</v>
      </c>
      <c r="J192" s="3">
        <v>4950</v>
      </c>
      <c r="K192" s="3">
        <v>5500</v>
      </c>
      <c r="L192" s="3">
        <v>16</v>
      </c>
      <c r="M192">
        <f>Table1[[#This Row],[Qty]]*Table1[[#This Row],[Sales Price]]</f>
        <v>88000</v>
      </c>
      <c r="N192">
        <f>Table1[[#This Row],[Qty]]*Table1[[#This Row],[Cost]]</f>
        <v>79200</v>
      </c>
      <c r="O192">
        <f>Table1[[#This Row],[Revenue]]-Table1[[#This Row],[Total Cost]]</f>
        <v>8800</v>
      </c>
    </row>
    <row r="193" spans="1:15" x14ac:dyDescent="0.55000000000000004">
      <c r="A193" s="3">
        <v>192</v>
      </c>
      <c r="B193" s="4">
        <v>44857</v>
      </c>
      <c r="C193" s="4" t="str">
        <f>TEXT(Table1[[#This Row],[Date]],"YYYY")</f>
        <v>2022</v>
      </c>
      <c r="D193" s="4" t="str">
        <f>TEXT(Table1[[#This Row],[Date]],"MMM")</f>
        <v>Oct</v>
      </c>
      <c r="E193" s="5" t="s">
        <v>40</v>
      </c>
      <c r="F193" s="3" t="s">
        <v>18</v>
      </c>
      <c r="G193" s="3" t="s">
        <v>37</v>
      </c>
      <c r="H193" s="3" t="s">
        <v>17</v>
      </c>
      <c r="I193" s="3">
        <v>1</v>
      </c>
      <c r="J193" s="3">
        <v>3150</v>
      </c>
      <c r="K193" s="3">
        <v>3500</v>
      </c>
      <c r="L193" s="3">
        <v>6</v>
      </c>
      <c r="M193">
        <f>Table1[[#This Row],[Qty]]*Table1[[#This Row],[Sales Price]]</f>
        <v>21000</v>
      </c>
      <c r="N193">
        <f>Table1[[#This Row],[Qty]]*Table1[[#This Row],[Cost]]</f>
        <v>18900</v>
      </c>
      <c r="O193">
        <f>Table1[[#This Row],[Revenue]]-Table1[[#This Row],[Total Cost]]</f>
        <v>2100</v>
      </c>
    </row>
    <row r="194" spans="1:15" x14ac:dyDescent="0.55000000000000004">
      <c r="A194" s="3">
        <v>193</v>
      </c>
      <c r="B194" s="4">
        <v>44858</v>
      </c>
      <c r="C194" s="4" t="str">
        <f>TEXT(Table1[[#This Row],[Date]],"YYYY")</f>
        <v>2022</v>
      </c>
      <c r="D194" s="4" t="str">
        <f>TEXT(Table1[[#This Row],[Date]],"MMM")</f>
        <v>Oct</v>
      </c>
      <c r="E194" s="5" t="s">
        <v>40</v>
      </c>
      <c r="F194" s="3" t="s">
        <v>15</v>
      </c>
      <c r="G194" s="3" t="s">
        <v>38</v>
      </c>
      <c r="H194" s="3" t="s">
        <v>17</v>
      </c>
      <c r="I194" s="3"/>
      <c r="J194" s="3">
        <v>2700</v>
      </c>
      <c r="K194" s="3">
        <v>3000</v>
      </c>
      <c r="L194" s="3">
        <v>3</v>
      </c>
      <c r="M194">
        <f>Table1[[#This Row],[Qty]]*Table1[[#This Row],[Sales Price]]</f>
        <v>9000</v>
      </c>
      <c r="N194">
        <f>Table1[[#This Row],[Qty]]*Table1[[#This Row],[Cost]]</f>
        <v>8100</v>
      </c>
      <c r="O194">
        <f>Table1[[#This Row],[Revenue]]-Table1[[#This Row],[Total Cost]]</f>
        <v>900</v>
      </c>
    </row>
    <row r="195" spans="1:15" x14ac:dyDescent="0.55000000000000004">
      <c r="A195" s="3">
        <v>194</v>
      </c>
      <c r="B195" s="4">
        <v>44859</v>
      </c>
      <c r="C195" s="4" t="str">
        <f>TEXT(Table1[[#This Row],[Date]],"YYYY")</f>
        <v>2022</v>
      </c>
      <c r="D195" s="4" t="str">
        <f>TEXT(Table1[[#This Row],[Date]],"MMM")</f>
        <v>Oct</v>
      </c>
      <c r="E195" s="5" t="s">
        <v>49</v>
      </c>
      <c r="F195" s="3" t="s">
        <v>61</v>
      </c>
      <c r="G195" s="3" t="s">
        <v>19</v>
      </c>
      <c r="H195" s="3" t="s">
        <v>17</v>
      </c>
      <c r="I195" s="3"/>
      <c r="J195" s="3">
        <v>4050</v>
      </c>
      <c r="K195" s="3">
        <v>4500</v>
      </c>
      <c r="L195" s="3">
        <v>5</v>
      </c>
      <c r="M195">
        <f>Table1[[#This Row],[Qty]]*Table1[[#This Row],[Sales Price]]</f>
        <v>22500</v>
      </c>
      <c r="N195">
        <f>Table1[[#This Row],[Qty]]*Table1[[#This Row],[Cost]]</f>
        <v>20250</v>
      </c>
      <c r="O195">
        <f>Table1[[#This Row],[Revenue]]-Table1[[#This Row],[Total Cost]]</f>
        <v>2250</v>
      </c>
    </row>
    <row r="196" spans="1:15" x14ac:dyDescent="0.55000000000000004">
      <c r="A196" s="3">
        <v>195</v>
      </c>
      <c r="B196" s="4">
        <v>44860</v>
      </c>
      <c r="C196" s="4" t="str">
        <f>TEXT(Table1[[#This Row],[Date]],"YYYY")</f>
        <v>2022</v>
      </c>
      <c r="D196" s="4" t="str">
        <f>TEXT(Table1[[#This Row],[Date]],"MMM")</f>
        <v>Oct</v>
      </c>
      <c r="E196" s="5" t="s">
        <v>39</v>
      </c>
      <c r="F196" s="3" t="s">
        <v>18</v>
      </c>
      <c r="G196" s="3" t="s">
        <v>21</v>
      </c>
      <c r="H196" s="3" t="s">
        <v>17</v>
      </c>
      <c r="I196" s="3"/>
      <c r="J196" s="3">
        <v>8280</v>
      </c>
      <c r="K196" s="3">
        <v>9200</v>
      </c>
      <c r="L196" s="3">
        <v>1</v>
      </c>
      <c r="M196">
        <f>Table1[[#This Row],[Qty]]*Table1[[#This Row],[Sales Price]]</f>
        <v>9200</v>
      </c>
      <c r="N196">
        <f>Table1[[#This Row],[Qty]]*Table1[[#This Row],[Cost]]</f>
        <v>8280</v>
      </c>
      <c r="O196">
        <f>Table1[[#This Row],[Revenue]]-Table1[[#This Row],[Total Cost]]</f>
        <v>920</v>
      </c>
    </row>
    <row r="197" spans="1:15" x14ac:dyDescent="0.55000000000000004">
      <c r="A197" s="3">
        <v>196</v>
      </c>
      <c r="B197" s="4">
        <v>44861</v>
      </c>
      <c r="C197" s="4" t="str">
        <f>TEXT(Table1[[#This Row],[Date]],"YYYY")</f>
        <v>2022</v>
      </c>
      <c r="D197" s="4" t="str">
        <f>TEXT(Table1[[#This Row],[Date]],"MMM")</f>
        <v>Oct</v>
      </c>
      <c r="E197" s="5" t="s">
        <v>53</v>
      </c>
      <c r="F197" s="3" t="s">
        <v>15</v>
      </c>
      <c r="G197" s="3" t="s">
        <v>23</v>
      </c>
      <c r="H197" s="3" t="s">
        <v>17</v>
      </c>
      <c r="I197" s="3">
        <v>1</v>
      </c>
      <c r="J197" s="3">
        <v>4950</v>
      </c>
      <c r="K197" s="3">
        <v>5500</v>
      </c>
      <c r="L197" s="3">
        <v>5</v>
      </c>
      <c r="M197">
        <f>Table1[[#This Row],[Qty]]*Table1[[#This Row],[Sales Price]]</f>
        <v>27500</v>
      </c>
      <c r="N197">
        <f>Table1[[#This Row],[Qty]]*Table1[[#This Row],[Cost]]</f>
        <v>24750</v>
      </c>
      <c r="O197">
        <f>Table1[[#This Row],[Revenue]]-Table1[[#This Row],[Total Cost]]</f>
        <v>2750</v>
      </c>
    </row>
    <row r="198" spans="1:15" x14ac:dyDescent="0.55000000000000004">
      <c r="A198" s="3">
        <v>197</v>
      </c>
      <c r="B198" s="4">
        <v>44862</v>
      </c>
      <c r="C198" s="4" t="str">
        <f>TEXT(Table1[[#This Row],[Date]],"YYYY")</f>
        <v>2022</v>
      </c>
      <c r="D198" s="4" t="str">
        <f>TEXT(Table1[[#This Row],[Date]],"MMM")</f>
        <v>Oct</v>
      </c>
      <c r="E198" s="5" t="s">
        <v>58</v>
      </c>
      <c r="F198" s="3" t="s">
        <v>61</v>
      </c>
      <c r="G198" s="3" t="s">
        <v>25</v>
      </c>
      <c r="H198" s="3" t="s">
        <v>17</v>
      </c>
      <c r="I198" s="3">
        <v>1</v>
      </c>
      <c r="J198" s="3">
        <v>3150</v>
      </c>
      <c r="K198" s="3">
        <v>3500</v>
      </c>
      <c r="L198" s="3">
        <v>7</v>
      </c>
      <c r="M198">
        <f>Table1[[#This Row],[Qty]]*Table1[[#This Row],[Sales Price]]</f>
        <v>24500</v>
      </c>
      <c r="N198">
        <f>Table1[[#This Row],[Qty]]*Table1[[#This Row],[Cost]]</f>
        <v>22050</v>
      </c>
      <c r="O198">
        <f>Table1[[#This Row],[Revenue]]-Table1[[#This Row],[Total Cost]]</f>
        <v>2450</v>
      </c>
    </row>
    <row r="199" spans="1:15" x14ac:dyDescent="0.55000000000000004">
      <c r="A199" s="3">
        <v>198</v>
      </c>
      <c r="B199" s="4">
        <v>44863</v>
      </c>
      <c r="C199" s="4" t="str">
        <f>TEXT(Table1[[#This Row],[Date]],"YYYY")</f>
        <v>2022</v>
      </c>
      <c r="D199" s="4" t="str">
        <f>TEXT(Table1[[#This Row],[Date]],"MMM")</f>
        <v>Oct</v>
      </c>
      <c r="E199" s="5" t="s">
        <v>39</v>
      </c>
      <c r="F199" s="3" t="s">
        <v>18</v>
      </c>
      <c r="G199" s="3" t="s">
        <v>26</v>
      </c>
      <c r="H199" s="3" t="s">
        <v>17</v>
      </c>
      <c r="I199" s="3">
        <v>1</v>
      </c>
      <c r="J199" s="3">
        <v>2700</v>
      </c>
      <c r="K199" s="3">
        <v>3000</v>
      </c>
      <c r="L199" s="3">
        <v>4</v>
      </c>
      <c r="M199">
        <f>Table1[[#This Row],[Qty]]*Table1[[#This Row],[Sales Price]]</f>
        <v>12000</v>
      </c>
      <c r="N199">
        <f>Table1[[#This Row],[Qty]]*Table1[[#This Row],[Cost]]</f>
        <v>10800</v>
      </c>
      <c r="O199">
        <f>Table1[[#This Row],[Revenue]]-Table1[[#This Row],[Total Cost]]</f>
        <v>1200</v>
      </c>
    </row>
    <row r="200" spans="1:15" x14ac:dyDescent="0.55000000000000004">
      <c r="A200" s="3">
        <v>199</v>
      </c>
      <c r="B200" s="4">
        <v>44864</v>
      </c>
      <c r="C200" s="4" t="str">
        <f>TEXT(Table1[[#This Row],[Date]],"YYYY")</f>
        <v>2022</v>
      </c>
      <c r="D200" s="4" t="str">
        <f>TEXT(Table1[[#This Row],[Date]],"MMM")</f>
        <v>Oct</v>
      </c>
      <c r="E200" s="5" t="s">
        <v>31</v>
      </c>
      <c r="F200" s="3" t="s">
        <v>15</v>
      </c>
      <c r="G200" s="3" t="s">
        <v>37</v>
      </c>
      <c r="H200" s="3" t="s">
        <v>17</v>
      </c>
      <c r="I200" s="3">
        <v>1</v>
      </c>
      <c r="J200" s="3">
        <v>4050</v>
      </c>
      <c r="K200" s="3">
        <v>4500</v>
      </c>
      <c r="L200" s="3">
        <v>8</v>
      </c>
      <c r="M200">
        <f>Table1[[#This Row],[Qty]]*Table1[[#This Row],[Sales Price]]</f>
        <v>36000</v>
      </c>
      <c r="N200">
        <f>Table1[[#This Row],[Qty]]*Table1[[#This Row],[Cost]]</f>
        <v>32400</v>
      </c>
      <c r="O200">
        <f>Table1[[#This Row],[Revenue]]-Table1[[#This Row],[Total Cost]]</f>
        <v>3600</v>
      </c>
    </row>
    <row r="201" spans="1:15" x14ac:dyDescent="0.55000000000000004">
      <c r="A201" s="3">
        <v>200</v>
      </c>
      <c r="B201" s="4">
        <v>44865</v>
      </c>
      <c r="C201" s="4" t="str">
        <f>TEXT(Table1[[#This Row],[Date]],"YYYY")</f>
        <v>2022</v>
      </c>
      <c r="D201" s="4" t="str">
        <f>TEXT(Table1[[#This Row],[Date]],"MMM")</f>
        <v>Oct</v>
      </c>
      <c r="E201" s="5" t="s">
        <v>22</v>
      </c>
      <c r="F201" s="3" t="s">
        <v>61</v>
      </c>
      <c r="G201" s="3" t="s">
        <v>41</v>
      </c>
      <c r="H201" s="3" t="s">
        <v>28</v>
      </c>
      <c r="I201" s="3">
        <v>1</v>
      </c>
      <c r="J201" s="3">
        <v>8280</v>
      </c>
      <c r="K201" s="3">
        <v>9200</v>
      </c>
      <c r="L201" s="3">
        <v>8</v>
      </c>
      <c r="M201">
        <f>Table1[[#This Row],[Qty]]*Table1[[#This Row],[Sales Price]]</f>
        <v>73600</v>
      </c>
      <c r="N201">
        <f>Table1[[#This Row],[Qty]]*Table1[[#This Row],[Cost]]</f>
        <v>66240</v>
      </c>
      <c r="O201">
        <f>Table1[[#This Row],[Revenue]]-Table1[[#This Row],[Total Cost]]</f>
        <v>7360</v>
      </c>
    </row>
    <row r="202" spans="1:15" x14ac:dyDescent="0.55000000000000004">
      <c r="A202" s="3">
        <v>201</v>
      </c>
      <c r="B202" s="4">
        <v>44866</v>
      </c>
      <c r="C202" s="4" t="str">
        <f>TEXT(Table1[[#This Row],[Date]],"YYYY")</f>
        <v>2022</v>
      </c>
      <c r="D202" s="4" t="str">
        <f>TEXT(Table1[[#This Row],[Date]],"MMM")</f>
        <v>Nov</v>
      </c>
      <c r="E202" s="5" t="s">
        <v>40</v>
      </c>
      <c r="F202" s="3" t="s">
        <v>18</v>
      </c>
      <c r="G202" s="3" t="s">
        <v>16</v>
      </c>
      <c r="H202" s="3" t="s">
        <v>17</v>
      </c>
      <c r="I202" s="3">
        <v>1</v>
      </c>
      <c r="J202" s="3">
        <v>4950</v>
      </c>
      <c r="K202" s="3">
        <v>5500</v>
      </c>
      <c r="L202" s="3">
        <v>9</v>
      </c>
      <c r="M202">
        <f>Table1[[#This Row],[Qty]]*Table1[[#This Row],[Sales Price]]</f>
        <v>49500</v>
      </c>
      <c r="N202">
        <f>Table1[[#This Row],[Qty]]*Table1[[#This Row],[Cost]]</f>
        <v>44550</v>
      </c>
      <c r="O202">
        <f>Table1[[#This Row],[Revenue]]-Table1[[#This Row],[Total Cost]]</f>
        <v>4950</v>
      </c>
    </row>
    <row r="203" spans="1:15" x14ac:dyDescent="0.55000000000000004">
      <c r="A203" s="3">
        <v>202</v>
      </c>
      <c r="B203" s="4">
        <v>44867</v>
      </c>
      <c r="C203" s="4" t="str">
        <f>TEXT(Table1[[#This Row],[Date]],"YYYY")</f>
        <v>2022</v>
      </c>
      <c r="D203" s="4" t="str">
        <f>TEXT(Table1[[#This Row],[Date]],"MMM")</f>
        <v>Nov</v>
      </c>
      <c r="E203" s="5" t="s">
        <v>33</v>
      </c>
      <c r="F203" s="3" t="s">
        <v>15</v>
      </c>
      <c r="G203" s="3" t="s">
        <v>19</v>
      </c>
      <c r="H203" s="3" t="s">
        <v>17</v>
      </c>
      <c r="I203" s="3">
        <v>1</v>
      </c>
      <c r="J203" s="3">
        <v>3150</v>
      </c>
      <c r="K203" s="3">
        <v>3500</v>
      </c>
      <c r="L203" s="3">
        <v>2</v>
      </c>
      <c r="M203">
        <f>Table1[[#This Row],[Qty]]*Table1[[#This Row],[Sales Price]]</f>
        <v>7000</v>
      </c>
      <c r="N203">
        <f>Table1[[#This Row],[Qty]]*Table1[[#This Row],[Cost]]</f>
        <v>6300</v>
      </c>
      <c r="O203">
        <f>Table1[[#This Row],[Revenue]]-Table1[[#This Row],[Total Cost]]</f>
        <v>700</v>
      </c>
    </row>
    <row r="204" spans="1:15" x14ac:dyDescent="0.55000000000000004">
      <c r="A204" s="3">
        <v>203</v>
      </c>
      <c r="B204" s="4">
        <v>44868</v>
      </c>
      <c r="C204" s="4" t="str">
        <f>TEXT(Table1[[#This Row],[Date]],"YYYY")</f>
        <v>2022</v>
      </c>
      <c r="D204" s="4" t="str">
        <f>TEXT(Table1[[#This Row],[Date]],"MMM")</f>
        <v>Nov</v>
      </c>
      <c r="E204" s="5" t="s">
        <v>33</v>
      </c>
      <c r="F204" s="3" t="s">
        <v>61</v>
      </c>
      <c r="G204" s="3" t="s">
        <v>21</v>
      </c>
      <c r="H204" s="3" t="s">
        <v>17</v>
      </c>
      <c r="I204" s="3"/>
      <c r="J204" s="3">
        <v>2700</v>
      </c>
      <c r="K204" s="3">
        <v>3000</v>
      </c>
      <c r="L204" s="3">
        <v>1</v>
      </c>
      <c r="M204">
        <f>Table1[[#This Row],[Qty]]*Table1[[#This Row],[Sales Price]]</f>
        <v>3000</v>
      </c>
      <c r="N204">
        <f>Table1[[#This Row],[Qty]]*Table1[[#This Row],[Cost]]</f>
        <v>2700</v>
      </c>
      <c r="O204">
        <f>Table1[[#This Row],[Revenue]]-Table1[[#This Row],[Total Cost]]</f>
        <v>300</v>
      </c>
    </row>
    <row r="205" spans="1:15" x14ac:dyDescent="0.55000000000000004">
      <c r="A205" s="3">
        <v>204</v>
      </c>
      <c r="B205" s="4">
        <v>44869</v>
      </c>
      <c r="C205" s="4" t="str">
        <f>TEXT(Table1[[#This Row],[Date]],"YYYY")</f>
        <v>2022</v>
      </c>
      <c r="D205" s="4" t="str">
        <f>TEXT(Table1[[#This Row],[Date]],"MMM")</f>
        <v>Nov</v>
      </c>
      <c r="E205" s="5" t="s">
        <v>39</v>
      </c>
      <c r="F205" s="3" t="s">
        <v>18</v>
      </c>
      <c r="G205" s="3" t="s">
        <v>23</v>
      </c>
      <c r="H205" s="3" t="s">
        <v>17</v>
      </c>
      <c r="I205" s="3"/>
      <c r="J205" s="3">
        <v>4050</v>
      </c>
      <c r="K205" s="3">
        <v>4500</v>
      </c>
      <c r="L205" s="3">
        <v>22</v>
      </c>
      <c r="M205">
        <f>Table1[[#This Row],[Qty]]*Table1[[#This Row],[Sales Price]]</f>
        <v>99000</v>
      </c>
      <c r="N205">
        <f>Table1[[#This Row],[Qty]]*Table1[[#This Row],[Cost]]</f>
        <v>89100</v>
      </c>
      <c r="O205">
        <f>Table1[[#This Row],[Revenue]]-Table1[[#This Row],[Total Cost]]</f>
        <v>9900</v>
      </c>
    </row>
    <row r="206" spans="1:15" x14ac:dyDescent="0.55000000000000004">
      <c r="A206" s="3">
        <v>205</v>
      </c>
      <c r="B206" s="4">
        <v>44870</v>
      </c>
      <c r="C206" s="4" t="str">
        <f>TEXT(Table1[[#This Row],[Date]],"YYYY")</f>
        <v>2022</v>
      </c>
      <c r="D206" s="4" t="str">
        <f>TEXT(Table1[[#This Row],[Date]],"MMM")</f>
        <v>Nov</v>
      </c>
      <c r="E206" s="5" t="s">
        <v>22</v>
      </c>
      <c r="F206" s="3" t="s">
        <v>15</v>
      </c>
      <c r="G206" s="3" t="s">
        <v>25</v>
      </c>
      <c r="H206" s="3" t="s">
        <v>17</v>
      </c>
      <c r="I206" s="3">
        <v>1</v>
      </c>
      <c r="J206" s="3">
        <v>8280</v>
      </c>
      <c r="K206" s="3">
        <v>9200</v>
      </c>
      <c r="L206" s="3">
        <v>8</v>
      </c>
      <c r="M206">
        <f>Table1[[#This Row],[Qty]]*Table1[[#This Row],[Sales Price]]</f>
        <v>73600</v>
      </c>
      <c r="N206">
        <f>Table1[[#This Row],[Qty]]*Table1[[#This Row],[Cost]]</f>
        <v>66240</v>
      </c>
      <c r="O206">
        <f>Table1[[#This Row],[Revenue]]-Table1[[#This Row],[Total Cost]]</f>
        <v>7360</v>
      </c>
    </row>
    <row r="207" spans="1:15" x14ac:dyDescent="0.55000000000000004">
      <c r="A207" s="3">
        <v>206</v>
      </c>
      <c r="B207" s="4">
        <v>44871</v>
      </c>
      <c r="C207" s="4" t="str">
        <f>TEXT(Table1[[#This Row],[Date]],"YYYY")</f>
        <v>2022</v>
      </c>
      <c r="D207" s="4" t="str">
        <f>TEXT(Table1[[#This Row],[Date]],"MMM")</f>
        <v>Nov</v>
      </c>
      <c r="E207" s="5" t="s">
        <v>40</v>
      </c>
      <c r="F207" s="3" t="s">
        <v>61</v>
      </c>
      <c r="G207" s="3" t="s">
        <v>26</v>
      </c>
      <c r="H207" s="3" t="s">
        <v>17</v>
      </c>
      <c r="I207" s="3">
        <v>1</v>
      </c>
      <c r="J207" s="3">
        <v>4950</v>
      </c>
      <c r="K207" s="3">
        <v>5500</v>
      </c>
      <c r="L207" s="3">
        <v>7</v>
      </c>
      <c r="M207">
        <f>Table1[[#This Row],[Qty]]*Table1[[#This Row],[Sales Price]]</f>
        <v>38500</v>
      </c>
      <c r="N207">
        <f>Table1[[#This Row],[Qty]]*Table1[[#This Row],[Cost]]</f>
        <v>34650</v>
      </c>
      <c r="O207">
        <f>Table1[[#This Row],[Revenue]]-Table1[[#This Row],[Total Cost]]</f>
        <v>3850</v>
      </c>
    </row>
    <row r="208" spans="1:15" x14ac:dyDescent="0.55000000000000004">
      <c r="A208" s="3">
        <v>207</v>
      </c>
      <c r="B208" s="4">
        <v>44872</v>
      </c>
      <c r="C208" s="4" t="str">
        <f>TEXT(Table1[[#This Row],[Date]],"YYYY")</f>
        <v>2022</v>
      </c>
      <c r="D208" s="4" t="str">
        <f>TEXT(Table1[[#This Row],[Date]],"MMM")</f>
        <v>Nov</v>
      </c>
      <c r="E208" s="5" t="s">
        <v>49</v>
      </c>
      <c r="F208" s="3" t="s">
        <v>18</v>
      </c>
      <c r="G208" s="3" t="s">
        <v>27</v>
      </c>
      <c r="H208" s="3" t="s">
        <v>28</v>
      </c>
      <c r="I208" s="3">
        <v>1</v>
      </c>
      <c r="J208" s="3">
        <v>3150</v>
      </c>
      <c r="K208" s="3">
        <v>3500</v>
      </c>
      <c r="L208" s="3">
        <v>56</v>
      </c>
      <c r="M208">
        <f>Table1[[#This Row],[Qty]]*Table1[[#This Row],[Sales Price]]</f>
        <v>196000</v>
      </c>
      <c r="N208">
        <f>Table1[[#This Row],[Qty]]*Table1[[#This Row],[Cost]]</f>
        <v>176400</v>
      </c>
      <c r="O208">
        <f>Table1[[#This Row],[Revenue]]-Table1[[#This Row],[Total Cost]]</f>
        <v>19600</v>
      </c>
    </row>
    <row r="209" spans="1:15" x14ac:dyDescent="0.55000000000000004">
      <c r="A209" s="3">
        <v>208</v>
      </c>
      <c r="B209" s="4">
        <v>44873</v>
      </c>
      <c r="C209" s="4" t="str">
        <f>TEXT(Table1[[#This Row],[Date]],"YYYY")</f>
        <v>2022</v>
      </c>
      <c r="D209" s="4" t="str">
        <f>TEXT(Table1[[#This Row],[Date]],"MMM")</f>
        <v>Nov</v>
      </c>
      <c r="E209" s="5" t="s">
        <v>22</v>
      </c>
      <c r="F209" s="3" t="s">
        <v>15</v>
      </c>
      <c r="G209" s="3" t="s">
        <v>30</v>
      </c>
      <c r="H209" s="3" t="s">
        <v>28</v>
      </c>
      <c r="I209" s="3">
        <v>1</v>
      </c>
      <c r="J209" s="3">
        <v>2700</v>
      </c>
      <c r="K209" s="3">
        <v>3000</v>
      </c>
      <c r="L209" s="3">
        <v>10</v>
      </c>
      <c r="M209">
        <f>Table1[[#This Row],[Qty]]*Table1[[#This Row],[Sales Price]]</f>
        <v>30000</v>
      </c>
      <c r="N209">
        <f>Table1[[#This Row],[Qty]]*Table1[[#This Row],[Cost]]</f>
        <v>27000</v>
      </c>
      <c r="O209">
        <f>Table1[[#This Row],[Revenue]]-Table1[[#This Row],[Total Cost]]</f>
        <v>3000</v>
      </c>
    </row>
    <row r="210" spans="1:15" x14ac:dyDescent="0.55000000000000004">
      <c r="A210" s="3">
        <v>209</v>
      </c>
      <c r="B210" s="4">
        <v>44874</v>
      </c>
      <c r="C210" s="4" t="str">
        <f>TEXT(Table1[[#This Row],[Date]],"YYYY")</f>
        <v>2022</v>
      </c>
      <c r="D210" s="4" t="str">
        <f>TEXT(Table1[[#This Row],[Date]],"MMM")</f>
        <v>Nov</v>
      </c>
      <c r="E210" s="5" t="s">
        <v>39</v>
      </c>
      <c r="F210" s="3" t="s">
        <v>61</v>
      </c>
      <c r="G210" s="3" t="s">
        <v>32</v>
      </c>
      <c r="H210" s="3" t="s">
        <v>28</v>
      </c>
      <c r="I210" s="3">
        <v>1</v>
      </c>
      <c r="J210" s="3">
        <v>4050</v>
      </c>
      <c r="K210" s="3">
        <v>4500</v>
      </c>
      <c r="L210" s="3">
        <v>9</v>
      </c>
      <c r="M210">
        <f>Table1[[#This Row],[Qty]]*Table1[[#This Row],[Sales Price]]</f>
        <v>40500</v>
      </c>
      <c r="N210">
        <f>Table1[[#This Row],[Qty]]*Table1[[#This Row],[Cost]]</f>
        <v>36450</v>
      </c>
      <c r="O210">
        <f>Table1[[#This Row],[Revenue]]-Table1[[#This Row],[Total Cost]]</f>
        <v>4050</v>
      </c>
    </row>
    <row r="211" spans="1:15" x14ac:dyDescent="0.55000000000000004">
      <c r="A211" s="3">
        <v>210</v>
      </c>
      <c r="B211" s="4">
        <v>44875</v>
      </c>
      <c r="C211" s="4" t="str">
        <f>TEXT(Table1[[#This Row],[Date]],"YYYY")</f>
        <v>2022</v>
      </c>
      <c r="D211" s="4" t="str">
        <f>TEXT(Table1[[#This Row],[Date]],"MMM")</f>
        <v>Nov</v>
      </c>
      <c r="E211" s="5" t="s">
        <v>58</v>
      </c>
      <c r="F211" s="3" t="s">
        <v>18</v>
      </c>
      <c r="G211" s="3" t="s">
        <v>34</v>
      </c>
      <c r="H211" s="3" t="s">
        <v>28</v>
      </c>
      <c r="I211" s="3">
        <v>1</v>
      </c>
      <c r="J211" s="3">
        <v>24750</v>
      </c>
      <c r="K211" s="3">
        <v>27500</v>
      </c>
      <c r="L211" s="3">
        <v>27</v>
      </c>
      <c r="M211">
        <f>Table1[[#This Row],[Qty]]*Table1[[#This Row],[Sales Price]]</f>
        <v>742500</v>
      </c>
      <c r="N211">
        <f>Table1[[#This Row],[Qty]]*Table1[[#This Row],[Cost]]</f>
        <v>668250</v>
      </c>
      <c r="O211">
        <f>Table1[[#This Row],[Revenue]]-Table1[[#This Row],[Total Cost]]</f>
        <v>74250</v>
      </c>
    </row>
    <row r="212" spans="1:15" x14ac:dyDescent="0.55000000000000004">
      <c r="A212" s="3">
        <v>211</v>
      </c>
      <c r="B212" s="4">
        <v>44876</v>
      </c>
      <c r="C212" s="4" t="str">
        <f>TEXT(Table1[[#This Row],[Date]],"YYYY")</f>
        <v>2022</v>
      </c>
      <c r="D212" s="4" t="str">
        <f>TEXT(Table1[[#This Row],[Date]],"MMM")</f>
        <v>Nov</v>
      </c>
      <c r="E212" s="5" t="s">
        <v>31</v>
      </c>
      <c r="F212" s="3" t="s">
        <v>15</v>
      </c>
      <c r="G212" s="3" t="s">
        <v>36</v>
      </c>
      <c r="H212" s="3" t="s">
        <v>17</v>
      </c>
      <c r="I212" s="3"/>
      <c r="J212" s="3">
        <v>44550</v>
      </c>
      <c r="K212" s="3">
        <v>49500</v>
      </c>
      <c r="L212" s="3">
        <v>15</v>
      </c>
      <c r="M212">
        <f>Table1[[#This Row],[Qty]]*Table1[[#This Row],[Sales Price]]</f>
        <v>742500</v>
      </c>
      <c r="N212">
        <f>Table1[[#This Row],[Qty]]*Table1[[#This Row],[Cost]]</f>
        <v>668250</v>
      </c>
      <c r="O212">
        <f>Table1[[#This Row],[Revenue]]-Table1[[#This Row],[Total Cost]]</f>
        <v>74250</v>
      </c>
    </row>
    <row r="213" spans="1:15" x14ac:dyDescent="0.55000000000000004">
      <c r="A213" s="3">
        <v>212</v>
      </c>
      <c r="B213" s="4">
        <v>44877</v>
      </c>
      <c r="C213" s="4" t="str">
        <f>TEXT(Table1[[#This Row],[Date]],"YYYY")</f>
        <v>2022</v>
      </c>
      <c r="D213" s="4" t="str">
        <f>TEXT(Table1[[#This Row],[Date]],"MMM")</f>
        <v>Nov</v>
      </c>
      <c r="E213" s="5" t="s">
        <v>50</v>
      </c>
      <c r="F213" s="3" t="s">
        <v>61</v>
      </c>
      <c r="G213" s="3" t="s">
        <v>37</v>
      </c>
      <c r="H213" s="3" t="s">
        <v>17</v>
      </c>
      <c r="I213" s="3"/>
      <c r="J213" s="3">
        <v>9000</v>
      </c>
      <c r="K213" s="3">
        <v>10000</v>
      </c>
      <c r="L213" s="3">
        <v>3</v>
      </c>
      <c r="M213">
        <f>Table1[[#This Row],[Qty]]*Table1[[#This Row],[Sales Price]]</f>
        <v>30000</v>
      </c>
      <c r="N213">
        <f>Table1[[#This Row],[Qty]]*Table1[[#This Row],[Cost]]</f>
        <v>27000</v>
      </c>
      <c r="O213">
        <f>Table1[[#This Row],[Revenue]]-Table1[[#This Row],[Total Cost]]</f>
        <v>3000</v>
      </c>
    </row>
    <row r="214" spans="1:15" x14ac:dyDescent="0.55000000000000004">
      <c r="A214" s="3">
        <v>213</v>
      </c>
      <c r="B214" s="4">
        <v>44878</v>
      </c>
      <c r="C214" s="4" t="str">
        <f>TEXT(Table1[[#This Row],[Date]],"YYYY")</f>
        <v>2022</v>
      </c>
      <c r="D214" s="4" t="str">
        <f>TEXT(Table1[[#This Row],[Date]],"MMM")</f>
        <v>Nov</v>
      </c>
      <c r="E214" s="5" t="s">
        <v>54</v>
      </c>
      <c r="F214" s="3" t="s">
        <v>18</v>
      </c>
      <c r="G214" s="3" t="s">
        <v>38</v>
      </c>
      <c r="H214" s="3" t="s">
        <v>17</v>
      </c>
      <c r="I214" s="3">
        <v>1</v>
      </c>
      <c r="J214" s="3">
        <v>8640</v>
      </c>
      <c r="K214" s="3">
        <v>9600</v>
      </c>
      <c r="L214" s="3">
        <v>9</v>
      </c>
      <c r="M214">
        <f>Table1[[#This Row],[Qty]]*Table1[[#This Row],[Sales Price]]</f>
        <v>86400</v>
      </c>
      <c r="N214">
        <f>Table1[[#This Row],[Qty]]*Table1[[#This Row],[Cost]]</f>
        <v>77760</v>
      </c>
      <c r="O214">
        <f>Table1[[#This Row],[Revenue]]-Table1[[#This Row],[Total Cost]]</f>
        <v>8640</v>
      </c>
    </row>
    <row r="215" spans="1:15" x14ac:dyDescent="0.55000000000000004">
      <c r="A215" s="3">
        <v>214</v>
      </c>
      <c r="B215" s="4">
        <v>44879</v>
      </c>
      <c r="C215" s="4" t="str">
        <f>TEXT(Table1[[#This Row],[Date]],"YYYY")</f>
        <v>2022</v>
      </c>
      <c r="D215" s="4" t="str">
        <f>TEXT(Table1[[#This Row],[Date]],"MMM")</f>
        <v>Nov</v>
      </c>
      <c r="E215" s="5" t="s">
        <v>33</v>
      </c>
      <c r="F215" s="3" t="s">
        <v>15</v>
      </c>
      <c r="G215" s="3" t="s">
        <v>19</v>
      </c>
      <c r="H215" s="3" t="s">
        <v>17</v>
      </c>
      <c r="I215" s="3">
        <v>0</v>
      </c>
      <c r="J215" s="3">
        <v>9000</v>
      </c>
      <c r="K215" s="3">
        <v>10000</v>
      </c>
      <c r="L215" s="3">
        <v>22</v>
      </c>
      <c r="M215">
        <f>Table1[[#This Row],[Qty]]*Table1[[#This Row],[Sales Price]]</f>
        <v>220000</v>
      </c>
      <c r="N215">
        <f>Table1[[#This Row],[Qty]]*Table1[[#This Row],[Cost]]</f>
        <v>198000</v>
      </c>
      <c r="O215">
        <f>Table1[[#This Row],[Revenue]]-Table1[[#This Row],[Total Cost]]</f>
        <v>22000</v>
      </c>
    </row>
    <row r="216" spans="1:15" x14ac:dyDescent="0.55000000000000004">
      <c r="A216" s="3">
        <v>215</v>
      </c>
      <c r="B216" s="4">
        <v>44880</v>
      </c>
      <c r="C216" s="4" t="str">
        <f>TEXT(Table1[[#This Row],[Date]],"YYYY")</f>
        <v>2022</v>
      </c>
      <c r="D216" s="4" t="str">
        <f>TEXT(Table1[[#This Row],[Date]],"MMM")</f>
        <v>Nov</v>
      </c>
      <c r="E216" s="5" t="s">
        <v>22</v>
      </c>
      <c r="F216" s="3" t="s">
        <v>61</v>
      </c>
      <c r="G216" s="3" t="s">
        <v>21</v>
      </c>
      <c r="H216" s="3" t="s">
        <v>17</v>
      </c>
      <c r="I216" s="3">
        <v>1</v>
      </c>
      <c r="J216" s="3">
        <v>3870</v>
      </c>
      <c r="K216" s="3">
        <v>4300</v>
      </c>
      <c r="L216" s="3">
        <v>16</v>
      </c>
      <c r="M216">
        <f>Table1[[#This Row],[Qty]]*Table1[[#This Row],[Sales Price]]</f>
        <v>68800</v>
      </c>
      <c r="N216">
        <f>Table1[[#This Row],[Qty]]*Table1[[#This Row],[Cost]]</f>
        <v>61920</v>
      </c>
      <c r="O216">
        <f>Table1[[#This Row],[Revenue]]-Table1[[#This Row],[Total Cost]]</f>
        <v>6880</v>
      </c>
    </row>
    <row r="217" spans="1:15" x14ac:dyDescent="0.55000000000000004">
      <c r="A217" s="3">
        <v>216</v>
      </c>
      <c r="B217" s="4">
        <v>44881</v>
      </c>
      <c r="C217" s="4" t="str">
        <f>TEXT(Table1[[#This Row],[Date]],"YYYY")</f>
        <v>2022</v>
      </c>
      <c r="D217" s="4" t="str">
        <f>TEXT(Table1[[#This Row],[Date]],"MMM")</f>
        <v>Nov</v>
      </c>
      <c r="E217" s="5" t="s">
        <v>63</v>
      </c>
      <c r="F217" s="3" t="s">
        <v>18</v>
      </c>
      <c r="G217" s="3" t="s">
        <v>23</v>
      </c>
      <c r="H217" s="3" t="s">
        <v>17</v>
      </c>
      <c r="I217" s="3">
        <v>1</v>
      </c>
      <c r="J217" s="3">
        <v>45450</v>
      </c>
      <c r="K217" s="3">
        <v>50500</v>
      </c>
      <c r="L217" s="3">
        <v>6</v>
      </c>
      <c r="M217">
        <f>Table1[[#This Row],[Qty]]*Table1[[#This Row],[Sales Price]]</f>
        <v>303000</v>
      </c>
      <c r="N217">
        <f>Table1[[#This Row],[Qty]]*Table1[[#This Row],[Cost]]</f>
        <v>272700</v>
      </c>
      <c r="O217">
        <f>Table1[[#This Row],[Revenue]]-Table1[[#This Row],[Total Cost]]</f>
        <v>30300</v>
      </c>
    </row>
    <row r="218" spans="1:15" x14ac:dyDescent="0.55000000000000004">
      <c r="A218" s="3">
        <v>217</v>
      </c>
      <c r="B218" s="4">
        <v>44882</v>
      </c>
      <c r="C218" s="4" t="str">
        <f>TEXT(Table1[[#This Row],[Date]],"YYYY")</f>
        <v>2022</v>
      </c>
      <c r="D218" s="4" t="str">
        <f>TEXT(Table1[[#This Row],[Date]],"MMM")</f>
        <v>Nov</v>
      </c>
      <c r="E218" s="5" t="s">
        <v>31</v>
      </c>
      <c r="F218" s="3" t="s">
        <v>15</v>
      </c>
      <c r="G218" s="3" t="s">
        <v>25</v>
      </c>
      <c r="H218" s="3" t="s">
        <v>17</v>
      </c>
      <c r="I218" s="3">
        <v>1</v>
      </c>
      <c r="J218" s="3">
        <v>18225</v>
      </c>
      <c r="K218" s="3">
        <v>20250</v>
      </c>
      <c r="L218" s="3">
        <v>3</v>
      </c>
      <c r="M218">
        <f>Table1[[#This Row],[Qty]]*Table1[[#This Row],[Sales Price]]</f>
        <v>60750</v>
      </c>
      <c r="N218">
        <f>Table1[[#This Row],[Qty]]*Table1[[#This Row],[Cost]]</f>
        <v>54675</v>
      </c>
      <c r="O218">
        <f>Table1[[#This Row],[Revenue]]-Table1[[#This Row],[Total Cost]]</f>
        <v>6075</v>
      </c>
    </row>
    <row r="219" spans="1:15" x14ac:dyDescent="0.55000000000000004">
      <c r="A219" s="3">
        <v>218</v>
      </c>
      <c r="B219" s="4">
        <v>44883</v>
      </c>
      <c r="C219" s="4" t="str">
        <f>TEXT(Table1[[#This Row],[Date]],"YYYY")</f>
        <v>2022</v>
      </c>
      <c r="D219" s="4" t="str">
        <f>TEXT(Table1[[#This Row],[Date]],"MMM")</f>
        <v>Nov</v>
      </c>
      <c r="E219" s="5" t="s">
        <v>24</v>
      </c>
      <c r="F219" s="3" t="s">
        <v>61</v>
      </c>
      <c r="G219" s="3" t="s">
        <v>26</v>
      </c>
      <c r="H219" s="3" t="s">
        <v>17</v>
      </c>
      <c r="I219" s="3">
        <v>1</v>
      </c>
      <c r="J219" s="3">
        <v>1800</v>
      </c>
      <c r="K219" s="3">
        <v>2000</v>
      </c>
      <c r="L219" s="3">
        <v>5</v>
      </c>
      <c r="M219">
        <f>Table1[[#This Row],[Qty]]*Table1[[#This Row],[Sales Price]]</f>
        <v>10000</v>
      </c>
      <c r="N219">
        <f>Table1[[#This Row],[Qty]]*Table1[[#This Row],[Cost]]</f>
        <v>9000</v>
      </c>
      <c r="O219">
        <f>Table1[[#This Row],[Revenue]]-Table1[[#This Row],[Total Cost]]</f>
        <v>1000</v>
      </c>
    </row>
    <row r="220" spans="1:15" x14ac:dyDescent="0.55000000000000004">
      <c r="A220" s="3">
        <v>219</v>
      </c>
      <c r="B220" s="4">
        <v>44884</v>
      </c>
      <c r="C220" s="4" t="str">
        <f>TEXT(Table1[[#This Row],[Date]],"YYYY")</f>
        <v>2022</v>
      </c>
      <c r="D220" s="4" t="str">
        <f>TEXT(Table1[[#This Row],[Date]],"MMM")</f>
        <v>Nov</v>
      </c>
      <c r="E220" s="5" t="s">
        <v>40</v>
      </c>
      <c r="F220" s="3" t="s">
        <v>18</v>
      </c>
      <c r="G220" s="3" t="s">
        <v>37</v>
      </c>
      <c r="H220" s="3" t="s">
        <v>17</v>
      </c>
      <c r="I220" s="3"/>
      <c r="J220" s="3">
        <v>48600</v>
      </c>
      <c r="K220" s="3">
        <v>54000</v>
      </c>
      <c r="L220" s="3">
        <v>1</v>
      </c>
      <c r="M220">
        <f>Table1[[#This Row],[Qty]]*Table1[[#This Row],[Sales Price]]</f>
        <v>54000</v>
      </c>
      <c r="N220">
        <f>Table1[[#This Row],[Qty]]*Table1[[#This Row],[Cost]]</f>
        <v>48600</v>
      </c>
      <c r="O220">
        <f>Table1[[#This Row],[Revenue]]-Table1[[#This Row],[Total Cost]]</f>
        <v>5400</v>
      </c>
    </row>
    <row r="221" spans="1:15" x14ac:dyDescent="0.55000000000000004">
      <c r="A221" s="3">
        <v>220</v>
      </c>
      <c r="B221" s="4">
        <v>44885</v>
      </c>
      <c r="C221" s="4" t="str">
        <f>TEXT(Table1[[#This Row],[Date]],"YYYY")</f>
        <v>2022</v>
      </c>
      <c r="D221" s="4" t="str">
        <f>TEXT(Table1[[#This Row],[Date]],"MMM")</f>
        <v>Nov</v>
      </c>
      <c r="E221" s="5" t="s">
        <v>35</v>
      </c>
      <c r="F221" s="3" t="s">
        <v>15</v>
      </c>
      <c r="G221" s="3" t="s">
        <v>41</v>
      </c>
      <c r="H221" s="3" t="s">
        <v>28</v>
      </c>
      <c r="I221" s="3"/>
      <c r="J221" s="3">
        <v>72900</v>
      </c>
      <c r="K221" s="3">
        <v>81000</v>
      </c>
      <c r="L221" s="3">
        <v>5</v>
      </c>
      <c r="M221">
        <f>Table1[[#This Row],[Qty]]*Table1[[#This Row],[Sales Price]]</f>
        <v>405000</v>
      </c>
      <c r="N221">
        <f>Table1[[#This Row],[Qty]]*Table1[[#This Row],[Cost]]</f>
        <v>364500</v>
      </c>
      <c r="O221">
        <f>Table1[[#This Row],[Revenue]]-Table1[[#This Row],[Total Cost]]</f>
        <v>40500</v>
      </c>
    </row>
    <row r="222" spans="1:15" x14ac:dyDescent="0.55000000000000004">
      <c r="A222" s="3">
        <v>221</v>
      </c>
      <c r="B222" s="4">
        <v>44886</v>
      </c>
      <c r="C222" s="4" t="str">
        <f>TEXT(Table1[[#This Row],[Date]],"YYYY")</f>
        <v>2022</v>
      </c>
      <c r="D222" s="4" t="str">
        <f>TEXT(Table1[[#This Row],[Date]],"MMM")</f>
        <v>Nov</v>
      </c>
      <c r="E222" s="5" t="s">
        <v>14</v>
      </c>
      <c r="F222" s="3" t="s">
        <v>61</v>
      </c>
      <c r="G222" s="3" t="s">
        <v>16</v>
      </c>
      <c r="H222" s="3" t="s">
        <v>17</v>
      </c>
      <c r="I222" s="3">
        <v>1</v>
      </c>
      <c r="J222" s="3">
        <v>9450</v>
      </c>
      <c r="K222" s="3">
        <v>10500</v>
      </c>
      <c r="L222" s="3">
        <v>7</v>
      </c>
      <c r="M222">
        <f>Table1[[#This Row],[Qty]]*Table1[[#This Row],[Sales Price]]</f>
        <v>73500</v>
      </c>
      <c r="N222">
        <f>Table1[[#This Row],[Qty]]*Table1[[#This Row],[Cost]]</f>
        <v>66150</v>
      </c>
      <c r="O222">
        <f>Table1[[#This Row],[Revenue]]-Table1[[#This Row],[Total Cost]]</f>
        <v>7350</v>
      </c>
    </row>
    <row r="223" spans="1:15" x14ac:dyDescent="0.55000000000000004">
      <c r="A223" s="3">
        <v>222</v>
      </c>
      <c r="B223" s="4">
        <v>44887</v>
      </c>
      <c r="C223" s="4" t="str">
        <f>TEXT(Table1[[#This Row],[Date]],"YYYY")</f>
        <v>2022</v>
      </c>
      <c r="D223" s="4" t="str">
        <f>TEXT(Table1[[#This Row],[Date]],"MMM")</f>
        <v>Nov</v>
      </c>
      <c r="E223" s="5" t="s">
        <v>39</v>
      </c>
      <c r="F223" s="3" t="s">
        <v>18</v>
      </c>
      <c r="G223" s="3" t="s">
        <v>19</v>
      </c>
      <c r="H223" s="3" t="s">
        <v>17</v>
      </c>
      <c r="I223" s="3">
        <v>1</v>
      </c>
      <c r="J223" s="3">
        <v>36000</v>
      </c>
      <c r="K223" s="3">
        <v>40000</v>
      </c>
      <c r="L223" s="3">
        <v>4</v>
      </c>
      <c r="M223">
        <f>Table1[[#This Row],[Qty]]*Table1[[#This Row],[Sales Price]]</f>
        <v>160000</v>
      </c>
      <c r="N223">
        <f>Table1[[#This Row],[Qty]]*Table1[[#This Row],[Cost]]</f>
        <v>144000</v>
      </c>
      <c r="O223">
        <f>Table1[[#This Row],[Revenue]]-Table1[[#This Row],[Total Cost]]</f>
        <v>16000</v>
      </c>
    </row>
    <row r="224" spans="1:15" x14ac:dyDescent="0.55000000000000004">
      <c r="A224" s="3">
        <v>223</v>
      </c>
      <c r="B224" s="4">
        <v>44888</v>
      </c>
      <c r="C224" s="4" t="str">
        <f>TEXT(Table1[[#This Row],[Date]],"YYYY")</f>
        <v>2022</v>
      </c>
      <c r="D224" s="4" t="str">
        <f>TEXT(Table1[[#This Row],[Date]],"MMM")</f>
        <v>Nov</v>
      </c>
      <c r="E224" s="5" t="s">
        <v>65</v>
      </c>
      <c r="F224" s="3" t="s">
        <v>15</v>
      </c>
      <c r="G224" s="3" t="s">
        <v>21</v>
      </c>
      <c r="H224" s="3" t="s">
        <v>17</v>
      </c>
      <c r="I224" s="3">
        <v>1</v>
      </c>
      <c r="J224" s="3">
        <v>24300</v>
      </c>
      <c r="K224" s="3">
        <v>27000</v>
      </c>
      <c r="L224" s="3">
        <v>8</v>
      </c>
      <c r="M224">
        <f>Table1[[#This Row],[Qty]]*Table1[[#This Row],[Sales Price]]</f>
        <v>216000</v>
      </c>
      <c r="N224">
        <f>Table1[[#This Row],[Qty]]*Table1[[#This Row],[Cost]]</f>
        <v>194400</v>
      </c>
      <c r="O224">
        <f>Table1[[#This Row],[Revenue]]-Table1[[#This Row],[Total Cost]]</f>
        <v>21600</v>
      </c>
    </row>
    <row r="225" spans="1:15" x14ac:dyDescent="0.55000000000000004">
      <c r="A225" s="3">
        <v>224</v>
      </c>
      <c r="B225" s="4">
        <v>44889</v>
      </c>
      <c r="C225" s="4" t="str">
        <f>TEXT(Table1[[#This Row],[Date]],"YYYY")</f>
        <v>2022</v>
      </c>
      <c r="D225" s="4" t="str">
        <f>TEXT(Table1[[#This Row],[Date]],"MMM")</f>
        <v>Nov</v>
      </c>
      <c r="E225" s="5" t="s">
        <v>22</v>
      </c>
      <c r="F225" s="3" t="s">
        <v>61</v>
      </c>
      <c r="G225" s="3" t="s">
        <v>23</v>
      </c>
      <c r="H225" s="3" t="s">
        <v>17</v>
      </c>
      <c r="I225" s="3">
        <v>1</v>
      </c>
      <c r="J225" s="3">
        <v>9180</v>
      </c>
      <c r="K225" s="3">
        <v>10200</v>
      </c>
      <c r="L225" s="3">
        <v>8</v>
      </c>
      <c r="M225">
        <f>Table1[[#This Row],[Qty]]*Table1[[#This Row],[Sales Price]]</f>
        <v>81600</v>
      </c>
      <c r="N225">
        <f>Table1[[#This Row],[Qty]]*Table1[[#This Row],[Cost]]</f>
        <v>73440</v>
      </c>
      <c r="O225">
        <f>Table1[[#This Row],[Revenue]]-Table1[[#This Row],[Total Cost]]</f>
        <v>8160</v>
      </c>
    </row>
    <row r="226" spans="1:15" x14ac:dyDescent="0.55000000000000004">
      <c r="A226" s="3">
        <v>225</v>
      </c>
      <c r="B226" s="4">
        <v>44890</v>
      </c>
      <c r="C226" s="4" t="str">
        <f>TEXT(Table1[[#This Row],[Date]],"YYYY")</f>
        <v>2022</v>
      </c>
      <c r="D226" s="4" t="str">
        <f>TEXT(Table1[[#This Row],[Date]],"MMM")</f>
        <v>Nov</v>
      </c>
      <c r="E226" s="5" t="s">
        <v>39</v>
      </c>
      <c r="F226" s="3" t="s">
        <v>18</v>
      </c>
      <c r="G226" s="3" t="s">
        <v>25</v>
      </c>
      <c r="H226" s="3" t="s">
        <v>17</v>
      </c>
      <c r="I226" s="3">
        <v>1</v>
      </c>
      <c r="J226" s="3">
        <v>8640</v>
      </c>
      <c r="K226" s="3">
        <v>9600</v>
      </c>
      <c r="L226" s="3">
        <v>9</v>
      </c>
      <c r="M226">
        <f>Table1[[#This Row],[Qty]]*Table1[[#This Row],[Sales Price]]</f>
        <v>86400</v>
      </c>
      <c r="N226">
        <f>Table1[[#This Row],[Qty]]*Table1[[#This Row],[Cost]]</f>
        <v>77760</v>
      </c>
      <c r="O226">
        <f>Table1[[#This Row],[Revenue]]-Table1[[#This Row],[Total Cost]]</f>
        <v>8640</v>
      </c>
    </row>
    <row r="227" spans="1:15" x14ac:dyDescent="0.55000000000000004">
      <c r="A227" s="3">
        <v>226</v>
      </c>
      <c r="B227" s="4">
        <v>44891</v>
      </c>
      <c r="C227" s="4" t="str">
        <f>TEXT(Table1[[#This Row],[Date]],"YYYY")</f>
        <v>2022</v>
      </c>
      <c r="D227" s="4" t="str">
        <f>TEXT(Table1[[#This Row],[Date]],"MMM")</f>
        <v>Nov</v>
      </c>
      <c r="E227" s="5" t="s">
        <v>56</v>
      </c>
      <c r="F227" s="3" t="s">
        <v>15</v>
      </c>
      <c r="G227" s="3" t="s">
        <v>26</v>
      </c>
      <c r="H227" s="3" t="s">
        <v>17</v>
      </c>
      <c r="I227" s="3">
        <v>1</v>
      </c>
      <c r="J227" s="3">
        <v>8280</v>
      </c>
      <c r="K227" s="3">
        <v>9200</v>
      </c>
      <c r="L227" s="3">
        <v>2</v>
      </c>
      <c r="M227">
        <f>Table1[[#This Row],[Qty]]*Table1[[#This Row],[Sales Price]]</f>
        <v>18400</v>
      </c>
      <c r="N227">
        <f>Table1[[#This Row],[Qty]]*Table1[[#This Row],[Cost]]</f>
        <v>16560</v>
      </c>
      <c r="O227">
        <f>Table1[[#This Row],[Revenue]]-Table1[[#This Row],[Total Cost]]</f>
        <v>1840</v>
      </c>
    </row>
    <row r="228" spans="1:15" x14ac:dyDescent="0.55000000000000004">
      <c r="A228" s="3">
        <v>227</v>
      </c>
      <c r="B228" s="4">
        <v>44892</v>
      </c>
      <c r="C228" s="4" t="str">
        <f>TEXT(Table1[[#This Row],[Date]],"YYYY")</f>
        <v>2022</v>
      </c>
      <c r="D228" s="4" t="str">
        <f>TEXT(Table1[[#This Row],[Date]],"MMM")</f>
        <v>Nov</v>
      </c>
      <c r="E228" s="5" t="s">
        <v>29</v>
      </c>
      <c r="F228" s="3" t="s">
        <v>61</v>
      </c>
      <c r="G228" s="3" t="s">
        <v>27</v>
      </c>
      <c r="H228" s="3" t="s">
        <v>28</v>
      </c>
      <c r="I228" s="3"/>
      <c r="J228" s="3">
        <v>4950</v>
      </c>
      <c r="K228" s="3">
        <v>5500</v>
      </c>
      <c r="L228" s="3">
        <v>1</v>
      </c>
      <c r="M228">
        <f>Table1[[#This Row],[Qty]]*Table1[[#This Row],[Sales Price]]</f>
        <v>5500</v>
      </c>
      <c r="N228">
        <f>Table1[[#This Row],[Qty]]*Table1[[#This Row],[Cost]]</f>
        <v>4950</v>
      </c>
      <c r="O228">
        <f>Table1[[#This Row],[Revenue]]-Table1[[#This Row],[Total Cost]]</f>
        <v>550</v>
      </c>
    </row>
    <row r="229" spans="1:15" x14ac:dyDescent="0.55000000000000004">
      <c r="A229" s="3">
        <v>228</v>
      </c>
      <c r="B229" s="4">
        <v>44893</v>
      </c>
      <c r="C229" s="4" t="str">
        <f>TEXT(Table1[[#This Row],[Date]],"YYYY")</f>
        <v>2022</v>
      </c>
      <c r="D229" s="4" t="str">
        <f>TEXT(Table1[[#This Row],[Date]],"MMM")</f>
        <v>Nov</v>
      </c>
      <c r="E229" s="5" t="s">
        <v>57</v>
      </c>
      <c r="F229" s="3" t="s">
        <v>18</v>
      </c>
      <c r="G229" s="3" t="s">
        <v>30</v>
      </c>
      <c r="H229" s="3" t="s">
        <v>28</v>
      </c>
      <c r="I229" s="3"/>
      <c r="J229" s="3">
        <v>3150</v>
      </c>
      <c r="K229" s="3">
        <v>3500</v>
      </c>
      <c r="L229" s="3">
        <v>22</v>
      </c>
      <c r="M229">
        <f>Table1[[#This Row],[Qty]]*Table1[[#This Row],[Sales Price]]</f>
        <v>77000</v>
      </c>
      <c r="N229">
        <f>Table1[[#This Row],[Qty]]*Table1[[#This Row],[Cost]]</f>
        <v>69300</v>
      </c>
      <c r="O229">
        <f>Table1[[#This Row],[Revenue]]-Table1[[#This Row],[Total Cost]]</f>
        <v>7700</v>
      </c>
    </row>
    <row r="230" spans="1:15" x14ac:dyDescent="0.55000000000000004">
      <c r="A230" s="3">
        <v>229</v>
      </c>
      <c r="B230" s="4">
        <v>44894</v>
      </c>
      <c r="C230" s="4" t="str">
        <f>TEXT(Table1[[#This Row],[Date]],"YYYY")</f>
        <v>2022</v>
      </c>
      <c r="D230" s="4" t="str">
        <f>TEXT(Table1[[#This Row],[Date]],"MMM")</f>
        <v>Nov</v>
      </c>
      <c r="E230" s="5" t="s">
        <v>24</v>
      </c>
      <c r="F230" s="3" t="s">
        <v>15</v>
      </c>
      <c r="G230" s="3" t="s">
        <v>32</v>
      </c>
      <c r="H230" s="3" t="s">
        <v>28</v>
      </c>
      <c r="I230" s="3"/>
      <c r="J230" s="3">
        <v>2700</v>
      </c>
      <c r="K230" s="3">
        <v>3000</v>
      </c>
      <c r="L230" s="3">
        <v>8</v>
      </c>
      <c r="M230">
        <f>Table1[[#This Row],[Qty]]*Table1[[#This Row],[Sales Price]]</f>
        <v>24000</v>
      </c>
      <c r="N230">
        <f>Table1[[#This Row],[Qty]]*Table1[[#This Row],[Cost]]</f>
        <v>21600</v>
      </c>
      <c r="O230">
        <f>Table1[[#This Row],[Revenue]]-Table1[[#This Row],[Total Cost]]</f>
        <v>2400</v>
      </c>
    </row>
    <row r="231" spans="1:15" x14ac:dyDescent="0.55000000000000004">
      <c r="A231" s="3">
        <v>230</v>
      </c>
      <c r="B231" s="4">
        <v>44895</v>
      </c>
      <c r="C231" s="4" t="str">
        <f>TEXT(Table1[[#This Row],[Date]],"YYYY")</f>
        <v>2022</v>
      </c>
      <c r="D231" s="4" t="str">
        <f>TEXT(Table1[[#This Row],[Date]],"MMM")</f>
        <v>Nov</v>
      </c>
      <c r="E231" s="5" t="s">
        <v>39</v>
      </c>
      <c r="F231" s="3" t="s">
        <v>61</v>
      </c>
      <c r="G231" s="3" t="s">
        <v>34</v>
      </c>
      <c r="H231" s="3" t="s">
        <v>28</v>
      </c>
      <c r="I231" s="3">
        <v>1</v>
      </c>
      <c r="J231" s="3">
        <v>4050</v>
      </c>
      <c r="K231" s="3">
        <v>4500</v>
      </c>
      <c r="L231" s="3">
        <v>7</v>
      </c>
      <c r="M231">
        <f>Table1[[#This Row],[Qty]]*Table1[[#This Row],[Sales Price]]</f>
        <v>31500</v>
      </c>
      <c r="N231">
        <f>Table1[[#This Row],[Qty]]*Table1[[#This Row],[Cost]]</f>
        <v>28350</v>
      </c>
      <c r="O231">
        <f>Table1[[#This Row],[Revenue]]-Table1[[#This Row],[Total Cost]]</f>
        <v>3150</v>
      </c>
    </row>
    <row r="232" spans="1:15" x14ac:dyDescent="0.55000000000000004">
      <c r="A232" s="3">
        <v>231</v>
      </c>
      <c r="B232" s="4">
        <v>44896</v>
      </c>
      <c r="C232" s="4" t="str">
        <f>TEXT(Table1[[#This Row],[Date]],"YYYY")</f>
        <v>2022</v>
      </c>
      <c r="D232" s="4" t="str">
        <f>TEXT(Table1[[#This Row],[Date]],"MMM")</f>
        <v>Dec</v>
      </c>
      <c r="E232" s="5" t="s">
        <v>31</v>
      </c>
      <c r="F232" s="3" t="s">
        <v>18</v>
      </c>
      <c r="G232" s="3" t="s">
        <v>36</v>
      </c>
      <c r="H232" s="3" t="s">
        <v>17</v>
      </c>
      <c r="I232" s="3">
        <v>1</v>
      </c>
      <c r="J232" s="3">
        <v>53100</v>
      </c>
      <c r="K232" s="3">
        <v>59000</v>
      </c>
      <c r="L232" s="3">
        <v>56</v>
      </c>
      <c r="M232">
        <f>Table1[[#This Row],[Qty]]*Table1[[#This Row],[Sales Price]]</f>
        <v>3304000</v>
      </c>
      <c r="N232">
        <f>Table1[[#This Row],[Qty]]*Table1[[#This Row],[Cost]]</f>
        <v>2973600</v>
      </c>
      <c r="O232">
        <f>Table1[[#This Row],[Revenue]]-Table1[[#This Row],[Total Cost]]</f>
        <v>330400</v>
      </c>
    </row>
    <row r="233" spans="1:15" x14ac:dyDescent="0.55000000000000004">
      <c r="A233" s="3">
        <v>232</v>
      </c>
      <c r="B233" s="4">
        <v>44897</v>
      </c>
      <c r="C233" s="4" t="str">
        <f>TEXT(Table1[[#This Row],[Date]],"YYYY")</f>
        <v>2022</v>
      </c>
      <c r="D233" s="4" t="str">
        <f>TEXT(Table1[[#This Row],[Date]],"MMM")</f>
        <v>Dec</v>
      </c>
      <c r="E233" s="5" t="s">
        <v>22</v>
      </c>
      <c r="F233" s="3" t="s">
        <v>15</v>
      </c>
      <c r="G233" s="3" t="s">
        <v>37</v>
      </c>
      <c r="H233" s="3" t="s">
        <v>17</v>
      </c>
      <c r="I233" s="3">
        <v>1</v>
      </c>
      <c r="J233" s="3">
        <v>88200</v>
      </c>
      <c r="K233" s="3">
        <v>98000</v>
      </c>
      <c r="L233" s="3">
        <v>10</v>
      </c>
      <c r="M233">
        <f>Table1[[#This Row],[Qty]]*Table1[[#This Row],[Sales Price]]</f>
        <v>980000</v>
      </c>
      <c r="N233">
        <f>Table1[[#This Row],[Qty]]*Table1[[#This Row],[Cost]]</f>
        <v>882000</v>
      </c>
      <c r="O233">
        <f>Table1[[#This Row],[Revenue]]-Table1[[#This Row],[Total Cost]]</f>
        <v>98000</v>
      </c>
    </row>
    <row r="234" spans="1:15" x14ac:dyDescent="0.55000000000000004">
      <c r="A234" s="3">
        <v>233</v>
      </c>
      <c r="B234" s="4">
        <v>44898</v>
      </c>
      <c r="C234" s="4" t="str">
        <f>TEXT(Table1[[#This Row],[Date]],"YYYY")</f>
        <v>2022</v>
      </c>
      <c r="D234" s="4" t="str">
        <f>TEXT(Table1[[#This Row],[Date]],"MMM")</f>
        <v>Dec</v>
      </c>
      <c r="E234" s="5" t="s">
        <v>53</v>
      </c>
      <c r="F234" s="3" t="s">
        <v>61</v>
      </c>
      <c r="G234" s="3" t="s">
        <v>38</v>
      </c>
      <c r="H234" s="3" t="s">
        <v>17</v>
      </c>
      <c r="I234" s="3">
        <v>0</v>
      </c>
      <c r="J234" s="3">
        <v>38250</v>
      </c>
      <c r="K234" s="3">
        <v>42500</v>
      </c>
      <c r="L234" s="3">
        <v>9</v>
      </c>
      <c r="M234">
        <f>Table1[[#This Row],[Qty]]*Table1[[#This Row],[Sales Price]]</f>
        <v>382500</v>
      </c>
      <c r="N234">
        <f>Table1[[#This Row],[Qty]]*Table1[[#This Row],[Cost]]</f>
        <v>344250</v>
      </c>
      <c r="O234">
        <f>Table1[[#This Row],[Revenue]]-Table1[[#This Row],[Total Cost]]</f>
        <v>38250</v>
      </c>
    </row>
    <row r="235" spans="1:15" x14ac:dyDescent="0.55000000000000004">
      <c r="A235" s="3">
        <v>234</v>
      </c>
      <c r="B235" s="4">
        <v>44899</v>
      </c>
      <c r="C235" s="4" t="str">
        <f>TEXT(Table1[[#This Row],[Date]],"YYYY")</f>
        <v>2022</v>
      </c>
      <c r="D235" s="4" t="str">
        <f>TEXT(Table1[[#This Row],[Date]],"MMM")</f>
        <v>Dec</v>
      </c>
      <c r="E235" s="5" t="s">
        <v>56</v>
      </c>
      <c r="F235" s="3" t="s">
        <v>18</v>
      </c>
      <c r="G235" s="3" t="s">
        <v>19</v>
      </c>
      <c r="H235" s="3" t="s">
        <v>17</v>
      </c>
      <c r="I235" s="3">
        <v>0</v>
      </c>
      <c r="J235" s="3">
        <v>2700</v>
      </c>
      <c r="K235" s="3">
        <v>3000</v>
      </c>
      <c r="L235" s="3">
        <v>27</v>
      </c>
      <c r="M235">
        <f>Table1[[#This Row],[Qty]]*Table1[[#This Row],[Sales Price]]</f>
        <v>81000</v>
      </c>
      <c r="N235">
        <f>Table1[[#This Row],[Qty]]*Table1[[#This Row],[Cost]]</f>
        <v>72900</v>
      </c>
      <c r="O235">
        <f>Table1[[#This Row],[Revenue]]-Table1[[#This Row],[Total Cost]]</f>
        <v>8100</v>
      </c>
    </row>
    <row r="236" spans="1:15" x14ac:dyDescent="0.55000000000000004">
      <c r="A236" s="3">
        <v>235</v>
      </c>
      <c r="B236" s="4">
        <v>44900</v>
      </c>
      <c r="C236" s="4" t="str">
        <f>TEXT(Table1[[#This Row],[Date]],"YYYY")</f>
        <v>2022</v>
      </c>
      <c r="D236" s="4" t="str">
        <f>TEXT(Table1[[#This Row],[Date]],"MMM")</f>
        <v>Dec</v>
      </c>
      <c r="E236" s="5" t="s">
        <v>39</v>
      </c>
      <c r="F236" s="3" t="s">
        <v>15</v>
      </c>
      <c r="G236" s="3" t="s">
        <v>21</v>
      </c>
      <c r="H236" s="3" t="s">
        <v>17</v>
      </c>
      <c r="I236" s="3">
        <v>0</v>
      </c>
      <c r="J236" s="3">
        <v>23850</v>
      </c>
      <c r="K236" s="3">
        <v>26500</v>
      </c>
      <c r="L236" s="3">
        <v>15</v>
      </c>
      <c r="M236">
        <f>Table1[[#This Row],[Qty]]*Table1[[#This Row],[Sales Price]]</f>
        <v>397500</v>
      </c>
      <c r="N236">
        <f>Table1[[#This Row],[Qty]]*Table1[[#This Row],[Cost]]</f>
        <v>357750</v>
      </c>
      <c r="O236">
        <f>Table1[[#This Row],[Revenue]]-Table1[[#This Row],[Total Cost]]</f>
        <v>39750</v>
      </c>
    </row>
    <row r="237" spans="1:15" x14ac:dyDescent="0.55000000000000004">
      <c r="A237" s="3">
        <v>236</v>
      </c>
      <c r="B237" s="4">
        <v>44901</v>
      </c>
      <c r="C237" s="4" t="str">
        <f>TEXT(Table1[[#This Row],[Date]],"YYYY")</f>
        <v>2022</v>
      </c>
      <c r="D237" s="4" t="str">
        <f>TEXT(Table1[[#This Row],[Date]],"MMM")</f>
        <v>Dec</v>
      </c>
      <c r="E237" s="5" t="s">
        <v>39</v>
      </c>
      <c r="F237" s="3" t="s">
        <v>61</v>
      </c>
      <c r="G237" s="3" t="s">
        <v>23</v>
      </c>
      <c r="H237" s="3" t="s">
        <v>17</v>
      </c>
      <c r="I237" s="3">
        <v>1</v>
      </c>
      <c r="J237" s="3">
        <v>24750</v>
      </c>
      <c r="K237" s="3">
        <v>27500</v>
      </c>
      <c r="L237" s="3">
        <v>3</v>
      </c>
      <c r="M237">
        <f>Table1[[#This Row],[Qty]]*Table1[[#This Row],[Sales Price]]</f>
        <v>82500</v>
      </c>
      <c r="N237">
        <f>Table1[[#This Row],[Qty]]*Table1[[#This Row],[Cost]]</f>
        <v>74250</v>
      </c>
      <c r="O237">
        <f>Table1[[#This Row],[Revenue]]-Table1[[#This Row],[Total Cost]]</f>
        <v>8250</v>
      </c>
    </row>
    <row r="238" spans="1:15" x14ac:dyDescent="0.55000000000000004">
      <c r="A238" s="3">
        <v>237</v>
      </c>
      <c r="B238" s="4">
        <v>44902</v>
      </c>
      <c r="C238" s="4" t="str">
        <f>TEXT(Table1[[#This Row],[Date]],"YYYY")</f>
        <v>2022</v>
      </c>
      <c r="D238" s="4" t="str">
        <f>TEXT(Table1[[#This Row],[Date]],"MMM")</f>
        <v>Dec</v>
      </c>
      <c r="E238" s="5" t="s">
        <v>53</v>
      </c>
      <c r="F238" s="3" t="s">
        <v>18</v>
      </c>
      <c r="G238" s="3" t="s">
        <v>25</v>
      </c>
      <c r="H238" s="3" t="s">
        <v>17</v>
      </c>
      <c r="I238" s="3"/>
      <c r="J238" s="3">
        <v>44550</v>
      </c>
      <c r="K238" s="3">
        <v>49500</v>
      </c>
      <c r="L238" s="3">
        <v>9</v>
      </c>
      <c r="M238">
        <f>Table1[[#This Row],[Qty]]*Table1[[#This Row],[Sales Price]]</f>
        <v>445500</v>
      </c>
      <c r="N238">
        <f>Table1[[#This Row],[Qty]]*Table1[[#This Row],[Cost]]</f>
        <v>400950</v>
      </c>
      <c r="O238">
        <f>Table1[[#This Row],[Revenue]]-Table1[[#This Row],[Total Cost]]</f>
        <v>44550</v>
      </c>
    </row>
    <row r="239" spans="1:15" x14ac:dyDescent="0.55000000000000004">
      <c r="A239" s="3">
        <v>238</v>
      </c>
      <c r="B239" s="4">
        <v>44903</v>
      </c>
      <c r="C239" s="4" t="str">
        <f>TEXT(Table1[[#This Row],[Date]],"YYYY")</f>
        <v>2022</v>
      </c>
      <c r="D239" s="4" t="str">
        <f>TEXT(Table1[[#This Row],[Date]],"MMM")</f>
        <v>Dec</v>
      </c>
      <c r="E239" s="5" t="s">
        <v>50</v>
      </c>
      <c r="F239" s="3" t="s">
        <v>15</v>
      </c>
      <c r="G239" s="3" t="s">
        <v>26</v>
      </c>
      <c r="H239" s="3" t="s">
        <v>17</v>
      </c>
      <c r="I239" s="3"/>
      <c r="J239" s="3">
        <v>9000</v>
      </c>
      <c r="K239" s="3">
        <v>10000</v>
      </c>
      <c r="L239" s="3">
        <v>22</v>
      </c>
      <c r="M239">
        <f>Table1[[#This Row],[Qty]]*Table1[[#This Row],[Sales Price]]</f>
        <v>220000</v>
      </c>
      <c r="N239">
        <f>Table1[[#This Row],[Qty]]*Table1[[#This Row],[Cost]]</f>
        <v>198000</v>
      </c>
      <c r="O239">
        <f>Table1[[#This Row],[Revenue]]-Table1[[#This Row],[Total Cost]]</f>
        <v>22000</v>
      </c>
    </row>
    <row r="240" spans="1:15" x14ac:dyDescent="0.55000000000000004">
      <c r="A240" s="3">
        <v>239</v>
      </c>
      <c r="B240" s="4">
        <v>44904</v>
      </c>
      <c r="C240" s="4" t="str">
        <f>TEXT(Table1[[#This Row],[Date]],"YYYY")</f>
        <v>2022</v>
      </c>
      <c r="D240" s="4" t="str">
        <f>TEXT(Table1[[#This Row],[Date]],"MMM")</f>
        <v>Dec</v>
      </c>
      <c r="E240" s="5" t="s">
        <v>39</v>
      </c>
      <c r="F240" s="3" t="s">
        <v>61</v>
      </c>
      <c r="G240" s="3" t="s">
        <v>37</v>
      </c>
      <c r="H240" s="3" t="s">
        <v>17</v>
      </c>
      <c r="I240" s="3">
        <v>1</v>
      </c>
      <c r="J240" s="3">
        <v>8640</v>
      </c>
      <c r="K240" s="3">
        <v>9600</v>
      </c>
      <c r="L240" s="3">
        <v>16</v>
      </c>
      <c r="M240">
        <f>Table1[[#This Row],[Qty]]*Table1[[#This Row],[Sales Price]]</f>
        <v>153600</v>
      </c>
      <c r="N240">
        <f>Table1[[#This Row],[Qty]]*Table1[[#This Row],[Cost]]</f>
        <v>138240</v>
      </c>
      <c r="O240">
        <f>Table1[[#This Row],[Revenue]]-Table1[[#This Row],[Total Cost]]</f>
        <v>15360</v>
      </c>
    </row>
    <row r="241" spans="1:15" x14ac:dyDescent="0.55000000000000004">
      <c r="A241" s="3">
        <v>240</v>
      </c>
      <c r="B241" s="4">
        <v>44905</v>
      </c>
      <c r="C241" s="4" t="str">
        <f>TEXT(Table1[[#This Row],[Date]],"YYYY")</f>
        <v>2022</v>
      </c>
      <c r="D241" s="4" t="str">
        <f>TEXT(Table1[[#This Row],[Date]],"MMM")</f>
        <v>Dec</v>
      </c>
      <c r="E241" s="5" t="s">
        <v>33</v>
      </c>
      <c r="F241" s="3" t="s">
        <v>18</v>
      </c>
      <c r="G241" s="3" t="s">
        <v>41</v>
      </c>
      <c r="H241" s="3" t="s">
        <v>28</v>
      </c>
      <c r="I241" s="3">
        <v>1</v>
      </c>
      <c r="J241" s="3">
        <v>9000</v>
      </c>
      <c r="K241" s="3">
        <v>10000</v>
      </c>
      <c r="L241" s="3">
        <v>6</v>
      </c>
      <c r="M241">
        <f>Table1[[#This Row],[Qty]]*Table1[[#This Row],[Sales Price]]</f>
        <v>60000</v>
      </c>
      <c r="N241">
        <f>Table1[[#This Row],[Qty]]*Table1[[#This Row],[Cost]]</f>
        <v>54000</v>
      </c>
      <c r="O241">
        <f>Table1[[#This Row],[Revenue]]-Table1[[#This Row],[Total Cost]]</f>
        <v>6000</v>
      </c>
    </row>
    <row r="242" spans="1:15" x14ac:dyDescent="0.55000000000000004">
      <c r="A242" s="3">
        <v>241</v>
      </c>
      <c r="B242" s="4">
        <v>44906</v>
      </c>
      <c r="C242" s="4" t="str">
        <f>TEXT(Table1[[#This Row],[Date]],"YYYY")</f>
        <v>2022</v>
      </c>
      <c r="D242" s="4" t="str">
        <f>TEXT(Table1[[#This Row],[Date]],"MMM")</f>
        <v>Dec</v>
      </c>
      <c r="E242" s="5" t="s">
        <v>31</v>
      </c>
      <c r="F242" s="3" t="s">
        <v>15</v>
      </c>
      <c r="G242" s="3" t="s">
        <v>16</v>
      </c>
      <c r="H242" s="3" t="s">
        <v>17</v>
      </c>
      <c r="I242" s="3">
        <v>1</v>
      </c>
      <c r="J242" s="3">
        <v>3870</v>
      </c>
      <c r="K242" s="3">
        <v>4300</v>
      </c>
      <c r="L242" s="3">
        <v>3</v>
      </c>
      <c r="M242">
        <f>Table1[[#This Row],[Qty]]*Table1[[#This Row],[Sales Price]]</f>
        <v>12900</v>
      </c>
      <c r="N242">
        <f>Table1[[#This Row],[Qty]]*Table1[[#This Row],[Cost]]</f>
        <v>11610</v>
      </c>
      <c r="O242">
        <f>Table1[[#This Row],[Revenue]]-Table1[[#This Row],[Total Cost]]</f>
        <v>1290</v>
      </c>
    </row>
    <row r="243" spans="1:15" x14ac:dyDescent="0.55000000000000004">
      <c r="A243" s="3">
        <v>242</v>
      </c>
      <c r="B243" s="4">
        <v>44907</v>
      </c>
      <c r="C243" s="4" t="str">
        <f>TEXT(Table1[[#This Row],[Date]],"YYYY")</f>
        <v>2022</v>
      </c>
      <c r="D243" s="4" t="str">
        <f>TEXT(Table1[[#This Row],[Date]],"MMM")</f>
        <v>Dec</v>
      </c>
      <c r="E243" s="5" t="s">
        <v>39</v>
      </c>
      <c r="F243" s="3" t="s">
        <v>61</v>
      </c>
      <c r="G243" s="3" t="s">
        <v>19</v>
      </c>
      <c r="H243" s="3" t="s">
        <v>17</v>
      </c>
      <c r="I243" s="3">
        <v>1</v>
      </c>
      <c r="J243" s="3">
        <v>45450</v>
      </c>
      <c r="K243" s="3">
        <v>50500</v>
      </c>
      <c r="L243" s="3">
        <v>5</v>
      </c>
      <c r="M243">
        <f>Table1[[#This Row],[Qty]]*Table1[[#This Row],[Sales Price]]</f>
        <v>252500</v>
      </c>
      <c r="N243">
        <f>Table1[[#This Row],[Qty]]*Table1[[#This Row],[Cost]]</f>
        <v>227250</v>
      </c>
      <c r="O243">
        <f>Table1[[#This Row],[Revenue]]-Table1[[#This Row],[Total Cost]]</f>
        <v>25250</v>
      </c>
    </row>
    <row r="244" spans="1:15" x14ac:dyDescent="0.55000000000000004">
      <c r="A244" s="3">
        <v>243</v>
      </c>
      <c r="B244" s="4">
        <v>44908</v>
      </c>
      <c r="C244" s="4" t="str">
        <f>TEXT(Table1[[#This Row],[Date]],"YYYY")</f>
        <v>2022</v>
      </c>
      <c r="D244" s="4" t="str">
        <f>TEXT(Table1[[#This Row],[Date]],"MMM")</f>
        <v>Dec</v>
      </c>
      <c r="E244" s="5" t="s">
        <v>58</v>
      </c>
      <c r="F244" s="3" t="s">
        <v>18</v>
      </c>
      <c r="G244" s="3" t="s">
        <v>21</v>
      </c>
      <c r="H244" s="3" t="s">
        <v>17</v>
      </c>
      <c r="I244" s="3">
        <v>1</v>
      </c>
      <c r="J244" s="3">
        <v>18225</v>
      </c>
      <c r="K244" s="3">
        <v>20250</v>
      </c>
      <c r="L244" s="3">
        <v>1</v>
      </c>
      <c r="M244">
        <f>Table1[[#This Row],[Qty]]*Table1[[#This Row],[Sales Price]]</f>
        <v>20250</v>
      </c>
      <c r="N244">
        <f>Table1[[#This Row],[Qty]]*Table1[[#This Row],[Cost]]</f>
        <v>18225</v>
      </c>
      <c r="O244">
        <f>Table1[[#This Row],[Revenue]]-Table1[[#This Row],[Total Cost]]</f>
        <v>2025</v>
      </c>
    </row>
    <row r="245" spans="1:15" x14ac:dyDescent="0.55000000000000004">
      <c r="A245" s="3">
        <v>244</v>
      </c>
      <c r="B245" s="4">
        <v>44909</v>
      </c>
      <c r="C245" s="4" t="str">
        <f>TEXT(Table1[[#This Row],[Date]],"YYYY")</f>
        <v>2022</v>
      </c>
      <c r="D245" s="4" t="str">
        <f>TEXT(Table1[[#This Row],[Date]],"MMM")</f>
        <v>Dec</v>
      </c>
      <c r="E245" s="5" t="s">
        <v>35</v>
      </c>
      <c r="F245" s="3" t="s">
        <v>15</v>
      </c>
      <c r="G245" s="3" t="s">
        <v>23</v>
      </c>
      <c r="H245" s="3" t="s">
        <v>17</v>
      </c>
      <c r="I245" s="3">
        <v>1</v>
      </c>
      <c r="J245" s="3">
        <v>1800</v>
      </c>
      <c r="K245" s="3">
        <v>2000</v>
      </c>
      <c r="L245" s="3">
        <v>5</v>
      </c>
      <c r="M245">
        <f>Table1[[#This Row],[Qty]]*Table1[[#This Row],[Sales Price]]</f>
        <v>10000</v>
      </c>
      <c r="N245">
        <f>Table1[[#This Row],[Qty]]*Table1[[#This Row],[Cost]]</f>
        <v>9000</v>
      </c>
      <c r="O245">
        <f>Table1[[#This Row],[Revenue]]-Table1[[#This Row],[Total Cost]]</f>
        <v>1000</v>
      </c>
    </row>
    <row r="246" spans="1:15" x14ac:dyDescent="0.55000000000000004">
      <c r="A246" s="3">
        <v>245</v>
      </c>
      <c r="B246" s="4">
        <v>44910</v>
      </c>
      <c r="C246" s="4" t="str">
        <f>TEXT(Table1[[#This Row],[Date]],"YYYY")</f>
        <v>2022</v>
      </c>
      <c r="D246" s="4" t="str">
        <f>TEXT(Table1[[#This Row],[Date]],"MMM")</f>
        <v>Dec</v>
      </c>
      <c r="E246" s="5" t="s">
        <v>31</v>
      </c>
      <c r="F246" s="3" t="s">
        <v>61</v>
      </c>
      <c r="G246" s="3" t="s">
        <v>25</v>
      </c>
      <c r="H246" s="3" t="s">
        <v>17</v>
      </c>
      <c r="I246" s="3"/>
      <c r="J246" s="3">
        <v>48600</v>
      </c>
      <c r="K246" s="3">
        <v>54000</v>
      </c>
      <c r="L246" s="3">
        <v>7</v>
      </c>
      <c r="M246">
        <f>Table1[[#This Row],[Qty]]*Table1[[#This Row],[Sales Price]]</f>
        <v>378000</v>
      </c>
      <c r="N246">
        <f>Table1[[#This Row],[Qty]]*Table1[[#This Row],[Cost]]</f>
        <v>340200</v>
      </c>
      <c r="O246">
        <f>Table1[[#This Row],[Revenue]]-Table1[[#This Row],[Total Cost]]</f>
        <v>37800</v>
      </c>
    </row>
    <row r="247" spans="1:15" x14ac:dyDescent="0.55000000000000004">
      <c r="A247" s="3">
        <v>246</v>
      </c>
      <c r="B247" s="4">
        <v>44911</v>
      </c>
      <c r="C247" s="4" t="str">
        <f>TEXT(Table1[[#This Row],[Date]],"YYYY")</f>
        <v>2022</v>
      </c>
      <c r="D247" s="4" t="str">
        <f>TEXT(Table1[[#This Row],[Date]],"MMM")</f>
        <v>Dec</v>
      </c>
      <c r="E247" s="5" t="s">
        <v>14</v>
      </c>
      <c r="F247" s="3" t="s">
        <v>18</v>
      </c>
      <c r="G247" s="3" t="s">
        <v>26</v>
      </c>
      <c r="H247" s="3" t="s">
        <v>17</v>
      </c>
      <c r="I247" s="3"/>
      <c r="J247" s="3">
        <v>72900</v>
      </c>
      <c r="K247" s="3">
        <v>81000</v>
      </c>
      <c r="L247" s="3">
        <v>4</v>
      </c>
      <c r="M247">
        <f>Table1[[#This Row],[Qty]]*Table1[[#This Row],[Sales Price]]</f>
        <v>324000</v>
      </c>
      <c r="N247">
        <f>Table1[[#This Row],[Qty]]*Table1[[#This Row],[Cost]]</f>
        <v>291600</v>
      </c>
      <c r="O247">
        <f>Table1[[#This Row],[Revenue]]-Table1[[#This Row],[Total Cost]]</f>
        <v>32400</v>
      </c>
    </row>
    <row r="248" spans="1:15" x14ac:dyDescent="0.55000000000000004">
      <c r="A248" s="3">
        <v>247</v>
      </c>
      <c r="B248" s="4">
        <v>44912</v>
      </c>
      <c r="C248" s="4" t="str">
        <f>TEXT(Table1[[#This Row],[Date]],"YYYY")</f>
        <v>2022</v>
      </c>
      <c r="D248" s="4" t="str">
        <f>TEXT(Table1[[#This Row],[Date]],"MMM")</f>
        <v>Dec</v>
      </c>
      <c r="E248" s="5" t="s">
        <v>63</v>
      </c>
      <c r="F248" s="3" t="s">
        <v>15</v>
      </c>
      <c r="G248" s="3" t="s">
        <v>27</v>
      </c>
      <c r="H248" s="3" t="s">
        <v>28</v>
      </c>
      <c r="I248" s="3"/>
      <c r="J248" s="3">
        <v>9450</v>
      </c>
      <c r="K248" s="3">
        <v>10500</v>
      </c>
      <c r="L248" s="3">
        <v>8</v>
      </c>
      <c r="M248">
        <f>Table1[[#This Row],[Qty]]*Table1[[#This Row],[Sales Price]]</f>
        <v>84000</v>
      </c>
      <c r="N248">
        <f>Table1[[#This Row],[Qty]]*Table1[[#This Row],[Cost]]</f>
        <v>75600</v>
      </c>
      <c r="O248">
        <f>Table1[[#This Row],[Revenue]]-Table1[[#This Row],[Total Cost]]</f>
        <v>8400</v>
      </c>
    </row>
    <row r="249" spans="1:15" x14ac:dyDescent="0.55000000000000004">
      <c r="A249" s="3">
        <v>248</v>
      </c>
      <c r="B249" s="4">
        <v>44913</v>
      </c>
      <c r="C249" s="4" t="str">
        <f>TEXT(Table1[[#This Row],[Date]],"YYYY")</f>
        <v>2022</v>
      </c>
      <c r="D249" s="4" t="str">
        <f>TEXT(Table1[[#This Row],[Date]],"MMM")</f>
        <v>Dec</v>
      </c>
      <c r="E249" s="5" t="s">
        <v>56</v>
      </c>
      <c r="F249" s="3" t="s">
        <v>61</v>
      </c>
      <c r="G249" s="3" t="s">
        <v>30</v>
      </c>
      <c r="H249" s="3" t="s">
        <v>28</v>
      </c>
      <c r="I249" s="3">
        <v>1</v>
      </c>
      <c r="J249" s="3">
        <v>36000</v>
      </c>
      <c r="K249" s="3">
        <v>40000</v>
      </c>
      <c r="L249" s="3">
        <v>8</v>
      </c>
      <c r="M249">
        <f>Table1[[#This Row],[Qty]]*Table1[[#This Row],[Sales Price]]</f>
        <v>320000</v>
      </c>
      <c r="N249">
        <f>Table1[[#This Row],[Qty]]*Table1[[#This Row],[Cost]]</f>
        <v>288000</v>
      </c>
      <c r="O249">
        <f>Table1[[#This Row],[Revenue]]-Table1[[#This Row],[Total Cost]]</f>
        <v>32000</v>
      </c>
    </row>
    <row r="250" spans="1:15" x14ac:dyDescent="0.55000000000000004">
      <c r="A250" s="3">
        <v>249</v>
      </c>
      <c r="B250" s="4">
        <v>44914</v>
      </c>
      <c r="C250" s="4" t="str">
        <f>TEXT(Table1[[#This Row],[Date]],"YYYY")</f>
        <v>2022</v>
      </c>
      <c r="D250" s="4" t="str">
        <f>TEXT(Table1[[#This Row],[Date]],"MMM")</f>
        <v>Dec</v>
      </c>
      <c r="E250" s="5" t="s">
        <v>54</v>
      </c>
      <c r="F250" s="3" t="s">
        <v>18</v>
      </c>
      <c r="G250" s="3" t="s">
        <v>32</v>
      </c>
      <c r="H250" s="3" t="s">
        <v>28</v>
      </c>
      <c r="I250" s="3">
        <v>1</v>
      </c>
      <c r="J250" s="3">
        <v>24300</v>
      </c>
      <c r="K250" s="3">
        <v>27000</v>
      </c>
      <c r="L250" s="3">
        <v>9</v>
      </c>
      <c r="M250">
        <f>Table1[[#This Row],[Qty]]*Table1[[#This Row],[Sales Price]]</f>
        <v>243000</v>
      </c>
      <c r="N250">
        <f>Table1[[#This Row],[Qty]]*Table1[[#This Row],[Cost]]</f>
        <v>218700</v>
      </c>
      <c r="O250">
        <f>Table1[[#This Row],[Revenue]]-Table1[[#This Row],[Total Cost]]</f>
        <v>24300</v>
      </c>
    </row>
    <row r="251" spans="1:15" x14ac:dyDescent="0.55000000000000004">
      <c r="A251" s="3">
        <v>250</v>
      </c>
      <c r="B251" s="4">
        <v>44915</v>
      </c>
      <c r="C251" s="4" t="str">
        <f>TEXT(Table1[[#This Row],[Date]],"YYYY")</f>
        <v>2022</v>
      </c>
      <c r="D251" s="4" t="str">
        <f>TEXT(Table1[[#This Row],[Date]],"MMM")</f>
        <v>Dec</v>
      </c>
      <c r="E251" s="5" t="s">
        <v>24</v>
      </c>
      <c r="F251" s="3" t="s">
        <v>15</v>
      </c>
      <c r="G251" s="3" t="s">
        <v>34</v>
      </c>
      <c r="H251" s="3" t="s">
        <v>28</v>
      </c>
      <c r="I251" s="3">
        <v>1</v>
      </c>
      <c r="J251" s="3">
        <v>9180</v>
      </c>
      <c r="K251" s="3">
        <v>10200</v>
      </c>
      <c r="L251" s="3">
        <v>2</v>
      </c>
      <c r="M251">
        <f>Table1[[#This Row],[Qty]]*Table1[[#This Row],[Sales Price]]</f>
        <v>20400</v>
      </c>
      <c r="N251">
        <f>Table1[[#This Row],[Qty]]*Table1[[#This Row],[Cost]]</f>
        <v>18360</v>
      </c>
      <c r="O251">
        <f>Table1[[#This Row],[Revenue]]-Table1[[#This Row],[Total Cost]]</f>
        <v>2040</v>
      </c>
    </row>
    <row r="252" spans="1:15" x14ac:dyDescent="0.55000000000000004">
      <c r="A252" s="3">
        <v>251</v>
      </c>
      <c r="B252" s="4">
        <v>44916</v>
      </c>
      <c r="C252" s="4" t="str">
        <f>TEXT(Table1[[#This Row],[Date]],"YYYY")</f>
        <v>2022</v>
      </c>
      <c r="D252" s="4" t="str">
        <f>TEXT(Table1[[#This Row],[Date]],"MMM")</f>
        <v>Dec</v>
      </c>
      <c r="E252" s="5" t="s">
        <v>40</v>
      </c>
      <c r="F252" s="3" t="s">
        <v>61</v>
      </c>
      <c r="G252" s="3" t="s">
        <v>36</v>
      </c>
      <c r="H252" s="3" t="s">
        <v>17</v>
      </c>
      <c r="I252" s="3">
        <v>1</v>
      </c>
      <c r="J252" s="3">
        <v>8640</v>
      </c>
      <c r="K252" s="3">
        <v>9600</v>
      </c>
      <c r="L252" s="3">
        <v>1</v>
      </c>
      <c r="M252">
        <f>Table1[[#This Row],[Qty]]*Table1[[#This Row],[Sales Price]]</f>
        <v>9600</v>
      </c>
      <c r="N252">
        <f>Table1[[#This Row],[Qty]]*Table1[[#This Row],[Cost]]</f>
        <v>8640</v>
      </c>
      <c r="O252">
        <f>Table1[[#This Row],[Revenue]]-Table1[[#This Row],[Total Cost]]</f>
        <v>960</v>
      </c>
    </row>
    <row r="253" spans="1:15" x14ac:dyDescent="0.55000000000000004">
      <c r="A253" s="3">
        <v>252</v>
      </c>
      <c r="B253" s="4">
        <v>44917</v>
      </c>
      <c r="C253" s="4" t="str">
        <f>TEXT(Table1[[#This Row],[Date]],"YYYY")</f>
        <v>2022</v>
      </c>
      <c r="D253" s="4" t="str">
        <f>TEXT(Table1[[#This Row],[Date]],"MMM")</f>
        <v>Dec</v>
      </c>
      <c r="E253" s="5" t="s">
        <v>39</v>
      </c>
      <c r="F253" s="3" t="s">
        <v>18</v>
      </c>
      <c r="G253" s="3" t="s">
        <v>37</v>
      </c>
      <c r="H253" s="3" t="s">
        <v>17</v>
      </c>
      <c r="I253" s="3">
        <v>1</v>
      </c>
      <c r="J253" s="3">
        <v>8280</v>
      </c>
      <c r="K253" s="3">
        <v>9200</v>
      </c>
      <c r="L253" s="3">
        <v>22</v>
      </c>
      <c r="M253">
        <f>Table1[[#This Row],[Qty]]*Table1[[#This Row],[Sales Price]]</f>
        <v>202400</v>
      </c>
      <c r="N253">
        <f>Table1[[#This Row],[Qty]]*Table1[[#This Row],[Cost]]</f>
        <v>182160</v>
      </c>
      <c r="O253">
        <f>Table1[[#This Row],[Revenue]]-Table1[[#This Row],[Total Cost]]</f>
        <v>20240</v>
      </c>
    </row>
    <row r="254" spans="1:15" x14ac:dyDescent="0.55000000000000004">
      <c r="A254" s="3">
        <v>253</v>
      </c>
      <c r="B254" s="4">
        <v>44918</v>
      </c>
      <c r="C254" s="4" t="str">
        <f>TEXT(Table1[[#This Row],[Date]],"YYYY")</f>
        <v>2022</v>
      </c>
      <c r="D254" s="4" t="str">
        <f>TEXT(Table1[[#This Row],[Date]],"MMM")</f>
        <v>Dec</v>
      </c>
      <c r="E254" s="5" t="s">
        <v>39</v>
      </c>
      <c r="F254" s="3" t="s">
        <v>15</v>
      </c>
      <c r="G254" s="3" t="s">
        <v>38</v>
      </c>
      <c r="H254" s="3" t="s">
        <v>17</v>
      </c>
      <c r="I254" s="3">
        <v>1</v>
      </c>
      <c r="J254" s="3">
        <v>4950</v>
      </c>
      <c r="K254" s="3">
        <v>5500</v>
      </c>
      <c r="L254" s="3">
        <v>8</v>
      </c>
      <c r="M254">
        <f>Table1[[#This Row],[Qty]]*Table1[[#This Row],[Sales Price]]</f>
        <v>44000</v>
      </c>
      <c r="N254">
        <f>Table1[[#This Row],[Qty]]*Table1[[#This Row],[Cost]]</f>
        <v>39600</v>
      </c>
      <c r="O254">
        <f>Table1[[#This Row],[Revenue]]-Table1[[#This Row],[Total Cost]]</f>
        <v>4400</v>
      </c>
    </row>
    <row r="255" spans="1:15" x14ac:dyDescent="0.55000000000000004">
      <c r="A255" s="3">
        <v>254</v>
      </c>
      <c r="B255" s="4">
        <v>44919</v>
      </c>
      <c r="C255" s="4" t="str">
        <f>TEXT(Table1[[#This Row],[Date]],"YYYY")</f>
        <v>2022</v>
      </c>
      <c r="D255" s="4" t="str">
        <f>TEXT(Table1[[#This Row],[Date]],"MMM")</f>
        <v>Dec</v>
      </c>
      <c r="E255" s="5" t="s">
        <v>39</v>
      </c>
      <c r="F255" s="3" t="s">
        <v>61</v>
      </c>
      <c r="G255" s="3" t="s">
        <v>19</v>
      </c>
      <c r="H255" s="3" t="s">
        <v>17</v>
      </c>
      <c r="I255" s="3">
        <v>1</v>
      </c>
      <c r="J255" s="3">
        <v>3150</v>
      </c>
      <c r="K255" s="3">
        <v>3500</v>
      </c>
      <c r="L255" s="3">
        <v>7</v>
      </c>
      <c r="M255">
        <f>Table1[[#This Row],[Qty]]*Table1[[#This Row],[Sales Price]]</f>
        <v>24500</v>
      </c>
      <c r="N255">
        <f>Table1[[#This Row],[Qty]]*Table1[[#This Row],[Cost]]</f>
        <v>22050</v>
      </c>
      <c r="O255">
        <f>Table1[[#This Row],[Revenue]]-Table1[[#This Row],[Total Cost]]</f>
        <v>2450</v>
      </c>
    </row>
    <row r="256" spans="1:15" x14ac:dyDescent="0.55000000000000004">
      <c r="A256" s="3">
        <v>255</v>
      </c>
      <c r="B256" s="4">
        <v>44920</v>
      </c>
      <c r="C256" s="4" t="str">
        <f>TEXT(Table1[[#This Row],[Date]],"YYYY")</f>
        <v>2022</v>
      </c>
      <c r="D256" s="4" t="str">
        <f>TEXT(Table1[[#This Row],[Date]],"MMM")</f>
        <v>Dec</v>
      </c>
      <c r="E256" s="5" t="s">
        <v>24</v>
      </c>
      <c r="F256" s="3" t="s">
        <v>18</v>
      </c>
      <c r="G256" s="3" t="s">
        <v>21</v>
      </c>
      <c r="H256" s="3" t="s">
        <v>17</v>
      </c>
      <c r="I256" s="3"/>
      <c r="J256" s="3">
        <v>2700</v>
      </c>
      <c r="K256" s="3">
        <v>3000</v>
      </c>
      <c r="L256" s="3">
        <v>56</v>
      </c>
      <c r="M256">
        <f>Table1[[#This Row],[Qty]]*Table1[[#This Row],[Sales Price]]</f>
        <v>168000</v>
      </c>
      <c r="N256">
        <f>Table1[[#This Row],[Qty]]*Table1[[#This Row],[Cost]]</f>
        <v>151200</v>
      </c>
      <c r="O256">
        <f>Table1[[#This Row],[Revenue]]-Table1[[#This Row],[Total Cost]]</f>
        <v>16800</v>
      </c>
    </row>
    <row r="257" spans="1:15" x14ac:dyDescent="0.55000000000000004">
      <c r="A257" s="3">
        <v>256</v>
      </c>
      <c r="B257" s="4">
        <v>44921</v>
      </c>
      <c r="C257" s="4" t="str">
        <f>TEXT(Table1[[#This Row],[Date]],"YYYY")</f>
        <v>2022</v>
      </c>
      <c r="D257" s="4" t="str">
        <f>TEXT(Table1[[#This Row],[Date]],"MMM")</f>
        <v>Dec</v>
      </c>
      <c r="E257" s="5" t="s">
        <v>50</v>
      </c>
      <c r="F257" s="3" t="s">
        <v>15</v>
      </c>
      <c r="G257" s="3" t="s">
        <v>23</v>
      </c>
      <c r="H257" s="3" t="s">
        <v>17</v>
      </c>
      <c r="I257" s="3"/>
      <c r="J257" s="3">
        <v>4050</v>
      </c>
      <c r="K257" s="3">
        <v>4500</v>
      </c>
      <c r="L257" s="3">
        <v>10</v>
      </c>
      <c r="M257">
        <f>Table1[[#This Row],[Qty]]*Table1[[#This Row],[Sales Price]]</f>
        <v>45000</v>
      </c>
      <c r="N257">
        <f>Table1[[#This Row],[Qty]]*Table1[[#This Row],[Cost]]</f>
        <v>40500</v>
      </c>
      <c r="O257">
        <f>Table1[[#This Row],[Revenue]]-Table1[[#This Row],[Total Cost]]</f>
        <v>4500</v>
      </c>
    </row>
    <row r="258" spans="1:15" x14ac:dyDescent="0.55000000000000004">
      <c r="A258" s="3">
        <v>257</v>
      </c>
      <c r="B258" s="4">
        <v>44922</v>
      </c>
      <c r="C258" s="4" t="str">
        <f>TEXT(Table1[[#This Row],[Date]],"YYYY")</f>
        <v>2022</v>
      </c>
      <c r="D258" s="4" t="str">
        <f>TEXT(Table1[[#This Row],[Date]],"MMM")</f>
        <v>Dec</v>
      </c>
      <c r="E258" s="5" t="s">
        <v>33</v>
      </c>
      <c r="F258" s="3" t="s">
        <v>61</v>
      </c>
      <c r="G258" s="3" t="s">
        <v>25</v>
      </c>
      <c r="H258" s="3" t="s">
        <v>17</v>
      </c>
      <c r="I258" s="3">
        <v>1</v>
      </c>
      <c r="J258" s="3">
        <v>53100</v>
      </c>
      <c r="K258" s="3">
        <v>59000</v>
      </c>
      <c r="L258" s="3">
        <v>9</v>
      </c>
      <c r="M258">
        <f>Table1[[#This Row],[Qty]]*Table1[[#This Row],[Sales Price]]</f>
        <v>531000</v>
      </c>
      <c r="N258">
        <f>Table1[[#This Row],[Qty]]*Table1[[#This Row],[Cost]]</f>
        <v>477900</v>
      </c>
      <c r="O258">
        <f>Table1[[#This Row],[Revenue]]-Table1[[#This Row],[Total Cost]]</f>
        <v>53100</v>
      </c>
    </row>
    <row r="259" spans="1:15" x14ac:dyDescent="0.55000000000000004">
      <c r="A259" s="3">
        <v>258</v>
      </c>
      <c r="B259" s="4">
        <v>44923</v>
      </c>
      <c r="C259" s="4" t="str">
        <f>TEXT(Table1[[#This Row],[Date]],"YYYY")</f>
        <v>2022</v>
      </c>
      <c r="D259" s="4" t="str">
        <f>TEXT(Table1[[#This Row],[Date]],"MMM")</f>
        <v>Dec</v>
      </c>
      <c r="E259" s="5" t="s">
        <v>40</v>
      </c>
      <c r="F259" s="3" t="s">
        <v>18</v>
      </c>
      <c r="G259" s="3" t="s">
        <v>26</v>
      </c>
      <c r="H259" s="3" t="s">
        <v>17</v>
      </c>
      <c r="I259" s="3">
        <v>1</v>
      </c>
      <c r="J259" s="3">
        <v>88200</v>
      </c>
      <c r="K259" s="3">
        <v>98000</v>
      </c>
      <c r="L259" s="3">
        <v>27</v>
      </c>
      <c r="M259">
        <f>Table1[[#This Row],[Qty]]*Table1[[#This Row],[Sales Price]]</f>
        <v>2646000</v>
      </c>
      <c r="N259">
        <f>Table1[[#This Row],[Qty]]*Table1[[#This Row],[Cost]]</f>
        <v>2381400</v>
      </c>
      <c r="O259">
        <f>Table1[[#This Row],[Revenue]]-Table1[[#This Row],[Total Cost]]</f>
        <v>264600</v>
      </c>
    </row>
    <row r="260" spans="1:15" x14ac:dyDescent="0.55000000000000004">
      <c r="A260" s="3">
        <v>259</v>
      </c>
      <c r="B260" s="4">
        <v>44924</v>
      </c>
      <c r="C260" s="4" t="str">
        <f>TEXT(Table1[[#This Row],[Date]],"YYYY")</f>
        <v>2022</v>
      </c>
      <c r="D260" s="4" t="str">
        <f>TEXT(Table1[[#This Row],[Date]],"MMM")</f>
        <v>Dec</v>
      </c>
      <c r="E260" s="5" t="s">
        <v>39</v>
      </c>
      <c r="F260" s="3" t="s">
        <v>15</v>
      </c>
      <c r="G260" s="3" t="s">
        <v>37</v>
      </c>
      <c r="H260" s="3" t="s">
        <v>17</v>
      </c>
      <c r="I260" s="3">
        <v>1</v>
      </c>
      <c r="J260" s="3">
        <v>8640</v>
      </c>
      <c r="K260" s="3">
        <v>9600</v>
      </c>
      <c r="L260" s="3">
        <v>15</v>
      </c>
      <c r="M260">
        <f>Table1[[#This Row],[Qty]]*Table1[[#This Row],[Sales Price]]</f>
        <v>144000</v>
      </c>
      <c r="N260">
        <f>Table1[[#This Row],[Qty]]*Table1[[#This Row],[Cost]]</f>
        <v>129600</v>
      </c>
      <c r="O260">
        <f>Table1[[#This Row],[Revenue]]-Table1[[#This Row],[Total Cost]]</f>
        <v>14400</v>
      </c>
    </row>
    <row r="261" spans="1:15" x14ac:dyDescent="0.55000000000000004">
      <c r="A261" s="3">
        <v>260</v>
      </c>
      <c r="B261" s="4">
        <v>44925</v>
      </c>
      <c r="C261" s="4" t="str">
        <f>TEXT(Table1[[#This Row],[Date]],"YYYY")</f>
        <v>2022</v>
      </c>
      <c r="D261" s="4" t="str">
        <f>TEXT(Table1[[#This Row],[Date]],"MMM")</f>
        <v>Dec</v>
      </c>
      <c r="E261" s="5" t="s">
        <v>31</v>
      </c>
      <c r="F261" s="3" t="s">
        <v>61</v>
      </c>
      <c r="G261" s="3" t="s">
        <v>41</v>
      </c>
      <c r="H261" s="3" t="s">
        <v>28</v>
      </c>
      <c r="I261" s="3">
        <v>0</v>
      </c>
      <c r="J261" s="3">
        <v>8280</v>
      </c>
      <c r="K261" s="3">
        <v>9200</v>
      </c>
      <c r="L261" s="3">
        <v>3</v>
      </c>
      <c r="M261">
        <f>Table1[[#This Row],[Qty]]*Table1[[#This Row],[Sales Price]]</f>
        <v>27600</v>
      </c>
      <c r="N261">
        <f>Table1[[#This Row],[Qty]]*Table1[[#This Row],[Cost]]</f>
        <v>24840</v>
      </c>
      <c r="O261">
        <f>Table1[[#This Row],[Revenue]]-Table1[[#This Row],[Total Cost]]</f>
        <v>2760</v>
      </c>
    </row>
    <row r="262" spans="1:15" x14ac:dyDescent="0.55000000000000004">
      <c r="A262" s="3">
        <v>261</v>
      </c>
      <c r="B262" s="4">
        <v>44926</v>
      </c>
      <c r="C262" s="4" t="str">
        <f>TEXT(Table1[[#This Row],[Date]],"YYYY")</f>
        <v>2022</v>
      </c>
      <c r="D262" s="4" t="str">
        <f>TEXT(Table1[[#This Row],[Date]],"MMM")</f>
        <v>Dec</v>
      </c>
      <c r="E262" s="5" t="s">
        <v>35</v>
      </c>
      <c r="F262" s="3" t="s">
        <v>18</v>
      </c>
      <c r="G262" s="3" t="s">
        <v>27</v>
      </c>
      <c r="H262" s="3" t="s">
        <v>28</v>
      </c>
      <c r="I262" s="3">
        <v>1</v>
      </c>
      <c r="J262" s="3">
        <v>4950</v>
      </c>
      <c r="K262" s="3">
        <v>5500</v>
      </c>
      <c r="L262" s="3">
        <v>9</v>
      </c>
      <c r="M262">
        <f>Table1[[#This Row],[Qty]]*Table1[[#This Row],[Sales Price]]</f>
        <v>49500</v>
      </c>
      <c r="N262">
        <f>Table1[[#This Row],[Qty]]*Table1[[#This Row],[Cost]]</f>
        <v>44550</v>
      </c>
      <c r="O262">
        <f>Table1[[#This Row],[Revenue]]-Table1[[#This Row],[Total Cost]]</f>
        <v>4950</v>
      </c>
    </row>
    <row r="263" spans="1:15" x14ac:dyDescent="0.55000000000000004">
      <c r="A263" s="3">
        <v>262</v>
      </c>
      <c r="B263" s="4">
        <v>44927</v>
      </c>
      <c r="C263" s="4" t="str">
        <f>TEXT(Table1[[#This Row],[Date]],"YYYY")</f>
        <v>2023</v>
      </c>
      <c r="D263" s="4" t="str">
        <f>TEXT(Table1[[#This Row],[Date]],"MMM")</f>
        <v>Jan</v>
      </c>
      <c r="E263" s="5" t="s">
        <v>31</v>
      </c>
      <c r="F263" s="3" t="s">
        <v>15</v>
      </c>
      <c r="G263" s="3" t="s">
        <v>32</v>
      </c>
      <c r="H263" s="3" t="s">
        <v>28</v>
      </c>
      <c r="I263" s="3">
        <v>0</v>
      </c>
      <c r="J263" s="3">
        <v>3150</v>
      </c>
      <c r="K263" s="3">
        <v>3500</v>
      </c>
      <c r="L263" s="3">
        <v>22</v>
      </c>
      <c r="M263">
        <f>Table1[[#This Row],[Qty]]*Table1[[#This Row],[Sales Price]]</f>
        <v>77000</v>
      </c>
      <c r="N263">
        <f>Table1[[#This Row],[Qty]]*Table1[[#This Row],[Cost]]</f>
        <v>69300</v>
      </c>
      <c r="O263">
        <f>Table1[[#This Row],[Revenue]]-Table1[[#This Row],[Total Cost]]</f>
        <v>7700</v>
      </c>
    </row>
    <row r="264" spans="1:15" x14ac:dyDescent="0.55000000000000004">
      <c r="A264" s="3">
        <v>263</v>
      </c>
      <c r="B264" s="4">
        <v>44928</v>
      </c>
      <c r="C264" s="4" t="str">
        <f>TEXT(Table1[[#This Row],[Date]],"YYYY")</f>
        <v>2023</v>
      </c>
      <c r="D264" s="4" t="str">
        <f>TEXT(Table1[[#This Row],[Date]],"MMM")</f>
        <v>Jan</v>
      </c>
      <c r="E264" s="5" t="s">
        <v>39</v>
      </c>
      <c r="F264" s="3" t="s">
        <v>61</v>
      </c>
      <c r="G264" s="3" t="s">
        <v>42</v>
      </c>
      <c r="H264" s="3" t="s">
        <v>43</v>
      </c>
      <c r="I264" s="3"/>
      <c r="J264" s="3">
        <v>2700</v>
      </c>
      <c r="K264" s="3">
        <v>3000</v>
      </c>
      <c r="L264" s="3">
        <v>16</v>
      </c>
      <c r="M264">
        <f>Table1[[#This Row],[Qty]]*Table1[[#This Row],[Sales Price]]</f>
        <v>48000</v>
      </c>
      <c r="N264">
        <f>Table1[[#This Row],[Qty]]*Table1[[#This Row],[Cost]]</f>
        <v>43200</v>
      </c>
      <c r="O264">
        <f>Table1[[#This Row],[Revenue]]-Table1[[#This Row],[Total Cost]]</f>
        <v>4800</v>
      </c>
    </row>
    <row r="265" spans="1:15" x14ac:dyDescent="0.55000000000000004">
      <c r="A265" s="3">
        <v>264</v>
      </c>
      <c r="B265" s="4">
        <v>44929</v>
      </c>
      <c r="C265" s="4" t="str">
        <f>TEXT(Table1[[#This Row],[Date]],"YYYY")</f>
        <v>2023</v>
      </c>
      <c r="D265" s="4" t="str">
        <f>TEXT(Table1[[#This Row],[Date]],"MMM")</f>
        <v>Jan</v>
      </c>
      <c r="E265" s="5" t="s">
        <v>39</v>
      </c>
      <c r="F265" s="3" t="s">
        <v>18</v>
      </c>
      <c r="G265" s="3" t="s">
        <v>44</v>
      </c>
      <c r="H265" s="3" t="s">
        <v>43</v>
      </c>
      <c r="I265" s="3"/>
      <c r="J265" s="3">
        <v>4050</v>
      </c>
      <c r="K265" s="3">
        <v>4500</v>
      </c>
      <c r="L265" s="3">
        <v>6</v>
      </c>
      <c r="M265">
        <f>Table1[[#This Row],[Qty]]*Table1[[#This Row],[Sales Price]]</f>
        <v>27000</v>
      </c>
      <c r="N265">
        <f>Table1[[#This Row],[Qty]]*Table1[[#This Row],[Cost]]</f>
        <v>24300</v>
      </c>
      <c r="O265">
        <f>Table1[[#This Row],[Revenue]]-Table1[[#This Row],[Total Cost]]</f>
        <v>2700</v>
      </c>
    </row>
    <row r="266" spans="1:15" x14ac:dyDescent="0.55000000000000004">
      <c r="A266" s="3">
        <v>265</v>
      </c>
      <c r="B266" s="4">
        <v>44930</v>
      </c>
      <c r="C266" s="4" t="str">
        <f>TEXT(Table1[[#This Row],[Date]],"YYYY")</f>
        <v>2023</v>
      </c>
      <c r="D266" s="4" t="str">
        <f>TEXT(Table1[[#This Row],[Date]],"MMM")</f>
        <v>Jan</v>
      </c>
      <c r="E266" s="5" t="s">
        <v>63</v>
      </c>
      <c r="F266" s="3" t="s">
        <v>15</v>
      </c>
      <c r="G266" s="3" t="s">
        <v>45</v>
      </c>
      <c r="H266" s="3" t="s">
        <v>43</v>
      </c>
      <c r="I266" s="3"/>
      <c r="J266" s="3">
        <v>53100</v>
      </c>
      <c r="K266" s="3">
        <v>59000</v>
      </c>
      <c r="L266" s="3">
        <v>3</v>
      </c>
      <c r="M266">
        <f>Table1[[#This Row],[Qty]]*Table1[[#This Row],[Sales Price]]</f>
        <v>177000</v>
      </c>
      <c r="N266">
        <f>Table1[[#This Row],[Qty]]*Table1[[#This Row],[Cost]]</f>
        <v>159300</v>
      </c>
      <c r="O266">
        <f>Table1[[#This Row],[Revenue]]-Table1[[#This Row],[Total Cost]]</f>
        <v>17700</v>
      </c>
    </row>
    <row r="267" spans="1:15" x14ac:dyDescent="0.55000000000000004">
      <c r="A267" s="3">
        <v>266</v>
      </c>
      <c r="B267" s="4">
        <v>44931</v>
      </c>
      <c r="C267" s="4" t="str">
        <f>TEXT(Table1[[#This Row],[Date]],"YYYY")</f>
        <v>2023</v>
      </c>
      <c r="D267" s="4" t="str">
        <f>TEXT(Table1[[#This Row],[Date]],"MMM")</f>
        <v>Jan</v>
      </c>
      <c r="E267" s="5" t="s">
        <v>56</v>
      </c>
      <c r="F267" s="3" t="s">
        <v>61</v>
      </c>
      <c r="G267" s="3" t="s">
        <v>47</v>
      </c>
      <c r="H267" s="3" t="s">
        <v>43</v>
      </c>
      <c r="I267" s="3">
        <v>1</v>
      </c>
      <c r="J267" s="3">
        <v>88200</v>
      </c>
      <c r="K267" s="3">
        <v>98000</v>
      </c>
      <c r="L267" s="3">
        <v>5</v>
      </c>
      <c r="M267">
        <f>Table1[[#This Row],[Qty]]*Table1[[#This Row],[Sales Price]]</f>
        <v>490000</v>
      </c>
      <c r="N267">
        <f>Table1[[#This Row],[Qty]]*Table1[[#This Row],[Cost]]</f>
        <v>441000</v>
      </c>
      <c r="O267">
        <f>Table1[[#This Row],[Revenue]]-Table1[[#This Row],[Total Cost]]</f>
        <v>49000</v>
      </c>
    </row>
    <row r="268" spans="1:15" x14ac:dyDescent="0.55000000000000004">
      <c r="A268" s="3">
        <v>267</v>
      </c>
      <c r="B268" s="4">
        <v>44932</v>
      </c>
      <c r="C268" s="4" t="str">
        <f>TEXT(Table1[[#This Row],[Date]],"YYYY")</f>
        <v>2023</v>
      </c>
      <c r="D268" s="4" t="str">
        <f>TEXT(Table1[[#This Row],[Date]],"MMM")</f>
        <v>Jan</v>
      </c>
      <c r="E268" s="5" t="s">
        <v>31</v>
      </c>
      <c r="F268" s="3" t="s">
        <v>18</v>
      </c>
      <c r="G268" s="3" t="s">
        <v>48</v>
      </c>
      <c r="H268" s="3" t="s">
        <v>43</v>
      </c>
      <c r="I268" s="3">
        <v>1</v>
      </c>
      <c r="J268" s="3">
        <v>38250</v>
      </c>
      <c r="K268" s="3">
        <v>42500</v>
      </c>
      <c r="L268" s="3">
        <v>1</v>
      </c>
      <c r="M268">
        <f>Table1[[#This Row],[Qty]]*Table1[[#This Row],[Sales Price]]</f>
        <v>42500</v>
      </c>
      <c r="N268">
        <f>Table1[[#This Row],[Qty]]*Table1[[#This Row],[Cost]]</f>
        <v>38250</v>
      </c>
      <c r="O268">
        <f>Table1[[#This Row],[Revenue]]-Table1[[#This Row],[Total Cost]]</f>
        <v>4250</v>
      </c>
    </row>
    <row r="269" spans="1:15" x14ac:dyDescent="0.55000000000000004">
      <c r="A269" s="3">
        <v>268</v>
      </c>
      <c r="B269" s="4">
        <v>44933</v>
      </c>
      <c r="C269" s="4" t="str">
        <f>TEXT(Table1[[#This Row],[Date]],"YYYY")</f>
        <v>2023</v>
      </c>
      <c r="D269" s="4" t="str">
        <f>TEXT(Table1[[#This Row],[Date]],"MMM")</f>
        <v>Jan</v>
      </c>
      <c r="E269" s="5" t="s">
        <v>40</v>
      </c>
      <c r="F269" s="3" t="s">
        <v>15</v>
      </c>
      <c r="G269" s="3" t="s">
        <v>42</v>
      </c>
      <c r="H269" s="3" t="s">
        <v>43</v>
      </c>
      <c r="I269" s="3">
        <v>0</v>
      </c>
      <c r="J269" s="3">
        <v>2700</v>
      </c>
      <c r="K269" s="3">
        <v>3000</v>
      </c>
      <c r="L269" s="3">
        <v>5</v>
      </c>
      <c r="M269">
        <f>Table1[[#This Row],[Qty]]*Table1[[#This Row],[Sales Price]]</f>
        <v>15000</v>
      </c>
      <c r="N269">
        <f>Table1[[#This Row],[Qty]]*Table1[[#This Row],[Cost]]</f>
        <v>13500</v>
      </c>
      <c r="O269">
        <f>Table1[[#This Row],[Revenue]]-Table1[[#This Row],[Total Cost]]</f>
        <v>1500</v>
      </c>
    </row>
    <row r="270" spans="1:15" x14ac:dyDescent="0.55000000000000004">
      <c r="A270" s="3">
        <v>269</v>
      </c>
      <c r="B270" s="4">
        <v>44934</v>
      </c>
      <c r="C270" s="4" t="str">
        <f>TEXT(Table1[[#This Row],[Date]],"YYYY")</f>
        <v>2023</v>
      </c>
      <c r="D270" s="4" t="str">
        <f>TEXT(Table1[[#This Row],[Date]],"MMM")</f>
        <v>Jan</v>
      </c>
      <c r="E270" s="5" t="s">
        <v>22</v>
      </c>
      <c r="F270" s="3" t="s">
        <v>61</v>
      </c>
      <c r="G270" s="3" t="s">
        <v>44</v>
      </c>
      <c r="H270" s="3" t="s">
        <v>43</v>
      </c>
      <c r="I270" s="3">
        <v>1</v>
      </c>
      <c r="J270" s="3">
        <v>23850</v>
      </c>
      <c r="K270" s="3">
        <v>26500</v>
      </c>
      <c r="L270" s="3">
        <v>7</v>
      </c>
      <c r="M270">
        <f>Table1[[#This Row],[Qty]]*Table1[[#This Row],[Sales Price]]</f>
        <v>185500</v>
      </c>
      <c r="N270">
        <f>Table1[[#This Row],[Qty]]*Table1[[#This Row],[Cost]]</f>
        <v>166950</v>
      </c>
      <c r="O270">
        <f>Table1[[#This Row],[Revenue]]-Table1[[#This Row],[Total Cost]]</f>
        <v>18550</v>
      </c>
    </row>
    <row r="271" spans="1:15" x14ac:dyDescent="0.55000000000000004">
      <c r="A271" s="3">
        <v>270</v>
      </c>
      <c r="B271" s="4">
        <v>44935</v>
      </c>
      <c r="C271" s="4" t="str">
        <f>TEXT(Table1[[#This Row],[Date]],"YYYY")</f>
        <v>2023</v>
      </c>
      <c r="D271" s="4" t="str">
        <f>TEXT(Table1[[#This Row],[Date]],"MMM")</f>
        <v>Jan</v>
      </c>
      <c r="E271" s="5" t="s">
        <v>31</v>
      </c>
      <c r="F271" s="3" t="s">
        <v>18</v>
      </c>
      <c r="G271" s="3" t="s">
        <v>45</v>
      </c>
      <c r="H271" s="3" t="s">
        <v>43</v>
      </c>
      <c r="I271" s="3">
        <v>1</v>
      </c>
      <c r="J271" s="3">
        <v>24750</v>
      </c>
      <c r="K271" s="3">
        <v>27500</v>
      </c>
      <c r="L271" s="3">
        <v>4</v>
      </c>
      <c r="M271">
        <f>Table1[[#This Row],[Qty]]*Table1[[#This Row],[Sales Price]]</f>
        <v>110000</v>
      </c>
      <c r="N271">
        <f>Table1[[#This Row],[Qty]]*Table1[[#This Row],[Cost]]</f>
        <v>99000</v>
      </c>
      <c r="O271">
        <f>Table1[[#This Row],[Revenue]]-Table1[[#This Row],[Total Cost]]</f>
        <v>11000</v>
      </c>
    </row>
    <row r="272" spans="1:15" x14ac:dyDescent="0.55000000000000004">
      <c r="A272" s="3">
        <v>271</v>
      </c>
      <c r="B272" s="4">
        <v>44936</v>
      </c>
      <c r="C272" s="4" t="str">
        <f>TEXT(Table1[[#This Row],[Date]],"YYYY")</f>
        <v>2023</v>
      </c>
      <c r="D272" s="4" t="str">
        <f>TEXT(Table1[[#This Row],[Date]],"MMM")</f>
        <v>Jan</v>
      </c>
      <c r="E272" s="5" t="s">
        <v>39</v>
      </c>
      <c r="F272" s="3" t="s">
        <v>18</v>
      </c>
      <c r="G272" s="3" t="s">
        <v>47</v>
      </c>
      <c r="H272" s="3" t="s">
        <v>43</v>
      </c>
      <c r="I272" s="3">
        <v>1</v>
      </c>
      <c r="J272" s="3">
        <v>44550</v>
      </c>
      <c r="K272" s="3">
        <v>49500</v>
      </c>
      <c r="L272" s="3">
        <v>8</v>
      </c>
      <c r="M272">
        <f>Table1[[#This Row],[Qty]]*Table1[[#This Row],[Sales Price]]</f>
        <v>396000</v>
      </c>
      <c r="N272">
        <f>Table1[[#This Row],[Qty]]*Table1[[#This Row],[Cost]]</f>
        <v>356400</v>
      </c>
      <c r="O272">
        <f>Table1[[#This Row],[Revenue]]-Table1[[#This Row],[Total Cost]]</f>
        <v>39600</v>
      </c>
    </row>
    <row r="273" spans="1:15" x14ac:dyDescent="0.55000000000000004">
      <c r="A273" s="3">
        <v>272</v>
      </c>
      <c r="B273" s="4">
        <v>44937</v>
      </c>
      <c r="C273" s="4" t="str">
        <f>TEXT(Table1[[#This Row],[Date]],"YYYY")</f>
        <v>2023</v>
      </c>
      <c r="D273" s="4" t="str">
        <f>TEXT(Table1[[#This Row],[Date]],"MMM")</f>
        <v>Jan</v>
      </c>
      <c r="E273" s="5" t="s">
        <v>24</v>
      </c>
      <c r="F273" s="3" t="s">
        <v>15</v>
      </c>
      <c r="G273" s="3" t="s">
        <v>48</v>
      </c>
      <c r="H273" s="3" t="s">
        <v>43</v>
      </c>
      <c r="I273" s="3">
        <v>1</v>
      </c>
      <c r="J273" s="3">
        <v>9000</v>
      </c>
      <c r="K273" s="3">
        <v>10000</v>
      </c>
      <c r="L273" s="3">
        <v>8</v>
      </c>
      <c r="M273">
        <f>Table1[[#This Row],[Qty]]*Table1[[#This Row],[Sales Price]]</f>
        <v>80000</v>
      </c>
      <c r="N273">
        <f>Table1[[#This Row],[Qty]]*Table1[[#This Row],[Cost]]</f>
        <v>72000</v>
      </c>
      <c r="O273">
        <f>Table1[[#This Row],[Revenue]]-Table1[[#This Row],[Total Cost]]</f>
        <v>8000</v>
      </c>
    </row>
    <row r="274" spans="1:15" x14ac:dyDescent="0.55000000000000004">
      <c r="A274" s="3">
        <v>273</v>
      </c>
      <c r="B274" s="4">
        <v>44938</v>
      </c>
      <c r="C274" s="4" t="str">
        <f>TEXT(Table1[[#This Row],[Date]],"YYYY")</f>
        <v>2023</v>
      </c>
      <c r="D274" s="4" t="str">
        <f>TEXT(Table1[[#This Row],[Date]],"MMM")</f>
        <v>Jan</v>
      </c>
      <c r="E274" s="5" t="s">
        <v>59</v>
      </c>
      <c r="F274" s="3" t="s">
        <v>61</v>
      </c>
      <c r="G274" s="3" t="s">
        <v>48</v>
      </c>
      <c r="H274" s="3" t="s">
        <v>43</v>
      </c>
      <c r="I274" s="3"/>
      <c r="J274" s="3">
        <v>8640</v>
      </c>
      <c r="K274" s="3">
        <v>9600</v>
      </c>
      <c r="L274" s="3">
        <v>9</v>
      </c>
      <c r="M274">
        <f>Table1[[#This Row],[Qty]]*Table1[[#This Row],[Sales Price]]</f>
        <v>86400</v>
      </c>
      <c r="N274">
        <f>Table1[[#This Row],[Qty]]*Table1[[#This Row],[Cost]]</f>
        <v>77760</v>
      </c>
      <c r="O274">
        <f>Table1[[#This Row],[Revenue]]-Table1[[#This Row],[Total Cost]]</f>
        <v>8640</v>
      </c>
    </row>
    <row r="275" spans="1:15" x14ac:dyDescent="0.55000000000000004">
      <c r="A275" s="3">
        <v>274</v>
      </c>
      <c r="B275" s="4">
        <v>44939</v>
      </c>
      <c r="C275" s="4" t="str">
        <f>TEXT(Table1[[#This Row],[Date]],"YYYY")</f>
        <v>2023</v>
      </c>
      <c r="D275" s="4" t="str">
        <f>TEXT(Table1[[#This Row],[Date]],"MMM")</f>
        <v>Jan</v>
      </c>
      <c r="E275" s="5" t="s">
        <v>40</v>
      </c>
      <c r="F275" s="3" t="s">
        <v>18</v>
      </c>
      <c r="G275" s="3" t="s">
        <v>42</v>
      </c>
      <c r="H275" s="3" t="s">
        <v>43</v>
      </c>
      <c r="I275" s="3"/>
      <c r="J275" s="3">
        <v>9000</v>
      </c>
      <c r="K275" s="3">
        <v>10000</v>
      </c>
      <c r="L275" s="3">
        <v>2</v>
      </c>
      <c r="M275">
        <f>Table1[[#This Row],[Qty]]*Table1[[#This Row],[Sales Price]]</f>
        <v>20000</v>
      </c>
      <c r="N275">
        <f>Table1[[#This Row],[Qty]]*Table1[[#This Row],[Cost]]</f>
        <v>18000</v>
      </c>
      <c r="O275">
        <f>Table1[[#This Row],[Revenue]]-Table1[[#This Row],[Total Cost]]</f>
        <v>2000</v>
      </c>
    </row>
    <row r="276" spans="1:15" x14ac:dyDescent="0.55000000000000004">
      <c r="A276" s="3">
        <v>275</v>
      </c>
      <c r="B276" s="4">
        <v>44940</v>
      </c>
      <c r="C276" s="4" t="str">
        <f>TEXT(Table1[[#This Row],[Date]],"YYYY")</f>
        <v>2023</v>
      </c>
      <c r="D276" s="4" t="str">
        <f>TEXT(Table1[[#This Row],[Date]],"MMM")</f>
        <v>Jan</v>
      </c>
      <c r="E276" s="5" t="s">
        <v>31</v>
      </c>
      <c r="F276" s="3" t="s">
        <v>18</v>
      </c>
      <c r="G276" s="3" t="s">
        <v>42</v>
      </c>
      <c r="H276" s="3" t="s">
        <v>43</v>
      </c>
      <c r="I276" s="3">
        <v>1</v>
      </c>
      <c r="J276" s="3">
        <v>3870</v>
      </c>
      <c r="K276" s="3">
        <v>4300</v>
      </c>
      <c r="L276" s="3">
        <v>1</v>
      </c>
      <c r="M276">
        <f>Table1[[#This Row],[Qty]]*Table1[[#This Row],[Sales Price]]</f>
        <v>4300</v>
      </c>
      <c r="N276">
        <f>Table1[[#This Row],[Qty]]*Table1[[#This Row],[Cost]]</f>
        <v>3870</v>
      </c>
      <c r="O276">
        <f>Table1[[#This Row],[Revenue]]-Table1[[#This Row],[Total Cost]]</f>
        <v>430</v>
      </c>
    </row>
    <row r="277" spans="1:15" x14ac:dyDescent="0.55000000000000004">
      <c r="A277" s="3">
        <v>276</v>
      </c>
      <c r="B277" s="4">
        <v>44941</v>
      </c>
      <c r="C277" s="4" t="str">
        <f>TEXT(Table1[[#This Row],[Date]],"YYYY")</f>
        <v>2023</v>
      </c>
      <c r="D277" s="4" t="str">
        <f>TEXT(Table1[[#This Row],[Date]],"MMM")</f>
        <v>Jan</v>
      </c>
      <c r="E277" s="5" t="s">
        <v>22</v>
      </c>
      <c r="F277" s="3" t="s">
        <v>15</v>
      </c>
      <c r="G277" s="3" t="s">
        <v>44</v>
      </c>
      <c r="H277" s="3" t="s">
        <v>43</v>
      </c>
      <c r="I277" s="3">
        <v>1</v>
      </c>
      <c r="J277" s="3">
        <v>8640</v>
      </c>
      <c r="K277" s="3">
        <v>9600</v>
      </c>
      <c r="L277" s="3">
        <v>22</v>
      </c>
      <c r="M277">
        <f>Table1[[#This Row],[Qty]]*Table1[[#This Row],[Sales Price]]</f>
        <v>211200</v>
      </c>
      <c r="N277">
        <f>Table1[[#This Row],[Qty]]*Table1[[#This Row],[Cost]]</f>
        <v>190080</v>
      </c>
      <c r="O277">
        <f>Table1[[#This Row],[Revenue]]-Table1[[#This Row],[Total Cost]]</f>
        <v>21120</v>
      </c>
    </row>
    <row r="278" spans="1:15" x14ac:dyDescent="0.55000000000000004">
      <c r="A278" s="3">
        <v>277</v>
      </c>
      <c r="B278" s="4">
        <v>44942</v>
      </c>
      <c r="C278" s="4" t="str">
        <f>TEXT(Table1[[#This Row],[Date]],"YYYY")</f>
        <v>2023</v>
      </c>
      <c r="D278" s="4" t="str">
        <f>TEXT(Table1[[#This Row],[Date]],"MMM")</f>
        <v>Jan</v>
      </c>
      <c r="E278" s="5" t="s">
        <v>24</v>
      </c>
      <c r="F278" s="3" t="s">
        <v>61</v>
      </c>
      <c r="G278" s="3" t="s">
        <v>45</v>
      </c>
      <c r="H278" s="3" t="s">
        <v>43</v>
      </c>
      <c r="I278" s="3">
        <v>1</v>
      </c>
      <c r="J278" s="3">
        <v>8280</v>
      </c>
      <c r="K278" s="3">
        <v>9200</v>
      </c>
      <c r="L278" s="3">
        <v>8</v>
      </c>
      <c r="M278">
        <f>Table1[[#This Row],[Qty]]*Table1[[#This Row],[Sales Price]]</f>
        <v>73600</v>
      </c>
      <c r="N278">
        <f>Table1[[#This Row],[Qty]]*Table1[[#This Row],[Cost]]</f>
        <v>66240</v>
      </c>
      <c r="O278">
        <f>Table1[[#This Row],[Revenue]]-Table1[[#This Row],[Total Cost]]</f>
        <v>7360</v>
      </c>
    </row>
    <row r="279" spans="1:15" x14ac:dyDescent="0.55000000000000004">
      <c r="A279" s="3">
        <v>278</v>
      </c>
      <c r="B279" s="4">
        <v>44943</v>
      </c>
      <c r="C279" s="4" t="str">
        <f>TEXT(Table1[[#This Row],[Date]],"YYYY")</f>
        <v>2023</v>
      </c>
      <c r="D279" s="4" t="str">
        <f>TEXT(Table1[[#This Row],[Date]],"MMM")</f>
        <v>Jan</v>
      </c>
      <c r="E279" s="5" t="s">
        <v>33</v>
      </c>
      <c r="F279" s="3" t="s">
        <v>18</v>
      </c>
      <c r="G279" s="3" t="s">
        <v>47</v>
      </c>
      <c r="H279" s="3" t="s">
        <v>43</v>
      </c>
      <c r="I279" s="3">
        <v>1</v>
      </c>
      <c r="J279" s="3">
        <v>4950</v>
      </c>
      <c r="K279" s="3">
        <v>5500</v>
      </c>
      <c r="L279" s="3">
        <v>7</v>
      </c>
      <c r="M279">
        <f>Table1[[#This Row],[Qty]]*Table1[[#This Row],[Sales Price]]</f>
        <v>38500</v>
      </c>
      <c r="N279">
        <f>Table1[[#This Row],[Qty]]*Table1[[#This Row],[Cost]]</f>
        <v>34650</v>
      </c>
      <c r="O279">
        <f>Table1[[#This Row],[Revenue]]-Table1[[#This Row],[Total Cost]]</f>
        <v>3850</v>
      </c>
    </row>
    <row r="280" spans="1:15" x14ac:dyDescent="0.55000000000000004">
      <c r="A280" s="3">
        <v>279</v>
      </c>
      <c r="B280" s="4">
        <v>44944</v>
      </c>
      <c r="C280" s="4" t="str">
        <f>TEXT(Table1[[#This Row],[Date]],"YYYY")</f>
        <v>2023</v>
      </c>
      <c r="D280" s="4" t="str">
        <f>TEXT(Table1[[#This Row],[Date]],"MMM")</f>
        <v>Jan</v>
      </c>
      <c r="E280" s="5" t="s">
        <v>58</v>
      </c>
      <c r="F280" s="3" t="s">
        <v>18</v>
      </c>
      <c r="G280" s="3" t="s">
        <v>48</v>
      </c>
      <c r="H280" s="3" t="s">
        <v>43</v>
      </c>
      <c r="I280" s="3">
        <v>1</v>
      </c>
      <c r="J280" s="3">
        <v>3150</v>
      </c>
      <c r="K280" s="3">
        <v>3500</v>
      </c>
      <c r="L280" s="3">
        <v>56</v>
      </c>
      <c r="M280">
        <f>Table1[[#This Row],[Qty]]*Table1[[#This Row],[Sales Price]]</f>
        <v>196000</v>
      </c>
      <c r="N280">
        <f>Table1[[#This Row],[Qty]]*Table1[[#This Row],[Cost]]</f>
        <v>176400</v>
      </c>
      <c r="O280">
        <f>Table1[[#This Row],[Revenue]]-Table1[[#This Row],[Total Cost]]</f>
        <v>19600</v>
      </c>
    </row>
    <row r="281" spans="1:15" x14ac:dyDescent="0.55000000000000004">
      <c r="A281" s="3">
        <v>280</v>
      </c>
      <c r="B281" s="4">
        <v>44945</v>
      </c>
      <c r="C281" s="4" t="str">
        <f>TEXT(Table1[[#This Row],[Date]],"YYYY")</f>
        <v>2023</v>
      </c>
      <c r="D281" s="4" t="str">
        <f>TEXT(Table1[[#This Row],[Date]],"MMM")</f>
        <v>Jan</v>
      </c>
      <c r="E281" s="5" t="s">
        <v>39</v>
      </c>
      <c r="F281" s="3" t="s">
        <v>18</v>
      </c>
      <c r="G281" s="3" t="s">
        <v>42</v>
      </c>
      <c r="H281" s="3" t="s">
        <v>43</v>
      </c>
      <c r="I281" s="3">
        <v>1</v>
      </c>
      <c r="J281" s="3">
        <v>2700</v>
      </c>
      <c r="K281" s="3">
        <v>3000</v>
      </c>
      <c r="L281" s="3">
        <v>10</v>
      </c>
      <c r="M281">
        <f>Table1[[#This Row],[Qty]]*Table1[[#This Row],[Sales Price]]</f>
        <v>30000</v>
      </c>
      <c r="N281">
        <f>Table1[[#This Row],[Qty]]*Table1[[#This Row],[Cost]]</f>
        <v>27000</v>
      </c>
      <c r="O281">
        <f>Table1[[#This Row],[Revenue]]-Table1[[#This Row],[Total Cost]]</f>
        <v>3000</v>
      </c>
    </row>
    <row r="282" spans="1:15" x14ac:dyDescent="0.55000000000000004">
      <c r="A282" s="3">
        <v>281</v>
      </c>
      <c r="B282" s="4">
        <v>44946</v>
      </c>
      <c r="C282" s="4" t="str">
        <f>TEXT(Table1[[#This Row],[Date]],"YYYY")</f>
        <v>2023</v>
      </c>
      <c r="D282" s="4" t="str">
        <f>TEXT(Table1[[#This Row],[Date]],"MMM")</f>
        <v>Jan</v>
      </c>
      <c r="E282" s="5" t="s">
        <v>53</v>
      </c>
      <c r="F282" s="3" t="s">
        <v>18</v>
      </c>
      <c r="G282" s="3" t="s">
        <v>44</v>
      </c>
      <c r="H282" s="3" t="s">
        <v>43</v>
      </c>
      <c r="I282" s="3"/>
      <c r="J282" s="3">
        <v>4050</v>
      </c>
      <c r="K282" s="3">
        <v>4500</v>
      </c>
      <c r="L282" s="3">
        <v>9</v>
      </c>
      <c r="M282">
        <f>Table1[[#This Row],[Qty]]*Table1[[#This Row],[Sales Price]]</f>
        <v>40500</v>
      </c>
      <c r="N282">
        <f>Table1[[#This Row],[Qty]]*Table1[[#This Row],[Cost]]</f>
        <v>36450</v>
      </c>
      <c r="O282">
        <f>Table1[[#This Row],[Revenue]]-Table1[[#This Row],[Total Cost]]</f>
        <v>4050</v>
      </c>
    </row>
    <row r="283" spans="1:15" x14ac:dyDescent="0.55000000000000004">
      <c r="A283" s="3">
        <v>282</v>
      </c>
      <c r="B283" s="4">
        <v>44947</v>
      </c>
      <c r="C283" s="4" t="str">
        <f>TEXT(Table1[[#This Row],[Date]],"YYYY")</f>
        <v>2023</v>
      </c>
      <c r="D283" s="4" t="str">
        <f>TEXT(Table1[[#This Row],[Date]],"MMM")</f>
        <v>Jan</v>
      </c>
      <c r="E283" s="5" t="s">
        <v>53</v>
      </c>
      <c r="F283" s="3" t="s">
        <v>18</v>
      </c>
      <c r="G283" s="3" t="s">
        <v>45</v>
      </c>
      <c r="H283" s="3" t="s">
        <v>43</v>
      </c>
      <c r="I283" s="3"/>
      <c r="J283" s="3">
        <v>53100</v>
      </c>
      <c r="K283" s="3">
        <v>59000</v>
      </c>
      <c r="L283" s="3">
        <v>27</v>
      </c>
      <c r="M283">
        <f>Table1[[#This Row],[Qty]]*Table1[[#This Row],[Sales Price]]</f>
        <v>1593000</v>
      </c>
      <c r="N283">
        <f>Table1[[#This Row],[Qty]]*Table1[[#This Row],[Cost]]</f>
        <v>1433700</v>
      </c>
      <c r="O283">
        <f>Table1[[#This Row],[Revenue]]-Table1[[#This Row],[Total Cost]]</f>
        <v>159300</v>
      </c>
    </row>
    <row r="284" spans="1:15" x14ac:dyDescent="0.55000000000000004">
      <c r="A284" s="3">
        <v>283</v>
      </c>
      <c r="B284" s="4">
        <v>44948</v>
      </c>
      <c r="C284" s="4" t="str">
        <f>TEXT(Table1[[#This Row],[Date]],"YYYY")</f>
        <v>2023</v>
      </c>
      <c r="D284" s="4" t="str">
        <f>TEXT(Table1[[#This Row],[Date]],"MMM")</f>
        <v>Jan</v>
      </c>
      <c r="E284" s="5" t="s">
        <v>14</v>
      </c>
      <c r="F284" s="3" t="s">
        <v>18</v>
      </c>
      <c r="G284" s="3" t="s">
        <v>47</v>
      </c>
      <c r="H284" s="3" t="s">
        <v>43</v>
      </c>
      <c r="I284" s="3"/>
      <c r="J284" s="3">
        <v>88200</v>
      </c>
      <c r="K284" s="3">
        <v>98000</v>
      </c>
      <c r="L284" s="3">
        <v>15</v>
      </c>
      <c r="M284">
        <f>Table1[[#This Row],[Qty]]*Table1[[#This Row],[Sales Price]]</f>
        <v>1470000</v>
      </c>
      <c r="N284">
        <f>Table1[[#This Row],[Qty]]*Table1[[#This Row],[Cost]]</f>
        <v>1323000</v>
      </c>
      <c r="O284">
        <f>Table1[[#This Row],[Revenue]]-Table1[[#This Row],[Total Cost]]</f>
        <v>147000</v>
      </c>
    </row>
    <row r="285" spans="1:15" x14ac:dyDescent="0.55000000000000004">
      <c r="A285" s="3">
        <v>284</v>
      </c>
      <c r="B285" s="4">
        <v>44949</v>
      </c>
      <c r="C285" s="4" t="str">
        <f>TEXT(Table1[[#This Row],[Date]],"YYYY")</f>
        <v>2023</v>
      </c>
      <c r="D285" s="4" t="str">
        <f>TEXT(Table1[[#This Row],[Date]],"MMM")</f>
        <v>Jan</v>
      </c>
      <c r="E285" s="5" t="s">
        <v>22</v>
      </c>
      <c r="F285" s="3" t="s">
        <v>18</v>
      </c>
      <c r="G285" s="3" t="s">
        <v>48</v>
      </c>
      <c r="H285" s="3" t="s">
        <v>43</v>
      </c>
      <c r="I285" s="3">
        <v>1</v>
      </c>
      <c r="J285" s="3">
        <v>38250</v>
      </c>
      <c r="K285" s="3">
        <v>42500</v>
      </c>
      <c r="L285" s="3">
        <v>3</v>
      </c>
      <c r="M285">
        <f>Table1[[#This Row],[Qty]]*Table1[[#This Row],[Sales Price]]</f>
        <v>127500</v>
      </c>
      <c r="N285">
        <f>Table1[[#This Row],[Qty]]*Table1[[#This Row],[Cost]]</f>
        <v>114750</v>
      </c>
      <c r="O285">
        <f>Table1[[#This Row],[Revenue]]-Table1[[#This Row],[Total Cost]]</f>
        <v>12750</v>
      </c>
    </row>
    <row r="286" spans="1:15" x14ac:dyDescent="0.55000000000000004">
      <c r="A286" s="3">
        <v>285</v>
      </c>
      <c r="B286" s="4">
        <v>44950</v>
      </c>
      <c r="C286" s="4" t="str">
        <f>TEXT(Table1[[#This Row],[Date]],"YYYY")</f>
        <v>2023</v>
      </c>
      <c r="D286" s="4" t="str">
        <f>TEXT(Table1[[#This Row],[Date]],"MMM")</f>
        <v>Jan</v>
      </c>
      <c r="E286" s="5" t="s">
        <v>56</v>
      </c>
      <c r="F286" s="3" t="s">
        <v>18</v>
      </c>
      <c r="G286" s="3" t="s">
        <v>48</v>
      </c>
      <c r="H286" s="3" t="s">
        <v>43</v>
      </c>
      <c r="I286" s="3">
        <v>1</v>
      </c>
      <c r="J286" s="3">
        <v>2700</v>
      </c>
      <c r="K286" s="3">
        <v>3000</v>
      </c>
      <c r="L286" s="3">
        <v>9</v>
      </c>
      <c r="M286">
        <f>Table1[[#This Row],[Qty]]*Table1[[#This Row],[Sales Price]]</f>
        <v>27000</v>
      </c>
      <c r="N286">
        <f>Table1[[#This Row],[Qty]]*Table1[[#This Row],[Cost]]</f>
        <v>24300</v>
      </c>
      <c r="O286">
        <f>Table1[[#This Row],[Revenue]]-Table1[[#This Row],[Total Cost]]</f>
        <v>2700</v>
      </c>
    </row>
    <row r="287" spans="1:15" x14ac:dyDescent="0.55000000000000004">
      <c r="A287" s="3">
        <v>286</v>
      </c>
      <c r="B287" s="4">
        <v>44951</v>
      </c>
      <c r="C287" s="4" t="str">
        <f>TEXT(Table1[[#This Row],[Date]],"YYYY")</f>
        <v>2023</v>
      </c>
      <c r="D287" s="4" t="str">
        <f>TEXT(Table1[[#This Row],[Date]],"MMM")</f>
        <v>Jan</v>
      </c>
      <c r="E287" s="5" t="s">
        <v>56</v>
      </c>
      <c r="F287" s="3" t="s">
        <v>18</v>
      </c>
      <c r="G287" s="3" t="s">
        <v>42</v>
      </c>
      <c r="H287" s="3" t="s">
        <v>43</v>
      </c>
      <c r="I287" s="3">
        <v>1</v>
      </c>
      <c r="J287" s="3">
        <v>23850</v>
      </c>
      <c r="K287" s="3">
        <v>26500</v>
      </c>
      <c r="L287" s="3">
        <v>22</v>
      </c>
      <c r="M287">
        <f>Table1[[#This Row],[Qty]]*Table1[[#This Row],[Sales Price]]</f>
        <v>583000</v>
      </c>
      <c r="N287">
        <f>Table1[[#This Row],[Qty]]*Table1[[#This Row],[Cost]]</f>
        <v>524700</v>
      </c>
      <c r="O287">
        <f>Table1[[#This Row],[Revenue]]-Table1[[#This Row],[Total Cost]]</f>
        <v>58300</v>
      </c>
    </row>
    <row r="288" spans="1:15" x14ac:dyDescent="0.55000000000000004">
      <c r="A288" s="3">
        <v>287</v>
      </c>
      <c r="B288" s="4">
        <v>44952</v>
      </c>
      <c r="C288" s="4" t="str">
        <f>TEXT(Table1[[#This Row],[Date]],"YYYY")</f>
        <v>2023</v>
      </c>
      <c r="D288" s="4" t="str">
        <f>TEXT(Table1[[#This Row],[Date]],"MMM")</f>
        <v>Jan</v>
      </c>
      <c r="E288" s="5" t="s">
        <v>31</v>
      </c>
      <c r="F288" s="3" t="s">
        <v>18</v>
      </c>
      <c r="G288" s="3" t="s">
        <v>38</v>
      </c>
      <c r="H288" s="3" t="s">
        <v>17</v>
      </c>
      <c r="I288" s="3">
        <v>0</v>
      </c>
      <c r="J288" s="3">
        <v>24750</v>
      </c>
      <c r="K288" s="3">
        <v>27500</v>
      </c>
      <c r="L288" s="3">
        <v>16</v>
      </c>
      <c r="M288">
        <f>Table1[[#This Row],[Qty]]*Table1[[#This Row],[Sales Price]]</f>
        <v>440000</v>
      </c>
      <c r="N288">
        <f>Table1[[#This Row],[Qty]]*Table1[[#This Row],[Cost]]</f>
        <v>396000</v>
      </c>
      <c r="O288">
        <f>Table1[[#This Row],[Revenue]]-Table1[[#This Row],[Total Cost]]</f>
        <v>44000</v>
      </c>
    </row>
    <row r="289" spans="1:15" x14ac:dyDescent="0.55000000000000004">
      <c r="A289" s="3">
        <v>288</v>
      </c>
      <c r="B289" s="4">
        <v>44953</v>
      </c>
      <c r="C289" s="4" t="str">
        <f>TEXT(Table1[[#This Row],[Date]],"YYYY")</f>
        <v>2023</v>
      </c>
      <c r="D289" s="4" t="str">
        <f>TEXT(Table1[[#This Row],[Date]],"MMM")</f>
        <v>Jan</v>
      </c>
      <c r="E289" s="5" t="s">
        <v>14</v>
      </c>
      <c r="F289" s="3" t="s">
        <v>18</v>
      </c>
      <c r="G289" s="3" t="s">
        <v>19</v>
      </c>
      <c r="H289" s="3" t="s">
        <v>17</v>
      </c>
      <c r="I289" s="3">
        <v>0</v>
      </c>
      <c r="J289" s="3">
        <v>44550</v>
      </c>
      <c r="K289" s="3">
        <v>49500</v>
      </c>
      <c r="L289" s="3">
        <v>6</v>
      </c>
      <c r="M289">
        <f>Table1[[#This Row],[Qty]]*Table1[[#This Row],[Sales Price]]</f>
        <v>297000</v>
      </c>
      <c r="N289">
        <f>Table1[[#This Row],[Qty]]*Table1[[#This Row],[Cost]]</f>
        <v>267300</v>
      </c>
      <c r="O289">
        <f>Table1[[#This Row],[Revenue]]-Table1[[#This Row],[Total Cost]]</f>
        <v>29700</v>
      </c>
    </row>
    <row r="290" spans="1:15" x14ac:dyDescent="0.55000000000000004">
      <c r="A290" s="3">
        <v>289</v>
      </c>
      <c r="B290" s="4">
        <v>44954</v>
      </c>
      <c r="C290" s="4" t="str">
        <f>TEXT(Table1[[#This Row],[Date]],"YYYY")</f>
        <v>2023</v>
      </c>
      <c r="D290" s="4" t="str">
        <f>TEXT(Table1[[#This Row],[Date]],"MMM")</f>
        <v>Jan</v>
      </c>
      <c r="E290" s="5" t="s">
        <v>22</v>
      </c>
      <c r="F290" s="3" t="s">
        <v>18</v>
      </c>
      <c r="G290" s="3" t="s">
        <v>21</v>
      </c>
      <c r="H290" s="3" t="s">
        <v>17</v>
      </c>
      <c r="I290" s="3">
        <v>0</v>
      </c>
      <c r="J290" s="3">
        <v>9000</v>
      </c>
      <c r="K290" s="3">
        <v>10000</v>
      </c>
      <c r="L290" s="3">
        <v>3</v>
      </c>
      <c r="M290">
        <f>Table1[[#This Row],[Qty]]*Table1[[#This Row],[Sales Price]]</f>
        <v>30000</v>
      </c>
      <c r="N290">
        <f>Table1[[#This Row],[Qty]]*Table1[[#This Row],[Cost]]</f>
        <v>27000</v>
      </c>
      <c r="O290">
        <f>Table1[[#This Row],[Revenue]]-Table1[[#This Row],[Total Cost]]</f>
        <v>3000</v>
      </c>
    </row>
    <row r="291" spans="1:15" x14ac:dyDescent="0.55000000000000004">
      <c r="A291" s="3">
        <v>290</v>
      </c>
      <c r="B291" s="4">
        <v>44955</v>
      </c>
      <c r="C291" s="4" t="str">
        <f>TEXT(Table1[[#This Row],[Date]],"YYYY")</f>
        <v>2023</v>
      </c>
      <c r="D291" s="4" t="str">
        <f>TEXT(Table1[[#This Row],[Date]],"MMM")</f>
        <v>Jan</v>
      </c>
      <c r="E291" s="5" t="s">
        <v>31</v>
      </c>
      <c r="F291" s="3" t="s">
        <v>18</v>
      </c>
      <c r="G291" s="3" t="s">
        <v>23</v>
      </c>
      <c r="H291" s="3" t="s">
        <v>17</v>
      </c>
      <c r="I291" s="3">
        <v>1</v>
      </c>
      <c r="J291" s="3">
        <v>8640</v>
      </c>
      <c r="K291" s="3">
        <v>9600</v>
      </c>
      <c r="L291" s="3">
        <v>5</v>
      </c>
      <c r="M291">
        <f>Table1[[#This Row],[Qty]]*Table1[[#This Row],[Sales Price]]</f>
        <v>48000</v>
      </c>
      <c r="N291">
        <f>Table1[[#This Row],[Qty]]*Table1[[#This Row],[Cost]]</f>
        <v>43200</v>
      </c>
      <c r="O291">
        <f>Table1[[#This Row],[Revenue]]-Table1[[#This Row],[Total Cost]]</f>
        <v>4800</v>
      </c>
    </row>
    <row r="292" spans="1:15" x14ac:dyDescent="0.55000000000000004">
      <c r="A292" s="3">
        <v>291</v>
      </c>
      <c r="B292" s="4">
        <v>44956</v>
      </c>
      <c r="C292" s="4" t="str">
        <f>TEXT(Table1[[#This Row],[Date]],"YYYY")</f>
        <v>2023</v>
      </c>
      <c r="D292" s="4" t="str">
        <f>TEXT(Table1[[#This Row],[Date]],"MMM")</f>
        <v>Jan</v>
      </c>
      <c r="E292" s="5" t="s">
        <v>22</v>
      </c>
      <c r="F292" s="3" t="s">
        <v>18</v>
      </c>
      <c r="G292" s="3" t="s">
        <v>25</v>
      </c>
      <c r="H292" s="3" t="s">
        <v>17</v>
      </c>
      <c r="I292" s="3"/>
      <c r="J292" s="3">
        <v>9000</v>
      </c>
      <c r="K292" s="3">
        <v>10000</v>
      </c>
      <c r="L292" s="3">
        <v>1</v>
      </c>
      <c r="M292">
        <f>Table1[[#This Row],[Qty]]*Table1[[#This Row],[Sales Price]]</f>
        <v>10000</v>
      </c>
      <c r="N292">
        <f>Table1[[#This Row],[Qty]]*Table1[[#This Row],[Cost]]</f>
        <v>9000</v>
      </c>
      <c r="O292">
        <f>Table1[[#This Row],[Revenue]]-Table1[[#This Row],[Total Cost]]</f>
        <v>1000</v>
      </c>
    </row>
    <row r="293" spans="1:15" x14ac:dyDescent="0.55000000000000004">
      <c r="A293" s="3">
        <v>292</v>
      </c>
      <c r="B293" s="4">
        <v>44957</v>
      </c>
      <c r="C293" s="4" t="str">
        <f>TEXT(Table1[[#This Row],[Date]],"YYYY")</f>
        <v>2023</v>
      </c>
      <c r="D293" s="4" t="str">
        <f>TEXT(Table1[[#This Row],[Date]],"MMM")</f>
        <v>Jan</v>
      </c>
      <c r="E293" s="5" t="s">
        <v>40</v>
      </c>
      <c r="F293" s="3" t="s">
        <v>18</v>
      </c>
      <c r="G293" s="3" t="s">
        <v>26</v>
      </c>
      <c r="H293" s="3" t="s">
        <v>17</v>
      </c>
      <c r="I293" s="3"/>
      <c r="J293" s="3">
        <v>3870</v>
      </c>
      <c r="K293" s="3">
        <v>4300</v>
      </c>
      <c r="L293" s="3">
        <v>5</v>
      </c>
      <c r="M293">
        <f>Table1[[#This Row],[Qty]]*Table1[[#This Row],[Sales Price]]</f>
        <v>21500</v>
      </c>
      <c r="N293">
        <f>Table1[[#This Row],[Qty]]*Table1[[#This Row],[Cost]]</f>
        <v>19350</v>
      </c>
      <c r="O293">
        <f>Table1[[#This Row],[Revenue]]-Table1[[#This Row],[Total Cost]]</f>
        <v>2150</v>
      </c>
    </row>
    <row r="294" spans="1:15" x14ac:dyDescent="0.55000000000000004">
      <c r="A294" s="3">
        <v>293</v>
      </c>
      <c r="B294" s="4">
        <v>44958</v>
      </c>
      <c r="C294" s="4" t="str">
        <f>TEXT(Table1[[#This Row],[Date]],"YYYY")</f>
        <v>2023</v>
      </c>
      <c r="D294" s="4" t="str">
        <f>TEXT(Table1[[#This Row],[Date]],"MMM")</f>
        <v>Feb</v>
      </c>
      <c r="E294" s="5" t="s">
        <v>49</v>
      </c>
      <c r="F294" s="3" t="s">
        <v>18</v>
      </c>
      <c r="G294" s="3" t="s">
        <v>37</v>
      </c>
      <c r="H294" s="3" t="s">
        <v>17</v>
      </c>
      <c r="I294" s="3">
        <v>1</v>
      </c>
      <c r="J294" s="3">
        <v>8280</v>
      </c>
      <c r="K294" s="3">
        <v>9200</v>
      </c>
      <c r="L294" s="3">
        <v>7</v>
      </c>
      <c r="M294">
        <f>Table1[[#This Row],[Qty]]*Table1[[#This Row],[Sales Price]]</f>
        <v>64400</v>
      </c>
      <c r="N294">
        <f>Table1[[#This Row],[Qty]]*Table1[[#This Row],[Cost]]</f>
        <v>57960</v>
      </c>
      <c r="O294">
        <f>Table1[[#This Row],[Revenue]]-Table1[[#This Row],[Total Cost]]</f>
        <v>6440</v>
      </c>
    </row>
    <row r="295" spans="1:15" x14ac:dyDescent="0.55000000000000004">
      <c r="A295" s="3">
        <v>294</v>
      </c>
      <c r="B295" s="4">
        <v>44959</v>
      </c>
      <c r="C295" s="4" t="str">
        <f>TEXT(Table1[[#This Row],[Date]],"YYYY")</f>
        <v>2023</v>
      </c>
      <c r="D295" s="4" t="str">
        <f>TEXT(Table1[[#This Row],[Date]],"MMM")</f>
        <v>Feb</v>
      </c>
      <c r="E295" s="5" t="s">
        <v>22</v>
      </c>
      <c r="F295" s="3" t="s">
        <v>18</v>
      </c>
      <c r="G295" s="3" t="s">
        <v>41</v>
      </c>
      <c r="H295" s="3" t="s">
        <v>28</v>
      </c>
      <c r="I295" s="3">
        <v>1</v>
      </c>
      <c r="J295" s="3">
        <v>4950</v>
      </c>
      <c r="K295" s="3">
        <v>5500</v>
      </c>
      <c r="L295" s="3">
        <v>4</v>
      </c>
      <c r="M295">
        <f>Table1[[#This Row],[Qty]]*Table1[[#This Row],[Sales Price]]</f>
        <v>22000</v>
      </c>
      <c r="N295">
        <f>Table1[[#This Row],[Qty]]*Table1[[#This Row],[Cost]]</f>
        <v>19800</v>
      </c>
      <c r="O295">
        <f>Table1[[#This Row],[Revenue]]-Table1[[#This Row],[Total Cost]]</f>
        <v>2200</v>
      </c>
    </row>
    <row r="296" spans="1:15" x14ac:dyDescent="0.55000000000000004">
      <c r="A296" s="3">
        <v>295</v>
      </c>
      <c r="B296" s="4">
        <v>44960</v>
      </c>
      <c r="C296" s="4" t="str">
        <f>TEXT(Table1[[#This Row],[Date]],"YYYY")</f>
        <v>2023</v>
      </c>
      <c r="D296" s="4" t="str">
        <f>TEXT(Table1[[#This Row],[Date]],"MMM")</f>
        <v>Feb</v>
      </c>
      <c r="E296" s="5" t="s">
        <v>39</v>
      </c>
      <c r="F296" s="3" t="s">
        <v>18</v>
      </c>
      <c r="G296" s="3" t="s">
        <v>27</v>
      </c>
      <c r="H296" s="3" t="s">
        <v>28</v>
      </c>
      <c r="I296" s="3">
        <v>0</v>
      </c>
      <c r="J296" s="3">
        <v>3150</v>
      </c>
      <c r="K296" s="3">
        <v>3500</v>
      </c>
      <c r="L296" s="3">
        <v>8</v>
      </c>
      <c r="M296">
        <f>Table1[[#This Row],[Qty]]*Table1[[#This Row],[Sales Price]]</f>
        <v>28000</v>
      </c>
      <c r="N296">
        <f>Table1[[#This Row],[Qty]]*Table1[[#This Row],[Cost]]</f>
        <v>25200</v>
      </c>
      <c r="O296">
        <f>Table1[[#This Row],[Revenue]]-Table1[[#This Row],[Total Cost]]</f>
        <v>2800</v>
      </c>
    </row>
    <row r="297" spans="1:15" x14ac:dyDescent="0.55000000000000004">
      <c r="A297" s="3">
        <v>296</v>
      </c>
      <c r="B297" s="4">
        <v>44961</v>
      </c>
      <c r="C297" s="4" t="str">
        <f>TEXT(Table1[[#This Row],[Date]],"YYYY")</f>
        <v>2023</v>
      </c>
      <c r="D297" s="4" t="str">
        <f>TEXT(Table1[[#This Row],[Date]],"MMM")</f>
        <v>Feb</v>
      </c>
      <c r="E297" s="5" t="s">
        <v>33</v>
      </c>
      <c r="F297" s="3" t="s">
        <v>18</v>
      </c>
      <c r="G297" s="3" t="s">
        <v>32</v>
      </c>
      <c r="H297" s="3" t="s">
        <v>28</v>
      </c>
      <c r="I297" s="3">
        <v>1</v>
      </c>
      <c r="J297" s="3">
        <v>2700</v>
      </c>
      <c r="K297" s="3">
        <v>3000</v>
      </c>
      <c r="L297" s="3">
        <v>8</v>
      </c>
      <c r="M297">
        <f>Table1[[#This Row],[Qty]]*Table1[[#This Row],[Sales Price]]</f>
        <v>24000</v>
      </c>
      <c r="N297">
        <f>Table1[[#This Row],[Qty]]*Table1[[#This Row],[Cost]]</f>
        <v>21600</v>
      </c>
      <c r="O297">
        <f>Table1[[#This Row],[Revenue]]-Table1[[#This Row],[Total Cost]]</f>
        <v>2400</v>
      </c>
    </row>
    <row r="298" spans="1:15" x14ac:dyDescent="0.55000000000000004">
      <c r="A298" s="3">
        <v>297</v>
      </c>
      <c r="B298" s="4">
        <v>44962</v>
      </c>
      <c r="C298" s="4" t="str">
        <f>TEXT(Table1[[#This Row],[Date]],"YYYY")</f>
        <v>2023</v>
      </c>
      <c r="D298" s="4" t="str">
        <f>TEXT(Table1[[#This Row],[Date]],"MMM")</f>
        <v>Feb</v>
      </c>
      <c r="E298" s="5" t="s">
        <v>56</v>
      </c>
      <c r="F298" s="3" t="s">
        <v>18</v>
      </c>
      <c r="G298" s="3" t="s">
        <v>42</v>
      </c>
      <c r="H298" s="3" t="s">
        <v>43</v>
      </c>
      <c r="I298" s="3">
        <v>1</v>
      </c>
      <c r="J298" s="3">
        <v>4050</v>
      </c>
      <c r="K298" s="3">
        <v>4500</v>
      </c>
      <c r="L298" s="3">
        <v>9</v>
      </c>
      <c r="M298">
        <f>Table1[[#This Row],[Qty]]*Table1[[#This Row],[Sales Price]]</f>
        <v>40500</v>
      </c>
      <c r="N298">
        <f>Table1[[#This Row],[Qty]]*Table1[[#This Row],[Cost]]</f>
        <v>36450</v>
      </c>
      <c r="O298">
        <f>Table1[[#This Row],[Revenue]]-Table1[[#This Row],[Total Cost]]</f>
        <v>4050</v>
      </c>
    </row>
    <row r="299" spans="1:15" x14ac:dyDescent="0.55000000000000004">
      <c r="A299" s="3">
        <v>298</v>
      </c>
      <c r="B299" s="4">
        <v>44963</v>
      </c>
      <c r="C299" s="4" t="str">
        <f>TEXT(Table1[[#This Row],[Date]],"YYYY")</f>
        <v>2023</v>
      </c>
      <c r="D299" s="4" t="str">
        <f>TEXT(Table1[[#This Row],[Date]],"MMM")</f>
        <v>Feb</v>
      </c>
      <c r="E299" s="5" t="s">
        <v>57</v>
      </c>
      <c r="F299" s="3" t="s">
        <v>18</v>
      </c>
      <c r="G299" s="3" t="s">
        <v>44</v>
      </c>
      <c r="H299" s="3" t="s">
        <v>43</v>
      </c>
      <c r="I299" s="3">
        <v>1</v>
      </c>
      <c r="J299" s="3">
        <v>8280</v>
      </c>
      <c r="K299" s="3">
        <v>9200</v>
      </c>
      <c r="L299" s="3">
        <v>2</v>
      </c>
      <c r="M299">
        <f>Table1[[#This Row],[Qty]]*Table1[[#This Row],[Sales Price]]</f>
        <v>18400</v>
      </c>
      <c r="N299">
        <f>Table1[[#This Row],[Qty]]*Table1[[#This Row],[Cost]]</f>
        <v>16560</v>
      </c>
      <c r="O299">
        <f>Table1[[#This Row],[Revenue]]-Table1[[#This Row],[Total Cost]]</f>
        <v>1840</v>
      </c>
    </row>
    <row r="300" spans="1:15" x14ac:dyDescent="0.55000000000000004">
      <c r="A300" s="3">
        <v>299</v>
      </c>
      <c r="B300" s="4">
        <v>44964</v>
      </c>
      <c r="C300" s="4" t="str">
        <f>TEXT(Table1[[#This Row],[Date]],"YYYY")</f>
        <v>2023</v>
      </c>
      <c r="D300" s="4" t="str">
        <f>TEXT(Table1[[#This Row],[Date]],"MMM")</f>
        <v>Feb</v>
      </c>
      <c r="E300" s="5" t="s">
        <v>31</v>
      </c>
      <c r="F300" s="3" t="s">
        <v>18</v>
      </c>
      <c r="G300" s="3" t="s">
        <v>45</v>
      </c>
      <c r="H300" s="3" t="s">
        <v>43</v>
      </c>
      <c r="I300" s="3"/>
      <c r="J300" s="3">
        <v>4950</v>
      </c>
      <c r="K300" s="3">
        <v>5500</v>
      </c>
      <c r="L300" s="3">
        <v>1</v>
      </c>
      <c r="M300">
        <f>Table1[[#This Row],[Qty]]*Table1[[#This Row],[Sales Price]]</f>
        <v>5500</v>
      </c>
      <c r="N300">
        <f>Table1[[#This Row],[Qty]]*Table1[[#This Row],[Cost]]</f>
        <v>4950</v>
      </c>
      <c r="O300">
        <f>Table1[[#This Row],[Revenue]]-Table1[[#This Row],[Total Cost]]</f>
        <v>550</v>
      </c>
    </row>
    <row r="301" spans="1:15" x14ac:dyDescent="0.55000000000000004">
      <c r="A301" s="3">
        <v>300</v>
      </c>
      <c r="B301" s="4">
        <v>44965</v>
      </c>
      <c r="C301" s="4" t="str">
        <f>TEXT(Table1[[#This Row],[Date]],"YYYY")</f>
        <v>2023</v>
      </c>
      <c r="D301" s="4" t="str">
        <f>TEXT(Table1[[#This Row],[Date]],"MMM")</f>
        <v>Feb</v>
      </c>
      <c r="E301" s="5" t="s">
        <v>14</v>
      </c>
      <c r="F301" s="3" t="s">
        <v>18</v>
      </c>
      <c r="G301" s="3" t="s">
        <v>47</v>
      </c>
      <c r="H301" s="3" t="s">
        <v>43</v>
      </c>
      <c r="I301" s="3"/>
      <c r="J301" s="3">
        <v>3150</v>
      </c>
      <c r="K301" s="3">
        <v>3500</v>
      </c>
      <c r="L301" s="3">
        <v>22</v>
      </c>
      <c r="M301">
        <f>Table1[[#This Row],[Qty]]*Table1[[#This Row],[Sales Price]]</f>
        <v>77000</v>
      </c>
      <c r="N301">
        <f>Table1[[#This Row],[Qty]]*Table1[[#This Row],[Cost]]</f>
        <v>69300</v>
      </c>
      <c r="O301">
        <f>Table1[[#This Row],[Revenue]]-Table1[[#This Row],[Total Cost]]</f>
        <v>7700</v>
      </c>
    </row>
    <row r="302" spans="1:15" x14ac:dyDescent="0.55000000000000004">
      <c r="A302" s="3">
        <v>301</v>
      </c>
      <c r="B302" s="4">
        <v>44966</v>
      </c>
      <c r="C302" s="4" t="str">
        <f>TEXT(Table1[[#This Row],[Date]],"YYYY")</f>
        <v>2023</v>
      </c>
      <c r="D302" s="4" t="str">
        <f>TEXT(Table1[[#This Row],[Date]],"MMM")</f>
        <v>Feb</v>
      </c>
      <c r="E302" s="5" t="s">
        <v>40</v>
      </c>
      <c r="F302" s="3" t="s">
        <v>61</v>
      </c>
      <c r="G302" s="3" t="s">
        <v>48</v>
      </c>
      <c r="H302" s="3" t="s">
        <v>43</v>
      </c>
      <c r="I302" s="3"/>
      <c r="J302" s="3">
        <v>2700</v>
      </c>
      <c r="K302" s="3">
        <v>3000</v>
      </c>
      <c r="L302" s="3">
        <v>8</v>
      </c>
      <c r="M302">
        <f>Table1[[#This Row],[Qty]]*Table1[[#This Row],[Sales Price]]</f>
        <v>24000</v>
      </c>
      <c r="N302">
        <f>Table1[[#This Row],[Qty]]*Table1[[#This Row],[Cost]]</f>
        <v>21600</v>
      </c>
      <c r="O302">
        <f>Table1[[#This Row],[Revenue]]-Table1[[#This Row],[Total Cost]]</f>
        <v>2400</v>
      </c>
    </row>
    <row r="303" spans="1:15" x14ac:dyDescent="0.55000000000000004">
      <c r="A303" s="3">
        <v>302</v>
      </c>
      <c r="B303" s="4">
        <v>44967</v>
      </c>
      <c r="C303" s="4" t="str">
        <f>TEXT(Table1[[#This Row],[Date]],"YYYY")</f>
        <v>2023</v>
      </c>
      <c r="D303" s="4" t="str">
        <f>TEXT(Table1[[#This Row],[Date]],"MMM")</f>
        <v>Feb</v>
      </c>
      <c r="E303" s="5" t="s">
        <v>35</v>
      </c>
      <c r="F303" s="3" t="s">
        <v>61</v>
      </c>
      <c r="G303" s="3" t="s">
        <v>42</v>
      </c>
      <c r="H303" s="3" t="s">
        <v>43</v>
      </c>
      <c r="I303" s="3">
        <v>1</v>
      </c>
      <c r="J303" s="3">
        <v>4050</v>
      </c>
      <c r="K303" s="3">
        <v>4500</v>
      </c>
      <c r="L303" s="3">
        <v>7</v>
      </c>
      <c r="M303">
        <f>Table1[[#This Row],[Qty]]*Table1[[#This Row],[Sales Price]]</f>
        <v>31500</v>
      </c>
      <c r="N303">
        <f>Table1[[#This Row],[Qty]]*Table1[[#This Row],[Cost]]</f>
        <v>28350</v>
      </c>
      <c r="O303">
        <f>Table1[[#This Row],[Revenue]]-Table1[[#This Row],[Total Cost]]</f>
        <v>3150</v>
      </c>
    </row>
    <row r="304" spans="1:15" x14ac:dyDescent="0.55000000000000004">
      <c r="A304" s="3">
        <v>303</v>
      </c>
      <c r="B304" s="4">
        <v>44968</v>
      </c>
      <c r="C304" s="4" t="str">
        <f>TEXT(Table1[[#This Row],[Date]],"YYYY")</f>
        <v>2023</v>
      </c>
      <c r="D304" s="4" t="str">
        <f>TEXT(Table1[[#This Row],[Date]],"MMM")</f>
        <v>Feb</v>
      </c>
      <c r="E304" s="5" t="s">
        <v>56</v>
      </c>
      <c r="F304" s="3" t="s">
        <v>61</v>
      </c>
      <c r="G304" s="3" t="s">
        <v>44</v>
      </c>
      <c r="H304" s="3" t="s">
        <v>43</v>
      </c>
      <c r="I304" s="3">
        <v>1</v>
      </c>
      <c r="J304" s="3">
        <v>8280</v>
      </c>
      <c r="K304" s="3">
        <v>9200</v>
      </c>
      <c r="L304" s="3">
        <v>56</v>
      </c>
      <c r="M304">
        <f>Table1[[#This Row],[Qty]]*Table1[[#This Row],[Sales Price]]</f>
        <v>515200</v>
      </c>
      <c r="N304">
        <f>Table1[[#This Row],[Qty]]*Table1[[#This Row],[Cost]]</f>
        <v>463680</v>
      </c>
      <c r="O304">
        <f>Table1[[#This Row],[Revenue]]-Table1[[#This Row],[Total Cost]]</f>
        <v>51520</v>
      </c>
    </row>
    <row r="305" spans="1:15" x14ac:dyDescent="0.55000000000000004">
      <c r="A305" s="3">
        <v>304</v>
      </c>
      <c r="B305" s="4">
        <v>44969</v>
      </c>
      <c r="C305" s="4" t="str">
        <f>TEXT(Table1[[#This Row],[Date]],"YYYY")</f>
        <v>2023</v>
      </c>
      <c r="D305" s="4" t="str">
        <f>TEXT(Table1[[#This Row],[Date]],"MMM")</f>
        <v>Feb</v>
      </c>
      <c r="E305" s="5" t="s">
        <v>56</v>
      </c>
      <c r="F305" s="3" t="s">
        <v>61</v>
      </c>
      <c r="G305" s="3" t="s">
        <v>45</v>
      </c>
      <c r="H305" s="3" t="s">
        <v>43</v>
      </c>
      <c r="I305" s="3">
        <v>1</v>
      </c>
      <c r="J305" s="3">
        <v>4950</v>
      </c>
      <c r="K305" s="3">
        <v>5500</v>
      </c>
      <c r="L305" s="3">
        <v>10</v>
      </c>
      <c r="M305">
        <f>Table1[[#This Row],[Qty]]*Table1[[#This Row],[Sales Price]]</f>
        <v>55000</v>
      </c>
      <c r="N305">
        <f>Table1[[#This Row],[Qty]]*Table1[[#This Row],[Cost]]</f>
        <v>49500</v>
      </c>
      <c r="O305">
        <f>Table1[[#This Row],[Revenue]]-Table1[[#This Row],[Total Cost]]</f>
        <v>5500</v>
      </c>
    </row>
    <row r="306" spans="1:15" x14ac:dyDescent="0.55000000000000004">
      <c r="A306" s="3">
        <v>305</v>
      </c>
      <c r="B306" s="4">
        <v>44970</v>
      </c>
      <c r="C306" s="4" t="str">
        <f>TEXT(Table1[[#This Row],[Date]],"YYYY")</f>
        <v>2023</v>
      </c>
      <c r="D306" s="4" t="str">
        <f>TEXT(Table1[[#This Row],[Date]],"MMM")</f>
        <v>Feb</v>
      </c>
      <c r="E306" s="5" t="s">
        <v>63</v>
      </c>
      <c r="F306" s="3" t="s">
        <v>61</v>
      </c>
      <c r="G306" s="3" t="s">
        <v>47</v>
      </c>
      <c r="H306" s="3" t="s">
        <v>43</v>
      </c>
      <c r="I306" s="3">
        <v>1</v>
      </c>
      <c r="J306" s="3">
        <v>3150</v>
      </c>
      <c r="K306" s="3">
        <v>3500</v>
      </c>
      <c r="L306" s="3">
        <v>9</v>
      </c>
      <c r="M306">
        <f>Table1[[#This Row],[Qty]]*Table1[[#This Row],[Sales Price]]</f>
        <v>31500</v>
      </c>
      <c r="N306">
        <f>Table1[[#This Row],[Qty]]*Table1[[#This Row],[Cost]]</f>
        <v>28350</v>
      </c>
      <c r="O306">
        <f>Table1[[#This Row],[Revenue]]-Table1[[#This Row],[Total Cost]]</f>
        <v>3150</v>
      </c>
    </row>
    <row r="307" spans="1:15" x14ac:dyDescent="0.55000000000000004">
      <c r="A307" s="3">
        <v>306</v>
      </c>
      <c r="B307" s="4">
        <v>44971</v>
      </c>
      <c r="C307" s="4" t="str">
        <f>TEXT(Table1[[#This Row],[Date]],"YYYY")</f>
        <v>2023</v>
      </c>
      <c r="D307" s="4" t="str">
        <f>TEXT(Table1[[#This Row],[Date]],"MMM")</f>
        <v>Feb</v>
      </c>
      <c r="E307" s="5" t="s">
        <v>31</v>
      </c>
      <c r="F307" s="3" t="s">
        <v>61</v>
      </c>
      <c r="G307" s="3" t="s">
        <v>48</v>
      </c>
      <c r="H307" s="3" t="s">
        <v>43</v>
      </c>
      <c r="I307" s="3">
        <v>1</v>
      </c>
      <c r="J307" s="3">
        <v>2700</v>
      </c>
      <c r="K307" s="3">
        <v>3000</v>
      </c>
      <c r="L307" s="3">
        <v>27</v>
      </c>
      <c r="M307">
        <f>Table1[[#This Row],[Qty]]*Table1[[#This Row],[Sales Price]]</f>
        <v>81000</v>
      </c>
      <c r="N307">
        <f>Table1[[#This Row],[Qty]]*Table1[[#This Row],[Cost]]</f>
        <v>72900</v>
      </c>
      <c r="O307">
        <f>Table1[[#This Row],[Revenue]]-Table1[[#This Row],[Total Cost]]</f>
        <v>8100</v>
      </c>
    </row>
    <row r="308" spans="1:15" x14ac:dyDescent="0.55000000000000004">
      <c r="A308" s="3">
        <v>307</v>
      </c>
      <c r="B308" s="4">
        <v>44972</v>
      </c>
      <c r="C308" s="4" t="str">
        <f>TEXT(Table1[[#This Row],[Date]],"YYYY")</f>
        <v>2023</v>
      </c>
      <c r="D308" s="4" t="str">
        <f>TEXT(Table1[[#This Row],[Date]],"MMM")</f>
        <v>Feb</v>
      </c>
      <c r="E308" s="5" t="s">
        <v>22</v>
      </c>
      <c r="F308" s="3" t="s">
        <v>61</v>
      </c>
      <c r="G308" s="3" t="s">
        <v>48</v>
      </c>
      <c r="H308" s="3" t="s">
        <v>43</v>
      </c>
      <c r="I308" s="3">
        <v>1</v>
      </c>
      <c r="J308" s="3">
        <v>4050</v>
      </c>
      <c r="K308" s="3">
        <v>4500</v>
      </c>
      <c r="L308" s="3">
        <v>15</v>
      </c>
      <c r="M308">
        <f>Table1[[#This Row],[Qty]]*Table1[[#This Row],[Sales Price]]</f>
        <v>67500</v>
      </c>
      <c r="N308">
        <f>Table1[[#This Row],[Qty]]*Table1[[#This Row],[Cost]]</f>
        <v>60750</v>
      </c>
      <c r="O308">
        <f>Table1[[#This Row],[Revenue]]-Table1[[#This Row],[Total Cost]]</f>
        <v>6750</v>
      </c>
    </row>
    <row r="309" spans="1:15" x14ac:dyDescent="0.55000000000000004">
      <c r="A309" s="3">
        <v>308</v>
      </c>
      <c r="B309" s="4">
        <v>44973</v>
      </c>
      <c r="C309" s="4" t="str">
        <f>TEXT(Table1[[#This Row],[Date]],"YYYY")</f>
        <v>2023</v>
      </c>
      <c r="D309" s="4" t="str">
        <f>TEXT(Table1[[#This Row],[Date]],"MMM")</f>
        <v>Feb</v>
      </c>
      <c r="E309" s="5" t="s">
        <v>56</v>
      </c>
      <c r="F309" s="3" t="s">
        <v>61</v>
      </c>
      <c r="G309" s="3" t="s">
        <v>42</v>
      </c>
      <c r="H309" s="3" t="s">
        <v>43</v>
      </c>
      <c r="I309" s="3">
        <v>1</v>
      </c>
      <c r="J309" s="3">
        <v>8280</v>
      </c>
      <c r="K309" s="3">
        <v>9200</v>
      </c>
      <c r="L309" s="3">
        <v>3</v>
      </c>
      <c r="M309">
        <f>Table1[[#This Row],[Qty]]*Table1[[#This Row],[Sales Price]]</f>
        <v>27600</v>
      </c>
      <c r="N309">
        <f>Table1[[#This Row],[Qty]]*Table1[[#This Row],[Cost]]</f>
        <v>24840</v>
      </c>
      <c r="O309">
        <f>Table1[[#This Row],[Revenue]]-Table1[[#This Row],[Total Cost]]</f>
        <v>2760</v>
      </c>
    </row>
    <row r="310" spans="1:15" x14ac:dyDescent="0.55000000000000004">
      <c r="A310" s="3">
        <v>309</v>
      </c>
      <c r="B310" s="4">
        <v>44974</v>
      </c>
      <c r="C310" s="4" t="str">
        <f>TEXT(Table1[[#This Row],[Date]],"YYYY")</f>
        <v>2023</v>
      </c>
      <c r="D310" s="4" t="str">
        <f>TEXT(Table1[[#This Row],[Date]],"MMM")</f>
        <v>Feb</v>
      </c>
      <c r="E310" s="5" t="s">
        <v>53</v>
      </c>
      <c r="F310" s="3" t="s">
        <v>61</v>
      </c>
      <c r="G310" s="3" t="s">
        <v>16</v>
      </c>
      <c r="H310" s="3" t="s">
        <v>17</v>
      </c>
      <c r="I310" s="3"/>
      <c r="J310" s="3">
        <v>4950</v>
      </c>
      <c r="K310" s="3">
        <v>5500</v>
      </c>
      <c r="L310" s="3">
        <v>9</v>
      </c>
      <c r="M310">
        <f>Table1[[#This Row],[Qty]]*Table1[[#This Row],[Sales Price]]</f>
        <v>49500</v>
      </c>
      <c r="N310">
        <f>Table1[[#This Row],[Qty]]*Table1[[#This Row],[Cost]]</f>
        <v>44550</v>
      </c>
      <c r="O310">
        <f>Table1[[#This Row],[Revenue]]-Table1[[#This Row],[Total Cost]]</f>
        <v>4950</v>
      </c>
    </row>
    <row r="311" spans="1:15" x14ac:dyDescent="0.55000000000000004">
      <c r="A311" s="3">
        <v>310</v>
      </c>
      <c r="B311" s="4">
        <v>44975</v>
      </c>
      <c r="C311" s="4" t="str">
        <f>TEXT(Table1[[#This Row],[Date]],"YYYY")</f>
        <v>2023</v>
      </c>
      <c r="D311" s="4" t="str">
        <f>TEXT(Table1[[#This Row],[Date]],"MMM")</f>
        <v>Feb</v>
      </c>
      <c r="E311" s="5" t="s">
        <v>22</v>
      </c>
      <c r="F311" s="3" t="s">
        <v>61</v>
      </c>
      <c r="G311" s="3" t="s">
        <v>19</v>
      </c>
      <c r="H311" s="3" t="s">
        <v>17</v>
      </c>
      <c r="I311" s="3"/>
      <c r="J311" s="3">
        <v>3150</v>
      </c>
      <c r="K311" s="3">
        <v>3500</v>
      </c>
      <c r="L311" s="3">
        <v>22</v>
      </c>
      <c r="M311">
        <f>Table1[[#This Row],[Qty]]*Table1[[#This Row],[Sales Price]]</f>
        <v>77000</v>
      </c>
      <c r="N311">
        <f>Table1[[#This Row],[Qty]]*Table1[[#This Row],[Cost]]</f>
        <v>69300</v>
      </c>
      <c r="O311">
        <f>Table1[[#This Row],[Revenue]]-Table1[[#This Row],[Total Cost]]</f>
        <v>7700</v>
      </c>
    </row>
    <row r="312" spans="1:15" x14ac:dyDescent="0.55000000000000004">
      <c r="A312" s="3">
        <v>311</v>
      </c>
      <c r="B312" s="4">
        <v>44976</v>
      </c>
      <c r="C312" s="4" t="str">
        <f>TEXT(Table1[[#This Row],[Date]],"YYYY")</f>
        <v>2023</v>
      </c>
      <c r="D312" s="4" t="str">
        <f>TEXT(Table1[[#This Row],[Date]],"MMM")</f>
        <v>Feb</v>
      </c>
      <c r="E312" s="5" t="s">
        <v>33</v>
      </c>
      <c r="F312" s="3" t="s">
        <v>61</v>
      </c>
      <c r="G312" s="3" t="s">
        <v>21</v>
      </c>
      <c r="H312" s="3" t="s">
        <v>17</v>
      </c>
      <c r="I312" s="3">
        <v>1</v>
      </c>
      <c r="J312" s="3">
        <v>2700</v>
      </c>
      <c r="K312" s="3">
        <v>3000</v>
      </c>
      <c r="L312" s="3">
        <v>16</v>
      </c>
      <c r="M312">
        <f>Table1[[#This Row],[Qty]]*Table1[[#This Row],[Sales Price]]</f>
        <v>48000</v>
      </c>
      <c r="N312">
        <f>Table1[[#This Row],[Qty]]*Table1[[#This Row],[Cost]]</f>
        <v>43200</v>
      </c>
      <c r="O312">
        <f>Table1[[#This Row],[Revenue]]-Table1[[#This Row],[Total Cost]]</f>
        <v>4800</v>
      </c>
    </row>
    <row r="313" spans="1:15" x14ac:dyDescent="0.55000000000000004">
      <c r="A313" s="3">
        <v>312</v>
      </c>
      <c r="B313" s="4">
        <v>44977</v>
      </c>
      <c r="C313" s="4" t="str">
        <f>TEXT(Table1[[#This Row],[Date]],"YYYY")</f>
        <v>2023</v>
      </c>
      <c r="D313" s="4" t="str">
        <f>TEXT(Table1[[#This Row],[Date]],"MMM")</f>
        <v>Feb</v>
      </c>
      <c r="E313" s="5" t="s">
        <v>39</v>
      </c>
      <c r="F313" s="3" t="s">
        <v>61</v>
      </c>
      <c r="G313" s="3" t="s">
        <v>23</v>
      </c>
      <c r="H313" s="3" t="s">
        <v>17</v>
      </c>
      <c r="I313" s="3">
        <v>1</v>
      </c>
      <c r="J313" s="3">
        <v>4050</v>
      </c>
      <c r="K313" s="3">
        <v>4500</v>
      </c>
      <c r="L313" s="3">
        <v>6</v>
      </c>
      <c r="M313">
        <f>Table1[[#This Row],[Qty]]*Table1[[#This Row],[Sales Price]]</f>
        <v>27000</v>
      </c>
      <c r="N313">
        <f>Table1[[#This Row],[Qty]]*Table1[[#This Row],[Cost]]</f>
        <v>24300</v>
      </c>
      <c r="O313">
        <f>Table1[[#This Row],[Revenue]]-Table1[[#This Row],[Total Cost]]</f>
        <v>2700</v>
      </c>
    </row>
    <row r="314" spans="1:15" x14ac:dyDescent="0.55000000000000004">
      <c r="A314" s="3">
        <v>313</v>
      </c>
      <c r="B314" s="4">
        <v>44978</v>
      </c>
      <c r="C314" s="4" t="str">
        <f>TEXT(Table1[[#This Row],[Date]],"YYYY")</f>
        <v>2023</v>
      </c>
      <c r="D314" s="4" t="str">
        <f>TEXT(Table1[[#This Row],[Date]],"MMM")</f>
        <v>Feb</v>
      </c>
      <c r="E314" s="5" t="s">
        <v>39</v>
      </c>
      <c r="F314" s="3" t="s">
        <v>61</v>
      </c>
      <c r="G314" s="3" t="s">
        <v>25</v>
      </c>
      <c r="H314" s="3" t="s">
        <v>17</v>
      </c>
      <c r="I314" s="3">
        <v>1</v>
      </c>
      <c r="J314" s="3">
        <v>38250</v>
      </c>
      <c r="K314" s="3">
        <v>42500</v>
      </c>
      <c r="L314" s="3">
        <v>3</v>
      </c>
      <c r="M314">
        <f>Table1[[#This Row],[Qty]]*Table1[[#This Row],[Sales Price]]</f>
        <v>127500</v>
      </c>
      <c r="N314">
        <f>Table1[[#This Row],[Qty]]*Table1[[#This Row],[Cost]]</f>
        <v>114750</v>
      </c>
      <c r="O314">
        <f>Table1[[#This Row],[Revenue]]-Table1[[#This Row],[Total Cost]]</f>
        <v>12750</v>
      </c>
    </row>
    <row r="315" spans="1:15" x14ac:dyDescent="0.55000000000000004">
      <c r="A315" s="3">
        <v>314</v>
      </c>
      <c r="B315" s="4">
        <v>44979</v>
      </c>
      <c r="C315" s="4" t="str">
        <f>TEXT(Table1[[#This Row],[Date]],"YYYY")</f>
        <v>2023</v>
      </c>
      <c r="D315" s="4" t="str">
        <f>TEXT(Table1[[#This Row],[Date]],"MMM")</f>
        <v>Feb</v>
      </c>
      <c r="E315" s="5" t="s">
        <v>49</v>
      </c>
      <c r="F315" s="3" t="s">
        <v>18</v>
      </c>
      <c r="G315" s="3" t="s">
        <v>26</v>
      </c>
      <c r="H315" s="3" t="s">
        <v>17</v>
      </c>
      <c r="I315" s="3">
        <v>0</v>
      </c>
      <c r="J315" s="3">
        <v>2700</v>
      </c>
      <c r="K315" s="3">
        <v>3000</v>
      </c>
      <c r="L315" s="3">
        <v>5</v>
      </c>
      <c r="M315">
        <f>Table1[[#This Row],[Qty]]*Table1[[#This Row],[Sales Price]]</f>
        <v>15000</v>
      </c>
      <c r="N315">
        <f>Table1[[#This Row],[Qty]]*Table1[[#This Row],[Cost]]</f>
        <v>13500</v>
      </c>
      <c r="O315">
        <f>Table1[[#This Row],[Revenue]]-Table1[[#This Row],[Total Cost]]</f>
        <v>1500</v>
      </c>
    </row>
    <row r="316" spans="1:15" x14ac:dyDescent="0.55000000000000004">
      <c r="A316" s="3">
        <v>315</v>
      </c>
      <c r="B316" s="4">
        <v>44980</v>
      </c>
      <c r="C316" s="4" t="str">
        <f>TEXT(Table1[[#This Row],[Date]],"YYYY")</f>
        <v>2023</v>
      </c>
      <c r="D316" s="4" t="str">
        <f>TEXT(Table1[[#This Row],[Date]],"MMM")</f>
        <v>Feb</v>
      </c>
      <c r="E316" s="5" t="s">
        <v>50</v>
      </c>
      <c r="F316" s="3" t="s">
        <v>18</v>
      </c>
      <c r="G316" s="3" t="s">
        <v>27</v>
      </c>
      <c r="H316" s="3" t="s">
        <v>28</v>
      </c>
      <c r="I316" s="3">
        <v>0</v>
      </c>
      <c r="J316" s="3">
        <v>23850</v>
      </c>
      <c r="K316" s="3">
        <v>26500</v>
      </c>
      <c r="L316" s="3">
        <v>1</v>
      </c>
      <c r="M316">
        <f>Table1[[#This Row],[Qty]]*Table1[[#This Row],[Sales Price]]</f>
        <v>26500</v>
      </c>
      <c r="N316">
        <f>Table1[[#This Row],[Qty]]*Table1[[#This Row],[Cost]]</f>
        <v>23850</v>
      </c>
      <c r="O316">
        <f>Table1[[#This Row],[Revenue]]-Table1[[#This Row],[Total Cost]]</f>
        <v>2650</v>
      </c>
    </row>
    <row r="317" spans="1:15" x14ac:dyDescent="0.55000000000000004">
      <c r="A317" s="3">
        <v>316</v>
      </c>
      <c r="B317" s="4">
        <v>44981</v>
      </c>
      <c r="C317" s="4" t="str">
        <f>TEXT(Table1[[#This Row],[Date]],"YYYY")</f>
        <v>2023</v>
      </c>
      <c r="D317" s="4" t="str">
        <f>TEXT(Table1[[#This Row],[Date]],"MMM")</f>
        <v>Feb</v>
      </c>
      <c r="E317" s="5" t="s">
        <v>14</v>
      </c>
      <c r="F317" s="3" t="s">
        <v>18</v>
      </c>
      <c r="G317" s="3" t="s">
        <v>30</v>
      </c>
      <c r="H317" s="3" t="s">
        <v>28</v>
      </c>
      <c r="I317" s="3">
        <v>1</v>
      </c>
      <c r="J317" s="3">
        <v>24750</v>
      </c>
      <c r="K317" s="3">
        <v>27500</v>
      </c>
      <c r="L317" s="3">
        <v>5</v>
      </c>
      <c r="M317">
        <f>Table1[[#This Row],[Qty]]*Table1[[#This Row],[Sales Price]]</f>
        <v>137500</v>
      </c>
      <c r="N317">
        <f>Table1[[#This Row],[Qty]]*Table1[[#This Row],[Cost]]</f>
        <v>123750</v>
      </c>
      <c r="O317">
        <f>Table1[[#This Row],[Revenue]]-Table1[[#This Row],[Total Cost]]</f>
        <v>13750</v>
      </c>
    </row>
    <row r="318" spans="1:15" x14ac:dyDescent="0.55000000000000004">
      <c r="A318" s="3">
        <v>317</v>
      </c>
      <c r="B318" s="4">
        <v>44982</v>
      </c>
      <c r="C318" s="4" t="str">
        <f>TEXT(Table1[[#This Row],[Date]],"YYYY")</f>
        <v>2023</v>
      </c>
      <c r="D318" s="4" t="str">
        <f>TEXT(Table1[[#This Row],[Date]],"MMM")</f>
        <v>Feb</v>
      </c>
      <c r="E318" s="5" t="s">
        <v>39</v>
      </c>
      <c r="F318" s="3" t="s">
        <v>18</v>
      </c>
      <c r="G318" s="3" t="s">
        <v>32</v>
      </c>
      <c r="H318" s="3" t="s">
        <v>28</v>
      </c>
      <c r="I318" s="3"/>
      <c r="J318" s="3">
        <v>44550</v>
      </c>
      <c r="K318" s="3">
        <v>49500</v>
      </c>
      <c r="L318" s="3">
        <v>7</v>
      </c>
      <c r="M318">
        <f>Table1[[#This Row],[Qty]]*Table1[[#This Row],[Sales Price]]</f>
        <v>346500</v>
      </c>
      <c r="N318">
        <f>Table1[[#This Row],[Qty]]*Table1[[#This Row],[Cost]]</f>
        <v>311850</v>
      </c>
      <c r="O318">
        <f>Table1[[#This Row],[Revenue]]-Table1[[#This Row],[Total Cost]]</f>
        <v>34650</v>
      </c>
    </row>
    <row r="319" spans="1:15" x14ac:dyDescent="0.55000000000000004">
      <c r="A319" s="3">
        <v>318</v>
      </c>
      <c r="B319" s="4">
        <v>44983</v>
      </c>
      <c r="C319" s="4" t="str">
        <f>TEXT(Table1[[#This Row],[Date]],"YYYY")</f>
        <v>2023</v>
      </c>
      <c r="D319" s="4" t="str">
        <f>TEXT(Table1[[#This Row],[Date]],"MMM")</f>
        <v>Feb</v>
      </c>
      <c r="E319" s="5" t="s">
        <v>56</v>
      </c>
      <c r="F319" s="3" t="s">
        <v>18</v>
      </c>
      <c r="G319" s="3" t="s">
        <v>34</v>
      </c>
      <c r="H319" s="3" t="s">
        <v>28</v>
      </c>
      <c r="I319" s="3"/>
      <c r="J319" s="3">
        <v>9000</v>
      </c>
      <c r="K319" s="3">
        <v>10000</v>
      </c>
      <c r="L319" s="3">
        <v>4</v>
      </c>
      <c r="M319">
        <f>Table1[[#This Row],[Qty]]*Table1[[#This Row],[Sales Price]]</f>
        <v>40000</v>
      </c>
      <c r="N319">
        <f>Table1[[#This Row],[Qty]]*Table1[[#This Row],[Cost]]</f>
        <v>36000</v>
      </c>
      <c r="O319">
        <f>Table1[[#This Row],[Revenue]]-Table1[[#This Row],[Total Cost]]</f>
        <v>4000</v>
      </c>
    </row>
    <row r="320" spans="1:15" x14ac:dyDescent="0.55000000000000004">
      <c r="A320" s="3">
        <v>319</v>
      </c>
      <c r="B320" s="4">
        <v>44984</v>
      </c>
      <c r="C320" s="4" t="str">
        <f>TEXT(Table1[[#This Row],[Date]],"YYYY")</f>
        <v>2023</v>
      </c>
      <c r="D320" s="4" t="str">
        <f>TEXT(Table1[[#This Row],[Date]],"MMM")</f>
        <v>Feb</v>
      </c>
      <c r="E320" s="5" t="s">
        <v>24</v>
      </c>
      <c r="F320" s="3" t="s">
        <v>18</v>
      </c>
      <c r="G320" s="3" t="s">
        <v>36</v>
      </c>
      <c r="H320" s="3" t="s">
        <v>17</v>
      </c>
      <c r="I320" s="3">
        <v>1</v>
      </c>
      <c r="J320" s="3">
        <v>8640</v>
      </c>
      <c r="K320" s="3">
        <v>9600</v>
      </c>
      <c r="L320" s="3">
        <v>8</v>
      </c>
      <c r="M320">
        <f>Table1[[#This Row],[Qty]]*Table1[[#This Row],[Sales Price]]</f>
        <v>76800</v>
      </c>
      <c r="N320">
        <f>Table1[[#This Row],[Qty]]*Table1[[#This Row],[Cost]]</f>
        <v>69120</v>
      </c>
      <c r="O320">
        <f>Table1[[#This Row],[Revenue]]-Table1[[#This Row],[Total Cost]]</f>
        <v>7680</v>
      </c>
    </row>
    <row r="321" spans="1:15" x14ac:dyDescent="0.55000000000000004">
      <c r="A321" s="3">
        <v>320</v>
      </c>
      <c r="B321" s="4">
        <v>44985</v>
      </c>
      <c r="C321" s="4" t="str">
        <f>TEXT(Table1[[#This Row],[Date]],"YYYY")</f>
        <v>2023</v>
      </c>
      <c r="D321" s="4" t="str">
        <f>TEXT(Table1[[#This Row],[Date]],"MMM")</f>
        <v>Feb</v>
      </c>
      <c r="E321" s="5" t="s">
        <v>33</v>
      </c>
      <c r="F321" s="3" t="s">
        <v>18</v>
      </c>
      <c r="G321" s="3" t="s">
        <v>37</v>
      </c>
      <c r="H321" s="3" t="s">
        <v>17</v>
      </c>
      <c r="I321" s="3">
        <v>0</v>
      </c>
      <c r="J321" s="3">
        <v>9000</v>
      </c>
      <c r="K321" s="3">
        <v>10000</v>
      </c>
      <c r="L321" s="3">
        <v>8</v>
      </c>
      <c r="M321">
        <f>Table1[[#This Row],[Qty]]*Table1[[#This Row],[Sales Price]]</f>
        <v>80000</v>
      </c>
      <c r="N321">
        <f>Table1[[#This Row],[Qty]]*Table1[[#This Row],[Cost]]</f>
        <v>72000</v>
      </c>
      <c r="O321">
        <f>Table1[[#This Row],[Revenue]]-Table1[[#This Row],[Total Cost]]</f>
        <v>8000</v>
      </c>
    </row>
    <row r="322" spans="1:15" x14ac:dyDescent="0.55000000000000004">
      <c r="A322" s="3">
        <v>321</v>
      </c>
      <c r="B322" s="4">
        <v>44986</v>
      </c>
      <c r="C322" s="4" t="str">
        <f>TEXT(Table1[[#This Row],[Date]],"YYYY")</f>
        <v>2023</v>
      </c>
      <c r="D322" s="4" t="str">
        <f>TEXT(Table1[[#This Row],[Date]],"MMM")</f>
        <v>Mar</v>
      </c>
      <c r="E322" s="5" t="s">
        <v>40</v>
      </c>
      <c r="F322" s="3" t="s">
        <v>18</v>
      </c>
      <c r="G322" s="3" t="s">
        <v>38</v>
      </c>
      <c r="H322" s="3" t="s">
        <v>17</v>
      </c>
      <c r="I322" s="3">
        <v>1</v>
      </c>
      <c r="J322" s="3">
        <v>3870</v>
      </c>
      <c r="K322" s="3">
        <v>4300</v>
      </c>
      <c r="L322" s="3">
        <v>9</v>
      </c>
      <c r="M322">
        <f>Table1[[#This Row],[Qty]]*Table1[[#This Row],[Sales Price]]</f>
        <v>38700</v>
      </c>
      <c r="N322">
        <f>Table1[[#This Row],[Qty]]*Table1[[#This Row],[Cost]]</f>
        <v>34830</v>
      </c>
      <c r="O322">
        <f>Table1[[#This Row],[Revenue]]-Table1[[#This Row],[Total Cost]]</f>
        <v>3870</v>
      </c>
    </row>
    <row r="323" spans="1:15" x14ac:dyDescent="0.55000000000000004">
      <c r="A323" s="3">
        <v>322</v>
      </c>
      <c r="B323" s="4">
        <v>44987</v>
      </c>
      <c r="C323" s="4" t="str">
        <f>TEXT(Table1[[#This Row],[Date]],"YYYY")</f>
        <v>2023</v>
      </c>
      <c r="D323" s="4" t="str">
        <f>TEXT(Table1[[#This Row],[Date]],"MMM")</f>
        <v>Mar</v>
      </c>
      <c r="E323" s="5" t="s">
        <v>54</v>
      </c>
      <c r="F323" s="3" t="s">
        <v>18</v>
      </c>
      <c r="G323" s="3" t="s">
        <v>19</v>
      </c>
      <c r="H323" s="3" t="s">
        <v>17</v>
      </c>
      <c r="I323" s="3">
        <v>1</v>
      </c>
      <c r="J323" s="3">
        <v>45450</v>
      </c>
      <c r="K323" s="3">
        <v>50500</v>
      </c>
      <c r="L323" s="3">
        <v>2</v>
      </c>
      <c r="M323">
        <f>Table1[[#This Row],[Qty]]*Table1[[#This Row],[Sales Price]]</f>
        <v>101000</v>
      </c>
      <c r="N323">
        <f>Table1[[#This Row],[Qty]]*Table1[[#This Row],[Cost]]</f>
        <v>90900</v>
      </c>
      <c r="O323">
        <f>Table1[[#This Row],[Revenue]]-Table1[[#This Row],[Total Cost]]</f>
        <v>10100</v>
      </c>
    </row>
    <row r="324" spans="1:15" x14ac:dyDescent="0.55000000000000004">
      <c r="A324" s="3">
        <v>323</v>
      </c>
      <c r="B324" s="4">
        <v>44988</v>
      </c>
      <c r="C324" s="4" t="str">
        <f>TEXT(Table1[[#This Row],[Date]],"YYYY")</f>
        <v>2023</v>
      </c>
      <c r="D324" s="4" t="str">
        <f>TEXT(Table1[[#This Row],[Date]],"MMM")</f>
        <v>Mar</v>
      </c>
      <c r="E324" s="5" t="s">
        <v>52</v>
      </c>
      <c r="F324" s="3" t="s">
        <v>18</v>
      </c>
      <c r="G324" s="3" t="s">
        <v>21</v>
      </c>
      <c r="H324" s="3" t="s">
        <v>17</v>
      </c>
      <c r="I324" s="3">
        <v>1</v>
      </c>
      <c r="J324" s="3">
        <v>18225</v>
      </c>
      <c r="K324" s="3">
        <v>20250</v>
      </c>
      <c r="L324" s="3">
        <v>1</v>
      </c>
      <c r="M324">
        <f>Table1[[#This Row],[Qty]]*Table1[[#This Row],[Sales Price]]</f>
        <v>20250</v>
      </c>
      <c r="N324">
        <f>Table1[[#This Row],[Qty]]*Table1[[#This Row],[Cost]]</f>
        <v>18225</v>
      </c>
      <c r="O324">
        <f>Table1[[#This Row],[Revenue]]-Table1[[#This Row],[Total Cost]]</f>
        <v>2025</v>
      </c>
    </row>
    <row r="325" spans="1:15" x14ac:dyDescent="0.55000000000000004">
      <c r="A325" s="3">
        <v>324</v>
      </c>
      <c r="B325" s="4">
        <v>44989</v>
      </c>
      <c r="C325" s="4" t="str">
        <f>TEXT(Table1[[#This Row],[Date]],"YYYY")</f>
        <v>2023</v>
      </c>
      <c r="D325" s="4" t="str">
        <f>TEXT(Table1[[#This Row],[Date]],"MMM")</f>
        <v>Mar</v>
      </c>
      <c r="E325" s="5" t="s">
        <v>65</v>
      </c>
      <c r="F325" s="3" t="s">
        <v>18</v>
      </c>
      <c r="G325" s="3" t="s">
        <v>23</v>
      </c>
      <c r="H325" s="3" t="s">
        <v>17</v>
      </c>
      <c r="I325" s="3">
        <v>1</v>
      </c>
      <c r="J325" s="3">
        <v>1800</v>
      </c>
      <c r="K325" s="3">
        <v>2000</v>
      </c>
      <c r="L325" s="3">
        <v>22</v>
      </c>
      <c r="M325">
        <f>Table1[[#This Row],[Qty]]*Table1[[#This Row],[Sales Price]]</f>
        <v>44000</v>
      </c>
      <c r="N325">
        <f>Table1[[#This Row],[Qty]]*Table1[[#This Row],[Cost]]</f>
        <v>39600</v>
      </c>
      <c r="O325">
        <f>Table1[[#This Row],[Revenue]]-Table1[[#This Row],[Total Cost]]</f>
        <v>4400</v>
      </c>
    </row>
    <row r="326" spans="1:15" x14ac:dyDescent="0.55000000000000004">
      <c r="A326" s="3">
        <v>325</v>
      </c>
      <c r="B326" s="4">
        <v>44990</v>
      </c>
      <c r="C326" s="4" t="str">
        <f>TEXT(Table1[[#This Row],[Date]],"YYYY")</f>
        <v>2023</v>
      </c>
      <c r="D326" s="4" t="str">
        <f>TEXT(Table1[[#This Row],[Date]],"MMM")</f>
        <v>Mar</v>
      </c>
      <c r="E326" s="5" t="s">
        <v>14</v>
      </c>
      <c r="F326" s="3" t="s">
        <v>18</v>
      </c>
      <c r="G326" s="3" t="s">
        <v>25</v>
      </c>
      <c r="H326" s="3" t="s">
        <v>17</v>
      </c>
      <c r="I326" s="3"/>
      <c r="J326" s="3">
        <v>48600</v>
      </c>
      <c r="K326" s="3">
        <v>54000</v>
      </c>
      <c r="L326" s="3">
        <v>8</v>
      </c>
      <c r="M326">
        <f>Table1[[#This Row],[Qty]]*Table1[[#This Row],[Sales Price]]</f>
        <v>432000</v>
      </c>
      <c r="N326">
        <f>Table1[[#This Row],[Qty]]*Table1[[#This Row],[Cost]]</f>
        <v>388800</v>
      </c>
      <c r="O326">
        <f>Table1[[#This Row],[Revenue]]-Table1[[#This Row],[Total Cost]]</f>
        <v>43200</v>
      </c>
    </row>
    <row r="327" spans="1:15" x14ac:dyDescent="0.55000000000000004">
      <c r="A327" s="3">
        <v>326</v>
      </c>
      <c r="B327" s="4">
        <v>44991</v>
      </c>
      <c r="C327" s="4" t="str">
        <f>TEXT(Table1[[#This Row],[Date]],"YYYY")</f>
        <v>2023</v>
      </c>
      <c r="D327" s="4" t="str">
        <f>TEXT(Table1[[#This Row],[Date]],"MMM")</f>
        <v>Mar</v>
      </c>
      <c r="E327" s="5" t="s">
        <v>39</v>
      </c>
      <c r="F327" s="3" t="s">
        <v>18</v>
      </c>
      <c r="G327" s="3" t="s">
        <v>26</v>
      </c>
      <c r="H327" s="3" t="s">
        <v>17</v>
      </c>
      <c r="I327" s="3"/>
      <c r="J327" s="3">
        <v>72900</v>
      </c>
      <c r="K327" s="3">
        <v>81000</v>
      </c>
      <c r="L327" s="3">
        <v>7</v>
      </c>
      <c r="M327">
        <f>Table1[[#This Row],[Qty]]*Table1[[#This Row],[Sales Price]]</f>
        <v>567000</v>
      </c>
      <c r="N327">
        <f>Table1[[#This Row],[Qty]]*Table1[[#This Row],[Cost]]</f>
        <v>510300</v>
      </c>
      <c r="O327">
        <f>Table1[[#This Row],[Revenue]]-Table1[[#This Row],[Total Cost]]</f>
        <v>56700</v>
      </c>
    </row>
    <row r="328" spans="1:15" x14ac:dyDescent="0.55000000000000004">
      <c r="A328" s="3">
        <v>327</v>
      </c>
      <c r="B328" s="4">
        <v>44992</v>
      </c>
      <c r="C328" s="4" t="str">
        <f>TEXT(Table1[[#This Row],[Date]],"YYYY")</f>
        <v>2023</v>
      </c>
      <c r="D328" s="4" t="str">
        <f>TEXT(Table1[[#This Row],[Date]],"MMM")</f>
        <v>Mar</v>
      </c>
      <c r="E328" s="5" t="s">
        <v>63</v>
      </c>
      <c r="F328" s="3" t="s">
        <v>18</v>
      </c>
      <c r="G328" s="3" t="s">
        <v>37</v>
      </c>
      <c r="H328" s="3" t="s">
        <v>17</v>
      </c>
      <c r="I328" s="3">
        <v>1</v>
      </c>
      <c r="J328" s="3">
        <v>9450</v>
      </c>
      <c r="K328" s="3">
        <v>10500</v>
      </c>
      <c r="L328" s="3">
        <v>56</v>
      </c>
      <c r="M328">
        <f>Table1[[#This Row],[Qty]]*Table1[[#This Row],[Sales Price]]</f>
        <v>588000</v>
      </c>
      <c r="N328">
        <f>Table1[[#This Row],[Qty]]*Table1[[#This Row],[Cost]]</f>
        <v>529200</v>
      </c>
      <c r="O328">
        <f>Table1[[#This Row],[Revenue]]-Table1[[#This Row],[Total Cost]]</f>
        <v>58800</v>
      </c>
    </row>
    <row r="329" spans="1:15" x14ac:dyDescent="0.55000000000000004">
      <c r="A329" s="3">
        <v>328</v>
      </c>
      <c r="B329" s="4">
        <v>44993</v>
      </c>
      <c r="C329" s="4" t="str">
        <f>TEXT(Table1[[#This Row],[Date]],"YYYY")</f>
        <v>2023</v>
      </c>
      <c r="D329" s="4" t="str">
        <f>TEXT(Table1[[#This Row],[Date]],"MMM")</f>
        <v>Mar</v>
      </c>
      <c r="E329" s="5" t="s">
        <v>39</v>
      </c>
      <c r="F329" s="3" t="s">
        <v>18</v>
      </c>
      <c r="G329" s="3" t="s">
        <v>41</v>
      </c>
      <c r="H329" s="3" t="s">
        <v>28</v>
      </c>
      <c r="I329" s="3">
        <v>1</v>
      </c>
      <c r="J329" s="3">
        <v>36000</v>
      </c>
      <c r="K329" s="3">
        <v>40000</v>
      </c>
      <c r="L329" s="3">
        <v>10</v>
      </c>
      <c r="M329">
        <f>Table1[[#This Row],[Qty]]*Table1[[#This Row],[Sales Price]]</f>
        <v>400000</v>
      </c>
      <c r="N329">
        <f>Table1[[#This Row],[Qty]]*Table1[[#This Row],[Cost]]</f>
        <v>360000</v>
      </c>
      <c r="O329">
        <f>Table1[[#This Row],[Revenue]]-Table1[[#This Row],[Total Cost]]</f>
        <v>40000</v>
      </c>
    </row>
    <row r="330" spans="1:15" x14ac:dyDescent="0.55000000000000004">
      <c r="A330" s="3">
        <v>329</v>
      </c>
      <c r="B330" s="4">
        <v>44994</v>
      </c>
      <c r="C330" s="4" t="str">
        <f>TEXT(Table1[[#This Row],[Date]],"YYYY")</f>
        <v>2023</v>
      </c>
      <c r="D330" s="4" t="str">
        <f>TEXT(Table1[[#This Row],[Date]],"MMM")</f>
        <v>Mar</v>
      </c>
      <c r="E330" s="5" t="s">
        <v>39</v>
      </c>
      <c r="F330" s="3" t="s">
        <v>18</v>
      </c>
      <c r="G330" s="3" t="s">
        <v>27</v>
      </c>
      <c r="H330" s="3" t="s">
        <v>28</v>
      </c>
      <c r="I330" s="3">
        <v>1</v>
      </c>
      <c r="J330" s="3">
        <v>24300</v>
      </c>
      <c r="K330" s="3">
        <v>27000</v>
      </c>
      <c r="L330" s="3">
        <v>9</v>
      </c>
      <c r="M330">
        <f>Table1[[#This Row],[Qty]]*Table1[[#This Row],[Sales Price]]</f>
        <v>243000</v>
      </c>
      <c r="N330">
        <f>Table1[[#This Row],[Qty]]*Table1[[#This Row],[Cost]]</f>
        <v>218700</v>
      </c>
      <c r="O330">
        <f>Table1[[#This Row],[Revenue]]-Table1[[#This Row],[Total Cost]]</f>
        <v>24300</v>
      </c>
    </row>
    <row r="331" spans="1:15" x14ac:dyDescent="0.55000000000000004">
      <c r="A331" s="3">
        <v>330</v>
      </c>
      <c r="B331" s="4">
        <v>44995</v>
      </c>
      <c r="C331" s="4" t="str">
        <f>TEXT(Table1[[#This Row],[Date]],"YYYY")</f>
        <v>2023</v>
      </c>
      <c r="D331" s="4" t="str">
        <f>TEXT(Table1[[#This Row],[Date]],"MMM")</f>
        <v>Mar</v>
      </c>
      <c r="E331" s="5" t="s">
        <v>31</v>
      </c>
      <c r="F331" s="3" t="s">
        <v>18</v>
      </c>
      <c r="G331" s="3" t="s">
        <v>32</v>
      </c>
      <c r="H331" s="3" t="s">
        <v>28</v>
      </c>
      <c r="I331" s="3">
        <v>1</v>
      </c>
      <c r="J331" s="3">
        <v>9180</v>
      </c>
      <c r="K331" s="3">
        <v>10200</v>
      </c>
      <c r="L331" s="3">
        <v>27</v>
      </c>
      <c r="M331">
        <f>Table1[[#This Row],[Qty]]*Table1[[#This Row],[Sales Price]]</f>
        <v>275400</v>
      </c>
      <c r="N331">
        <f>Table1[[#This Row],[Qty]]*Table1[[#This Row],[Cost]]</f>
        <v>247860</v>
      </c>
      <c r="O331">
        <f>Table1[[#This Row],[Revenue]]-Table1[[#This Row],[Total Cost]]</f>
        <v>27540</v>
      </c>
    </row>
    <row r="332" spans="1:15" x14ac:dyDescent="0.55000000000000004">
      <c r="A332" s="3">
        <v>331</v>
      </c>
      <c r="B332" s="4">
        <v>44996</v>
      </c>
      <c r="C332" s="4" t="str">
        <f>TEXT(Table1[[#This Row],[Date]],"YYYY")</f>
        <v>2023</v>
      </c>
      <c r="D332" s="4" t="str">
        <f>TEXT(Table1[[#This Row],[Date]],"MMM")</f>
        <v>Mar</v>
      </c>
      <c r="E332" s="5" t="s">
        <v>50</v>
      </c>
      <c r="F332" s="3" t="s">
        <v>18</v>
      </c>
      <c r="G332" s="3" t="s">
        <v>42</v>
      </c>
      <c r="H332" s="3" t="s">
        <v>43</v>
      </c>
      <c r="I332" s="3">
        <v>1</v>
      </c>
      <c r="J332" s="3">
        <v>8640</v>
      </c>
      <c r="K332" s="3">
        <v>9600</v>
      </c>
      <c r="L332" s="3">
        <v>15</v>
      </c>
      <c r="M332">
        <f>Table1[[#This Row],[Qty]]*Table1[[#This Row],[Sales Price]]</f>
        <v>144000</v>
      </c>
      <c r="N332">
        <f>Table1[[#This Row],[Qty]]*Table1[[#This Row],[Cost]]</f>
        <v>129600</v>
      </c>
      <c r="O332">
        <f>Table1[[#This Row],[Revenue]]-Table1[[#This Row],[Total Cost]]</f>
        <v>14400</v>
      </c>
    </row>
    <row r="333" spans="1:15" x14ac:dyDescent="0.55000000000000004">
      <c r="A333" s="3">
        <v>332</v>
      </c>
      <c r="B333" s="4">
        <v>44997</v>
      </c>
      <c r="C333" s="4" t="str">
        <f>TEXT(Table1[[#This Row],[Date]],"YYYY")</f>
        <v>2023</v>
      </c>
      <c r="D333" s="4" t="str">
        <f>TEXT(Table1[[#This Row],[Date]],"MMM")</f>
        <v>Mar</v>
      </c>
      <c r="E333" s="5" t="s">
        <v>58</v>
      </c>
      <c r="F333" s="3" t="s">
        <v>18</v>
      </c>
      <c r="G333" s="3" t="s">
        <v>44</v>
      </c>
      <c r="H333" s="3" t="s">
        <v>43</v>
      </c>
      <c r="I333" s="3">
        <v>1</v>
      </c>
      <c r="J333" s="3">
        <v>8280</v>
      </c>
      <c r="K333" s="3">
        <v>9200</v>
      </c>
      <c r="L333" s="3">
        <v>3</v>
      </c>
      <c r="M333">
        <f>Table1[[#This Row],[Qty]]*Table1[[#This Row],[Sales Price]]</f>
        <v>27600</v>
      </c>
      <c r="N333">
        <f>Table1[[#This Row],[Qty]]*Table1[[#This Row],[Cost]]</f>
        <v>24840</v>
      </c>
      <c r="O333">
        <f>Table1[[#This Row],[Revenue]]-Table1[[#This Row],[Total Cost]]</f>
        <v>2760</v>
      </c>
    </row>
    <row r="334" spans="1:15" x14ac:dyDescent="0.55000000000000004">
      <c r="A334" s="3">
        <v>333</v>
      </c>
      <c r="B334" s="4">
        <v>44998</v>
      </c>
      <c r="C334" s="4" t="str">
        <f>TEXT(Table1[[#This Row],[Date]],"YYYY")</f>
        <v>2023</v>
      </c>
      <c r="D334" s="4" t="str">
        <f>TEXT(Table1[[#This Row],[Date]],"MMM")</f>
        <v>Mar</v>
      </c>
      <c r="E334" s="5" t="s">
        <v>58</v>
      </c>
      <c r="F334" s="3" t="s">
        <v>18</v>
      </c>
      <c r="G334" s="3" t="s">
        <v>45</v>
      </c>
      <c r="H334" s="3" t="s">
        <v>43</v>
      </c>
      <c r="I334" s="3"/>
      <c r="J334" s="3">
        <v>4950</v>
      </c>
      <c r="K334" s="3">
        <v>5500</v>
      </c>
      <c r="L334" s="3">
        <v>9</v>
      </c>
      <c r="M334">
        <f>Table1[[#This Row],[Qty]]*Table1[[#This Row],[Sales Price]]</f>
        <v>49500</v>
      </c>
      <c r="N334">
        <f>Table1[[#This Row],[Qty]]*Table1[[#This Row],[Cost]]</f>
        <v>44550</v>
      </c>
      <c r="O334">
        <f>Table1[[#This Row],[Revenue]]-Table1[[#This Row],[Total Cost]]</f>
        <v>4950</v>
      </c>
    </row>
    <row r="335" spans="1:15" x14ac:dyDescent="0.55000000000000004">
      <c r="A335" s="3">
        <v>334</v>
      </c>
      <c r="B335" s="4">
        <v>44999</v>
      </c>
      <c r="C335" s="4" t="str">
        <f>TEXT(Table1[[#This Row],[Date]],"YYYY")</f>
        <v>2023</v>
      </c>
      <c r="D335" s="4" t="str">
        <f>TEXT(Table1[[#This Row],[Date]],"MMM")</f>
        <v>Mar</v>
      </c>
      <c r="E335" s="5" t="s">
        <v>14</v>
      </c>
      <c r="F335" s="3" t="s">
        <v>18</v>
      </c>
      <c r="G335" s="3" t="s">
        <v>47</v>
      </c>
      <c r="H335" s="3" t="s">
        <v>43</v>
      </c>
      <c r="I335" s="3"/>
      <c r="J335" s="3">
        <v>3150</v>
      </c>
      <c r="K335" s="3">
        <v>3500</v>
      </c>
      <c r="L335" s="3">
        <v>22</v>
      </c>
      <c r="M335">
        <f>Table1[[#This Row],[Qty]]*Table1[[#This Row],[Sales Price]]</f>
        <v>77000</v>
      </c>
      <c r="N335">
        <f>Table1[[#This Row],[Qty]]*Table1[[#This Row],[Cost]]</f>
        <v>69300</v>
      </c>
      <c r="O335">
        <f>Table1[[#This Row],[Revenue]]-Table1[[#This Row],[Total Cost]]</f>
        <v>7700</v>
      </c>
    </row>
    <row r="336" spans="1:15" x14ac:dyDescent="0.55000000000000004">
      <c r="A336" s="3">
        <v>335</v>
      </c>
      <c r="B336" s="4">
        <v>45000</v>
      </c>
      <c r="C336" s="4" t="str">
        <f>TEXT(Table1[[#This Row],[Date]],"YYYY")</f>
        <v>2023</v>
      </c>
      <c r="D336" s="4" t="str">
        <f>TEXT(Table1[[#This Row],[Date]],"MMM")</f>
        <v>Mar</v>
      </c>
      <c r="E336" s="5" t="s">
        <v>49</v>
      </c>
      <c r="F336" s="3" t="s">
        <v>61</v>
      </c>
      <c r="G336" s="3" t="s">
        <v>48</v>
      </c>
      <c r="H336" s="3" t="s">
        <v>43</v>
      </c>
      <c r="I336" s="3"/>
      <c r="J336" s="3">
        <v>2700</v>
      </c>
      <c r="K336" s="3">
        <v>3000</v>
      </c>
      <c r="L336" s="3">
        <v>16</v>
      </c>
      <c r="M336">
        <f>Table1[[#This Row],[Qty]]*Table1[[#This Row],[Sales Price]]</f>
        <v>48000</v>
      </c>
      <c r="N336">
        <f>Table1[[#This Row],[Qty]]*Table1[[#This Row],[Cost]]</f>
        <v>43200</v>
      </c>
      <c r="O336">
        <f>Table1[[#This Row],[Revenue]]-Table1[[#This Row],[Total Cost]]</f>
        <v>4800</v>
      </c>
    </row>
    <row r="337" spans="1:15" x14ac:dyDescent="0.55000000000000004">
      <c r="A337" s="3">
        <v>336</v>
      </c>
      <c r="B337" s="4">
        <v>45001</v>
      </c>
      <c r="C337" s="4" t="str">
        <f>TEXT(Table1[[#This Row],[Date]],"YYYY")</f>
        <v>2023</v>
      </c>
      <c r="D337" s="4" t="str">
        <f>TEXT(Table1[[#This Row],[Date]],"MMM")</f>
        <v>Mar</v>
      </c>
      <c r="E337" s="5" t="s">
        <v>63</v>
      </c>
      <c r="F337" s="3" t="s">
        <v>61</v>
      </c>
      <c r="G337" s="3" t="s">
        <v>42</v>
      </c>
      <c r="H337" s="3" t="s">
        <v>43</v>
      </c>
      <c r="I337" s="3">
        <v>1</v>
      </c>
      <c r="J337" s="3">
        <v>4050</v>
      </c>
      <c r="K337" s="3">
        <v>4500</v>
      </c>
      <c r="L337" s="3">
        <v>6</v>
      </c>
      <c r="M337">
        <f>Table1[[#This Row],[Qty]]*Table1[[#This Row],[Sales Price]]</f>
        <v>27000</v>
      </c>
      <c r="N337">
        <f>Table1[[#This Row],[Qty]]*Table1[[#This Row],[Cost]]</f>
        <v>24300</v>
      </c>
      <c r="O337">
        <f>Table1[[#This Row],[Revenue]]-Table1[[#This Row],[Total Cost]]</f>
        <v>2700</v>
      </c>
    </row>
    <row r="338" spans="1:15" x14ac:dyDescent="0.55000000000000004">
      <c r="A338" s="3">
        <v>337</v>
      </c>
      <c r="B338" s="4">
        <v>45002</v>
      </c>
      <c r="C338" s="4" t="str">
        <f>TEXT(Table1[[#This Row],[Date]],"YYYY")</f>
        <v>2023</v>
      </c>
      <c r="D338" s="4" t="str">
        <f>TEXT(Table1[[#This Row],[Date]],"MMM")</f>
        <v>Mar</v>
      </c>
      <c r="E338" s="5" t="s">
        <v>22</v>
      </c>
      <c r="F338" s="3" t="s">
        <v>61</v>
      </c>
      <c r="G338" s="3" t="s">
        <v>44</v>
      </c>
      <c r="H338" s="3" t="s">
        <v>43</v>
      </c>
      <c r="I338" s="3">
        <v>1</v>
      </c>
      <c r="J338" s="3">
        <v>53100</v>
      </c>
      <c r="K338" s="3">
        <v>59000</v>
      </c>
      <c r="L338" s="3">
        <v>3</v>
      </c>
      <c r="M338">
        <f>Table1[[#This Row],[Qty]]*Table1[[#This Row],[Sales Price]]</f>
        <v>177000</v>
      </c>
      <c r="N338">
        <f>Table1[[#This Row],[Qty]]*Table1[[#This Row],[Cost]]</f>
        <v>159300</v>
      </c>
      <c r="O338">
        <f>Table1[[#This Row],[Revenue]]-Table1[[#This Row],[Total Cost]]</f>
        <v>17700</v>
      </c>
    </row>
    <row r="339" spans="1:15" x14ac:dyDescent="0.55000000000000004">
      <c r="A339" s="3">
        <v>338</v>
      </c>
      <c r="B339" s="4">
        <v>45003</v>
      </c>
      <c r="C339" s="4" t="str">
        <f>TEXT(Table1[[#This Row],[Date]],"YYYY")</f>
        <v>2023</v>
      </c>
      <c r="D339" s="4" t="str">
        <f>TEXT(Table1[[#This Row],[Date]],"MMM")</f>
        <v>Mar</v>
      </c>
      <c r="E339" s="5" t="s">
        <v>24</v>
      </c>
      <c r="F339" s="3" t="s">
        <v>61</v>
      </c>
      <c r="G339" s="3" t="s">
        <v>45</v>
      </c>
      <c r="H339" s="3" t="s">
        <v>43</v>
      </c>
      <c r="I339" s="3">
        <v>1</v>
      </c>
      <c r="J339" s="3">
        <v>88200</v>
      </c>
      <c r="K339" s="3">
        <v>98000</v>
      </c>
      <c r="L339" s="3">
        <v>5</v>
      </c>
      <c r="M339">
        <f>Table1[[#This Row],[Qty]]*Table1[[#This Row],[Sales Price]]</f>
        <v>490000</v>
      </c>
      <c r="N339">
        <f>Table1[[#This Row],[Qty]]*Table1[[#This Row],[Cost]]</f>
        <v>441000</v>
      </c>
      <c r="O339">
        <f>Table1[[#This Row],[Revenue]]-Table1[[#This Row],[Total Cost]]</f>
        <v>49000</v>
      </c>
    </row>
    <row r="340" spans="1:15" x14ac:dyDescent="0.55000000000000004">
      <c r="A340" s="3">
        <v>339</v>
      </c>
      <c r="B340" s="4">
        <v>45004</v>
      </c>
      <c r="C340" s="4" t="str">
        <f>TEXT(Table1[[#This Row],[Date]],"YYYY")</f>
        <v>2023</v>
      </c>
      <c r="D340" s="4" t="str">
        <f>TEXT(Table1[[#This Row],[Date]],"MMM")</f>
        <v>Mar</v>
      </c>
      <c r="E340" s="5" t="s">
        <v>39</v>
      </c>
      <c r="F340" s="3" t="s">
        <v>61</v>
      </c>
      <c r="G340" s="3" t="s">
        <v>47</v>
      </c>
      <c r="H340" s="3" t="s">
        <v>43</v>
      </c>
      <c r="I340" s="3">
        <v>0</v>
      </c>
      <c r="J340" s="3">
        <v>38250</v>
      </c>
      <c r="K340" s="3">
        <v>42500</v>
      </c>
      <c r="L340" s="3">
        <v>1</v>
      </c>
      <c r="M340">
        <f>Table1[[#This Row],[Qty]]*Table1[[#This Row],[Sales Price]]</f>
        <v>42500</v>
      </c>
      <c r="N340">
        <f>Table1[[#This Row],[Qty]]*Table1[[#This Row],[Cost]]</f>
        <v>38250</v>
      </c>
      <c r="O340">
        <f>Table1[[#This Row],[Revenue]]-Table1[[#This Row],[Total Cost]]</f>
        <v>4250</v>
      </c>
    </row>
    <row r="341" spans="1:15" x14ac:dyDescent="0.55000000000000004">
      <c r="A341" s="3">
        <v>340</v>
      </c>
      <c r="B341" s="4">
        <v>45005</v>
      </c>
      <c r="C341" s="4" t="str">
        <f>TEXT(Table1[[#This Row],[Date]],"YYYY")</f>
        <v>2023</v>
      </c>
      <c r="D341" s="4" t="str">
        <f>TEXT(Table1[[#This Row],[Date]],"MMM")</f>
        <v>Mar</v>
      </c>
      <c r="E341" s="5" t="s">
        <v>39</v>
      </c>
      <c r="F341" s="3" t="s">
        <v>61</v>
      </c>
      <c r="G341" s="3" t="s">
        <v>48</v>
      </c>
      <c r="H341" s="3" t="s">
        <v>43</v>
      </c>
      <c r="I341" s="3">
        <v>0</v>
      </c>
      <c r="J341" s="3">
        <v>2700</v>
      </c>
      <c r="K341" s="3">
        <v>3000</v>
      </c>
      <c r="L341" s="3">
        <v>5</v>
      </c>
      <c r="M341">
        <f>Table1[[#This Row],[Qty]]*Table1[[#This Row],[Sales Price]]</f>
        <v>15000</v>
      </c>
      <c r="N341">
        <f>Table1[[#This Row],[Qty]]*Table1[[#This Row],[Cost]]</f>
        <v>13500</v>
      </c>
      <c r="O341">
        <f>Table1[[#This Row],[Revenue]]-Table1[[#This Row],[Total Cost]]</f>
        <v>1500</v>
      </c>
    </row>
    <row r="342" spans="1:15" x14ac:dyDescent="0.55000000000000004">
      <c r="A342" s="3">
        <v>341</v>
      </c>
      <c r="B342" s="4">
        <v>45006</v>
      </c>
      <c r="C342" s="4" t="str">
        <f>TEXT(Table1[[#This Row],[Date]],"YYYY")</f>
        <v>2023</v>
      </c>
      <c r="D342" s="4" t="str">
        <f>TEXT(Table1[[#This Row],[Date]],"MMM")</f>
        <v>Mar</v>
      </c>
      <c r="E342" s="5" t="s">
        <v>56</v>
      </c>
      <c r="F342" s="3" t="s">
        <v>61</v>
      </c>
      <c r="G342" s="3" t="s">
        <v>48</v>
      </c>
      <c r="H342" s="3" t="s">
        <v>43</v>
      </c>
      <c r="I342" s="3">
        <v>0</v>
      </c>
      <c r="J342" s="3">
        <v>23850</v>
      </c>
      <c r="K342" s="3">
        <v>26500</v>
      </c>
      <c r="L342" s="3">
        <v>7</v>
      </c>
      <c r="M342">
        <f>Table1[[#This Row],[Qty]]*Table1[[#This Row],[Sales Price]]</f>
        <v>185500</v>
      </c>
      <c r="N342">
        <f>Table1[[#This Row],[Qty]]*Table1[[#This Row],[Cost]]</f>
        <v>166950</v>
      </c>
      <c r="O342">
        <f>Table1[[#This Row],[Revenue]]-Table1[[#This Row],[Total Cost]]</f>
        <v>18550</v>
      </c>
    </row>
    <row r="343" spans="1:15" x14ac:dyDescent="0.55000000000000004">
      <c r="A343" s="3">
        <v>342</v>
      </c>
      <c r="B343" s="4">
        <v>45007</v>
      </c>
      <c r="C343" s="4" t="str">
        <f>TEXT(Table1[[#This Row],[Date]],"YYYY")</f>
        <v>2023</v>
      </c>
      <c r="D343" s="4" t="str">
        <f>TEXT(Table1[[#This Row],[Date]],"MMM")</f>
        <v>Mar</v>
      </c>
      <c r="E343" s="5" t="s">
        <v>22</v>
      </c>
      <c r="F343" s="3" t="s">
        <v>61</v>
      </c>
      <c r="G343" s="3" t="s">
        <v>42</v>
      </c>
      <c r="H343" s="3" t="s">
        <v>43</v>
      </c>
      <c r="I343" s="3">
        <v>1</v>
      </c>
      <c r="J343" s="3">
        <v>24750</v>
      </c>
      <c r="K343" s="3">
        <v>27500</v>
      </c>
      <c r="L343" s="3">
        <v>4</v>
      </c>
      <c r="M343">
        <f>Table1[[#This Row],[Qty]]*Table1[[#This Row],[Sales Price]]</f>
        <v>110000</v>
      </c>
      <c r="N343">
        <f>Table1[[#This Row],[Qty]]*Table1[[#This Row],[Cost]]</f>
        <v>99000</v>
      </c>
      <c r="O343">
        <f>Table1[[#This Row],[Revenue]]-Table1[[#This Row],[Total Cost]]</f>
        <v>11000</v>
      </c>
    </row>
    <row r="344" spans="1:15" x14ac:dyDescent="0.55000000000000004">
      <c r="A344" s="3">
        <v>343</v>
      </c>
      <c r="B344" s="4">
        <v>45008</v>
      </c>
      <c r="C344" s="4" t="str">
        <f>TEXT(Table1[[#This Row],[Date]],"YYYY")</f>
        <v>2023</v>
      </c>
      <c r="D344" s="4" t="str">
        <f>TEXT(Table1[[#This Row],[Date]],"MMM")</f>
        <v>Mar</v>
      </c>
      <c r="E344" s="5" t="s">
        <v>14</v>
      </c>
      <c r="F344" s="3" t="s">
        <v>61</v>
      </c>
      <c r="G344" s="3" t="s">
        <v>27</v>
      </c>
      <c r="H344" s="3" t="s">
        <v>28</v>
      </c>
      <c r="I344" s="3"/>
      <c r="J344" s="3">
        <v>44550</v>
      </c>
      <c r="K344" s="3">
        <v>49500</v>
      </c>
      <c r="L344" s="3">
        <v>8</v>
      </c>
      <c r="M344">
        <f>Table1[[#This Row],[Qty]]*Table1[[#This Row],[Sales Price]]</f>
        <v>396000</v>
      </c>
      <c r="N344">
        <f>Table1[[#This Row],[Qty]]*Table1[[#This Row],[Cost]]</f>
        <v>356400</v>
      </c>
      <c r="O344">
        <f>Table1[[#This Row],[Revenue]]-Table1[[#This Row],[Total Cost]]</f>
        <v>39600</v>
      </c>
    </row>
    <row r="345" spans="1:15" x14ac:dyDescent="0.55000000000000004">
      <c r="A345" s="3">
        <v>344</v>
      </c>
      <c r="B345" s="4">
        <v>45009</v>
      </c>
      <c r="C345" s="4" t="str">
        <f>TEXT(Table1[[#This Row],[Date]],"YYYY")</f>
        <v>2023</v>
      </c>
      <c r="D345" s="4" t="str">
        <f>TEXT(Table1[[#This Row],[Date]],"MMM")</f>
        <v>Mar</v>
      </c>
      <c r="E345" s="5" t="s">
        <v>22</v>
      </c>
      <c r="F345" s="3" t="s">
        <v>61</v>
      </c>
      <c r="G345" s="3" t="s">
        <v>30</v>
      </c>
      <c r="H345" s="3" t="s">
        <v>28</v>
      </c>
      <c r="I345" s="3"/>
      <c r="J345" s="3">
        <v>9000</v>
      </c>
      <c r="K345" s="3">
        <v>10000</v>
      </c>
      <c r="L345" s="3">
        <v>8</v>
      </c>
      <c r="M345">
        <f>Table1[[#This Row],[Qty]]*Table1[[#This Row],[Sales Price]]</f>
        <v>80000</v>
      </c>
      <c r="N345">
        <f>Table1[[#This Row],[Qty]]*Table1[[#This Row],[Cost]]</f>
        <v>72000</v>
      </c>
      <c r="O345">
        <f>Table1[[#This Row],[Revenue]]-Table1[[#This Row],[Total Cost]]</f>
        <v>8000</v>
      </c>
    </row>
    <row r="346" spans="1:15" x14ac:dyDescent="0.55000000000000004">
      <c r="A346" s="3">
        <v>345</v>
      </c>
      <c r="B346" s="4">
        <v>45010</v>
      </c>
      <c r="C346" s="4" t="str">
        <f>TEXT(Table1[[#This Row],[Date]],"YYYY")</f>
        <v>2023</v>
      </c>
      <c r="D346" s="4" t="str">
        <f>TEXT(Table1[[#This Row],[Date]],"MMM")</f>
        <v>Mar</v>
      </c>
      <c r="E346" s="5" t="s">
        <v>33</v>
      </c>
      <c r="F346" s="3" t="s">
        <v>61</v>
      </c>
      <c r="G346" s="3" t="s">
        <v>32</v>
      </c>
      <c r="H346" s="3" t="s">
        <v>28</v>
      </c>
      <c r="I346" s="3">
        <v>1</v>
      </c>
      <c r="J346" s="3">
        <v>8640</v>
      </c>
      <c r="K346" s="3">
        <v>9600</v>
      </c>
      <c r="L346" s="3">
        <v>9</v>
      </c>
      <c r="M346">
        <f>Table1[[#This Row],[Qty]]*Table1[[#This Row],[Sales Price]]</f>
        <v>86400</v>
      </c>
      <c r="N346">
        <f>Table1[[#This Row],[Qty]]*Table1[[#This Row],[Cost]]</f>
        <v>77760</v>
      </c>
      <c r="O346">
        <f>Table1[[#This Row],[Revenue]]-Table1[[#This Row],[Total Cost]]</f>
        <v>8640</v>
      </c>
    </row>
    <row r="347" spans="1:15" x14ac:dyDescent="0.55000000000000004">
      <c r="A347" s="3">
        <v>346</v>
      </c>
      <c r="B347" s="4">
        <v>45011</v>
      </c>
      <c r="C347" s="4" t="str">
        <f>TEXT(Table1[[#This Row],[Date]],"YYYY")</f>
        <v>2023</v>
      </c>
      <c r="D347" s="4" t="str">
        <f>TEXT(Table1[[#This Row],[Date]],"MMM")</f>
        <v>Mar</v>
      </c>
      <c r="E347" s="5" t="s">
        <v>58</v>
      </c>
      <c r="F347" s="3" t="s">
        <v>61</v>
      </c>
      <c r="G347" s="3" t="s">
        <v>34</v>
      </c>
      <c r="H347" s="3" t="s">
        <v>28</v>
      </c>
      <c r="I347" s="3">
        <v>1</v>
      </c>
      <c r="J347" s="3">
        <v>9000</v>
      </c>
      <c r="K347" s="3">
        <v>10000</v>
      </c>
      <c r="L347" s="3">
        <v>2</v>
      </c>
      <c r="M347">
        <f>Table1[[#This Row],[Qty]]*Table1[[#This Row],[Sales Price]]</f>
        <v>20000</v>
      </c>
      <c r="N347">
        <f>Table1[[#This Row],[Qty]]*Table1[[#This Row],[Cost]]</f>
        <v>18000</v>
      </c>
      <c r="O347">
        <f>Table1[[#This Row],[Revenue]]-Table1[[#This Row],[Total Cost]]</f>
        <v>2000</v>
      </c>
    </row>
    <row r="348" spans="1:15" x14ac:dyDescent="0.55000000000000004">
      <c r="A348" s="3">
        <v>347</v>
      </c>
      <c r="B348" s="4">
        <v>45012</v>
      </c>
      <c r="C348" s="4" t="str">
        <f>TEXT(Table1[[#This Row],[Date]],"YYYY")</f>
        <v>2023</v>
      </c>
      <c r="D348" s="4" t="str">
        <f>TEXT(Table1[[#This Row],[Date]],"MMM")</f>
        <v>Mar</v>
      </c>
      <c r="E348" s="5" t="s">
        <v>50</v>
      </c>
      <c r="F348" s="3" t="s">
        <v>61</v>
      </c>
      <c r="G348" s="3" t="s">
        <v>41</v>
      </c>
      <c r="H348" s="3" t="s">
        <v>28</v>
      </c>
      <c r="I348" s="3">
        <v>1</v>
      </c>
      <c r="J348" s="3">
        <v>3870</v>
      </c>
      <c r="K348" s="3">
        <v>4300</v>
      </c>
      <c r="L348" s="3">
        <v>1</v>
      </c>
      <c r="M348">
        <f>Table1[[#This Row],[Qty]]*Table1[[#This Row],[Sales Price]]</f>
        <v>4300</v>
      </c>
      <c r="N348">
        <f>Table1[[#This Row],[Qty]]*Table1[[#This Row],[Cost]]</f>
        <v>3870</v>
      </c>
      <c r="O348">
        <f>Table1[[#This Row],[Revenue]]-Table1[[#This Row],[Total Cost]]</f>
        <v>430</v>
      </c>
    </row>
    <row r="349" spans="1:15" x14ac:dyDescent="0.55000000000000004">
      <c r="A349" s="3">
        <v>348</v>
      </c>
      <c r="B349" s="4">
        <v>45013</v>
      </c>
      <c r="C349" s="4" t="str">
        <f>TEXT(Table1[[#This Row],[Date]],"YYYY")</f>
        <v>2023</v>
      </c>
      <c r="D349" s="4" t="str">
        <f>TEXT(Table1[[#This Row],[Date]],"MMM")</f>
        <v>Mar</v>
      </c>
      <c r="E349" s="5" t="s">
        <v>39</v>
      </c>
      <c r="F349" s="3" t="s">
        <v>61</v>
      </c>
      <c r="G349" s="3" t="s">
        <v>27</v>
      </c>
      <c r="H349" s="3" t="s">
        <v>28</v>
      </c>
      <c r="I349" s="3">
        <v>1</v>
      </c>
      <c r="J349" s="3">
        <v>45450</v>
      </c>
      <c r="K349" s="3">
        <v>50500</v>
      </c>
      <c r="L349" s="3">
        <v>22</v>
      </c>
      <c r="M349">
        <f>Table1[[#This Row],[Qty]]*Table1[[#This Row],[Sales Price]]</f>
        <v>1111000</v>
      </c>
      <c r="N349">
        <f>Table1[[#This Row],[Qty]]*Table1[[#This Row],[Cost]]</f>
        <v>999900</v>
      </c>
      <c r="O349">
        <f>Table1[[#This Row],[Revenue]]-Table1[[#This Row],[Total Cost]]</f>
        <v>111100</v>
      </c>
    </row>
    <row r="350" spans="1:15" x14ac:dyDescent="0.55000000000000004">
      <c r="A350" s="3">
        <v>349</v>
      </c>
      <c r="B350" s="4">
        <v>45014</v>
      </c>
      <c r="C350" s="4" t="str">
        <f>TEXT(Table1[[#This Row],[Date]],"YYYY")</f>
        <v>2023</v>
      </c>
      <c r="D350" s="4" t="str">
        <f>TEXT(Table1[[#This Row],[Date]],"MMM")</f>
        <v>Mar</v>
      </c>
      <c r="E350" s="5" t="s">
        <v>58</v>
      </c>
      <c r="F350" s="3" t="s">
        <v>61</v>
      </c>
      <c r="G350" s="3" t="s">
        <v>32</v>
      </c>
      <c r="H350" s="3" t="s">
        <v>28</v>
      </c>
      <c r="I350" s="3">
        <v>1</v>
      </c>
      <c r="J350" s="3">
        <v>18225</v>
      </c>
      <c r="K350" s="3">
        <v>20250</v>
      </c>
      <c r="L350" s="3">
        <v>8</v>
      </c>
      <c r="M350">
        <f>Table1[[#This Row],[Qty]]*Table1[[#This Row],[Sales Price]]</f>
        <v>162000</v>
      </c>
      <c r="N350">
        <f>Table1[[#This Row],[Qty]]*Table1[[#This Row],[Cost]]</f>
        <v>145800</v>
      </c>
      <c r="O350">
        <f>Table1[[#This Row],[Revenue]]-Table1[[#This Row],[Total Cost]]</f>
        <v>16200</v>
      </c>
    </row>
    <row r="351" spans="1:15" x14ac:dyDescent="0.55000000000000004">
      <c r="A351" s="3">
        <v>350</v>
      </c>
      <c r="B351" s="4">
        <v>45015</v>
      </c>
      <c r="C351" s="4" t="str">
        <f>TEXT(Table1[[#This Row],[Date]],"YYYY")</f>
        <v>2023</v>
      </c>
      <c r="D351" s="4" t="str">
        <f>TEXT(Table1[[#This Row],[Date]],"MMM")</f>
        <v>Mar</v>
      </c>
      <c r="E351" s="5" t="s">
        <v>39</v>
      </c>
      <c r="F351" s="3" t="s">
        <v>61</v>
      </c>
      <c r="G351" s="3" t="s">
        <v>27</v>
      </c>
      <c r="H351" s="3" t="s">
        <v>28</v>
      </c>
      <c r="I351" s="3">
        <v>1</v>
      </c>
      <c r="J351" s="3">
        <v>1800</v>
      </c>
      <c r="K351" s="3">
        <v>2000</v>
      </c>
      <c r="L351" s="3">
        <v>7</v>
      </c>
      <c r="M351">
        <f>Table1[[#This Row],[Qty]]*Table1[[#This Row],[Sales Price]]</f>
        <v>14000</v>
      </c>
      <c r="N351">
        <f>Table1[[#This Row],[Qty]]*Table1[[#This Row],[Cost]]</f>
        <v>12600</v>
      </c>
      <c r="O351">
        <f>Table1[[#This Row],[Revenue]]-Table1[[#This Row],[Total Cost]]</f>
        <v>1400</v>
      </c>
    </row>
    <row r="352" spans="1:15" x14ac:dyDescent="0.55000000000000004">
      <c r="A352" s="3">
        <v>351</v>
      </c>
      <c r="B352" s="4">
        <v>45016</v>
      </c>
      <c r="C352" s="4" t="str">
        <f>TEXT(Table1[[#This Row],[Date]],"YYYY")</f>
        <v>2023</v>
      </c>
      <c r="D352" s="4" t="str">
        <f>TEXT(Table1[[#This Row],[Date]],"MMM")</f>
        <v>Mar</v>
      </c>
      <c r="E352" s="5" t="s">
        <v>66</v>
      </c>
      <c r="F352" s="3" t="s">
        <v>61</v>
      </c>
      <c r="G352" s="3" t="s">
        <v>30</v>
      </c>
      <c r="H352" s="3" t="s">
        <v>28</v>
      </c>
      <c r="I352" s="3"/>
      <c r="J352" s="3">
        <v>48600</v>
      </c>
      <c r="K352" s="3">
        <v>54000</v>
      </c>
      <c r="L352" s="3">
        <v>56</v>
      </c>
      <c r="M352">
        <f>Table1[[#This Row],[Qty]]*Table1[[#This Row],[Sales Price]]</f>
        <v>3024000</v>
      </c>
      <c r="N352">
        <f>Table1[[#This Row],[Qty]]*Table1[[#This Row],[Cost]]</f>
        <v>2721600</v>
      </c>
      <c r="O352">
        <f>Table1[[#This Row],[Revenue]]-Table1[[#This Row],[Total Cost]]</f>
        <v>302400</v>
      </c>
    </row>
    <row r="353" spans="1:15" x14ac:dyDescent="0.55000000000000004">
      <c r="A353" s="3">
        <v>352</v>
      </c>
      <c r="B353" s="4">
        <v>45017</v>
      </c>
      <c r="C353" s="4" t="str">
        <f>TEXT(Table1[[#This Row],[Date]],"YYYY")</f>
        <v>2023</v>
      </c>
      <c r="D353" s="4" t="str">
        <f>TEXT(Table1[[#This Row],[Date]],"MMM")</f>
        <v>Apr</v>
      </c>
      <c r="E353" s="5" t="s">
        <v>39</v>
      </c>
      <c r="F353" s="3" t="s">
        <v>61</v>
      </c>
      <c r="G353" s="3" t="s">
        <v>32</v>
      </c>
      <c r="H353" s="3" t="s">
        <v>28</v>
      </c>
      <c r="I353" s="3"/>
      <c r="J353" s="3">
        <v>72900</v>
      </c>
      <c r="K353" s="3">
        <v>81000</v>
      </c>
      <c r="L353" s="3">
        <v>10</v>
      </c>
      <c r="M353">
        <f>Table1[[#This Row],[Qty]]*Table1[[#This Row],[Sales Price]]</f>
        <v>810000</v>
      </c>
      <c r="N353">
        <f>Table1[[#This Row],[Qty]]*Table1[[#This Row],[Cost]]</f>
        <v>729000</v>
      </c>
      <c r="O353">
        <f>Table1[[#This Row],[Revenue]]-Table1[[#This Row],[Total Cost]]</f>
        <v>81000</v>
      </c>
    </row>
    <row r="354" spans="1:15" x14ac:dyDescent="0.55000000000000004">
      <c r="A354" s="3">
        <v>353</v>
      </c>
      <c r="B354" s="4">
        <v>45018</v>
      </c>
      <c r="C354" s="4" t="str">
        <f>TEXT(Table1[[#This Row],[Date]],"YYYY")</f>
        <v>2023</v>
      </c>
      <c r="D354" s="4" t="str">
        <f>TEXT(Table1[[#This Row],[Date]],"MMM")</f>
        <v>Apr</v>
      </c>
      <c r="E354" s="5" t="s">
        <v>31</v>
      </c>
      <c r="F354" s="3" t="s">
        <v>61</v>
      </c>
      <c r="G354" s="3" t="s">
        <v>34</v>
      </c>
      <c r="H354" s="3" t="s">
        <v>28</v>
      </c>
      <c r="I354" s="3"/>
      <c r="J354" s="3">
        <v>9450</v>
      </c>
      <c r="K354" s="3">
        <v>10500</v>
      </c>
      <c r="L354" s="3">
        <v>9</v>
      </c>
      <c r="M354">
        <f>Table1[[#This Row],[Qty]]*Table1[[#This Row],[Sales Price]]</f>
        <v>94500</v>
      </c>
      <c r="N354">
        <f>Table1[[#This Row],[Qty]]*Table1[[#This Row],[Cost]]</f>
        <v>85050</v>
      </c>
      <c r="O354">
        <f>Table1[[#This Row],[Revenue]]-Table1[[#This Row],[Total Cost]]</f>
        <v>9450</v>
      </c>
    </row>
    <row r="355" spans="1:15" x14ac:dyDescent="0.55000000000000004">
      <c r="A355" s="3">
        <v>354</v>
      </c>
      <c r="B355" s="4">
        <v>45019</v>
      </c>
      <c r="C355" s="4" t="str">
        <f>TEXT(Table1[[#This Row],[Date]],"YYYY")</f>
        <v>2023</v>
      </c>
      <c r="D355" s="4" t="str">
        <f>TEXT(Table1[[#This Row],[Date]],"MMM")</f>
        <v>Apr</v>
      </c>
      <c r="E355" s="5" t="s">
        <v>66</v>
      </c>
      <c r="F355" s="3" t="s">
        <v>61</v>
      </c>
      <c r="G355" s="3" t="s">
        <v>41</v>
      </c>
      <c r="H355" s="3" t="s">
        <v>28</v>
      </c>
      <c r="I355" s="3">
        <v>1</v>
      </c>
      <c r="J355" s="3">
        <v>36000</v>
      </c>
      <c r="K355" s="3">
        <v>40000</v>
      </c>
      <c r="L355" s="3">
        <v>27</v>
      </c>
      <c r="M355">
        <f>Table1[[#This Row],[Qty]]*Table1[[#This Row],[Sales Price]]</f>
        <v>1080000</v>
      </c>
      <c r="N355">
        <f>Table1[[#This Row],[Qty]]*Table1[[#This Row],[Cost]]</f>
        <v>972000</v>
      </c>
      <c r="O355">
        <f>Table1[[#This Row],[Revenue]]-Table1[[#This Row],[Total Cost]]</f>
        <v>108000</v>
      </c>
    </row>
    <row r="356" spans="1:15" x14ac:dyDescent="0.55000000000000004">
      <c r="A356" s="3">
        <v>355</v>
      </c>
      <c r="B356" s="4">
        <v>45020</v>
      </c>
      <c r="C356" s="4" t="str">
        <f>TEXT(Table1[[#This Row],[Date]],"YYYY")</f>
        <v>2023</v>
      </c>
      <c r="D356" s="4" t="str">
        <f>TEXT(Table1[[#This Row],[Date]],"MMM")</f>
        <v>Apr</v>
      </c>
      <c r="E356" s="5" t="s">
        <v>54</v>
      </c>
      <c r="F356" s="3" t="s">
        <v>61</v>
      </c>
      <c r="G356" s="3" t="s">
        <v>27</v>
      </c>
      <c r="H356" s="3" t="s">
        <v>28</v>
      </c>
      <c r="I356" s="3">
        <v>1</v>
      </c>
      <c r="J356" s="3">
        <v>24300</v>
      </c>
      <c r="K356" s="3">
        <v>27000</v>
      </c>
      <c r="L356" s="3">
        <v>15</v>
      </c>
      <c r="M356">
        <f>Table1[[#This Row],[Qty]]*Table1[[#This Row],[Sales Price]]</f>
        <v>405000</v>
      </c>
      <c r="N356">
        <f>Table1[[#This Row],[Qty]]*Table1[[#This Row],[Cost]]</f>
        <v>364500</v>
      </c>
      <c r="O356">
        <f>Table1[[#This Row],[Revenue]]-Table1[[#This Row],[Total Cost]]</f>
        <v>40500</v>
      </c>
    </row>
    <row r="357" spans="1:15" x14ac:dyDescent="0.55000000000000004">
      <c r="A357" s="3">
        <v>356</v>
      </c>
      <c r="B357" s="4">
        <v>45021</v>
      </c>
      <c r="C357" s="4" t="str">
        <f>TEXT(Table1[[#This Row],[Date]],"YYYY")</f>
        <v>2023</v>
      </c>
      <c r="D357" s="4" t="str">
        <f>TEXT(Table1[[#This Row],[Date]],"MMM")</f>
        <v>Apr</v>
      </c>
      <c r="E357" s="5" t="s">
        <v>39</v>
      </c>
      <c r="F357" s="3" t="s">
        <v>61</v>
      </c>
      <c r="G357" s="3" t="s">
        <v>32</v>
      </c>
      <c r="H357" s="3" t="s">
        <v>28</v>
      </c>
      <c r="I357" s="3">
        <v>1</v>
      </c>
      <c r="J357" s="3">
        <v>9180</v>
      </c>
      <c r="K357" s="3">
        <v>10200</v>
      </c>
      <c r="L357" s="3">
        <v>3</v>
      </c>
      <c r="M357">
        <f>Table1[[#This Row],[Qty]]*Table1[[#This Row],[Sales Price]]</f>
        <v>30600</v>
      </c>
      <c r="N357">
        <f>Table1[[#This Row],[Qty]]*Table1[[#This Row],[Cost]]</f>
        <v>27540</v>
      </c>
      <c r="O357">
        <f>Table1[[#This Row],[Revenue]]-Table1[[#This Row],[Total Cost]]</f>
        <v>3060</v>
      </c>
    </row>
    <row r="358" spans="1:15" x14ac:dyDescent="0.55000000000000004">
      <c r="A358" s="3">
        <v>357</v>
      </c>
      <c r="B358" s="4">
        <v>45022</v>
      </c>
      <c r="C358" s="4" t="str">
        <f>TEXT(Table1[[#This Row],[Date]],"YYYY")</f>
        <v>2023</v>
      </c>
      <c r="D358" s="4" t="str">
        <f>TEXT(Table1[[#This Row],[Date]],"MMM")</f>
        <v>Apr</v>
      </c>
      <c r="E358" s="5" t="s">
        <v>22</v>
      </c>
      <c r="F358" s="3" t="s">
        <v>61</v>
      </c>
      <c r="G358" s="3" t="s">
        <v>42</v>
      </c>
      <c r="H358" s="3" t="s">
        <v>43</v>
      </c>
      <c r="I358" s="3">
        <v>1</v>
      </c>
      <c r="J358" s="3">
        <v>8640</v>
      </c>
      <c r="K358" s="3">
        <v>9600</v>
      </c>
      <c r="L358" s="3">
        <v>9</v>
      </c>
      <c r="M358">
        <f>Table1[[#This Row],[Qty]]*Table1[[#This Row],[Sales Price]]</f>
        <v>86400</v>
      </c>
      <c r="N358">
        <f>Table1[[#This Row],[Qty]]*Table1[[#This Row],[Cost]]</f>
        <v>77760</v>
      </c>
      <c r="O358">
        <f>Table1[[#This Row],[Revenue]]-Table1[[#This Row],[Total Cost]]</f>
        <v>8640</v>
      </c>
    </row>
    <row r="359" spans="1:15" x14ac:dyDescent="0.55000000000000004">
      <c r="A359" s="3">
        <v>358</v>
      </c>
      <c r="B359" s="4">
        <v>45023</v>
      </c>
      <c r="C359" s="4" t="str">
        <f>TEXT(Table1[[#This Row],[Date]],"YYYY")</f>
        <v>2023</v>
      </c>
      <c r="D359" s="4" t="str">
        <f>TEXT(Table1[[#This Row],[Date]],"MMM")</f>
        <v>Apr</v>
      </c>
      <c r="E359" s="5" t="s">
        <v>40</v>
      </c>
      <c r="F359" s="3" t="s">
        <v>15</v>
      </c>
      <c r="G359" s="3" t="s">
        <v>44</v>
      </c>
      <c r="H359" s="3" t="s">
        <v>43</v>
      </c>
      <c r="I359" s="3">
        <v>1</v>
      </c>
      <c r="J359" s="3">
        <v>8280</v>
      </c>
      <c r="K359" s="3">
        <v>9200</v>
      </c>
      <c r="L359" s="3">
        <v>22</v>
      </c>
      <c r="M359">
        <f>Table1[[#This Row],[Qty]]*Table1[[#This Row],[Sales Price]]</f>
        <v>202400</v>
      </c>
      <c r="N359">
        <f>Table1[[#This Row],[Qty]]*Table1[[#This Row],[Cost]]</f>
        <v>182160</v>
      </c>
      <c r="O359">
        <f>Table1[[#This Row],[Revenue]]-Table1[[#This Row],[Total Cost]]</f>
        <v>20240</v>
      </c>
    </row>
    <row r="360" spans="1:15" x14ac:dyDescent="0.55000000000000004">
      <c r="A360" s="3">
        <v>359</v>
      </c>
      <c r="B360" s="4">
        <v>45024</v>
      </c>
      <c r="C360" s="4" t="str">
        <f>TEXT(Table1[[#This Row],[Date]],"YYYY")</f>
        <v>2023</v>
      </c>
      <c r="D360" s="4" t="str">
        <f>TEXT(Table1[[#This Row],[Date]],"MMM")</f>
        <v>Apr</v>
      </c>
      <c r="E360" s="5" t="s">
        <v>50</v>
      </c>
      <c r="F360" s="3" t="s">
        <v>15</v>
      </c>
      <c r="G360" s="3" t="s">
        <v>45</v>
      </c>
      <c r="H360" s="3" t="s">
        <v>43</v>
      </c>
      <c r="I360" s="3">
        <v>1</v>
      </c>
      <c r="J360" s="3">
        <v>4950</v>
      </c>
      <c r="K360" s="3">
        <v>5500</v>
      </c>
      <c r="L360" s="3">
        <v>16</v>
      </c>
      <c r="M360">
        <f>Table1[[#This Row],[Qty]]*Table1[[#This Row],[Sales Price]]</f>
        <v>88000</v>
      </c>
      <c r="N360">
        <f>Table1[[#This Row],[Qty]]*Table1[[#This Row],[Cost]]</f>
        <v>79200</v>
      </c>
      <c r="O360">
        <f>Table1[[#This Row],[Revenue]]-Table1[[#This Row],[Total Cost]]</f>
        <v>8800</v>
      </c>
    </row>
    <row r="361" spans="1:15" x14ac:dyDescent="0.55000000000000004">
      <c r="A361" s="3">
        <v>360</v>
      </c>
      <c r="B361" s="4">
        <v>45025</v>
      </c>
      <c r="C361" s="4" t="str">
        <f>TEXT(Table1[[#This Row],[Date]],"YYYY")</f>
        <v>2023</v>
      </c>
      <c r="D361" s="4" t="str">
        <f>TEXT(Table1[[#This Row],[Date]],"MMM")</f>
        <v>Apr</v>
      </c>
      <c r="E361" s="5" t="s">
        <v>56</v>
      </c>
      <c r="F361" s="3" t="s">
        <v>15</v>
      </c>
      <c r="G361" s="3" t="s">
        <v>47</v>
      </c>
      <c r="H361" s="3" t="s">
        <v>43</v>
      </c>
      <c r="I361" s="3">
        <v>1</v>
      </c>
      <c r="J361" s="3">
        <v>3150</v>
      </c>
      <c r="K361" s="3">
        <v>3500</v>
      </c>
      <c r="L361" s="3">
        <v>6</v>
      </c>
      <c r="M361">
        <f>Table1[[#This Row],[Qty]]*Table1[[#This Row],[Sales Price]]</f>
        <v>21000</v>
      </c>
      <c r="N361">
        <f>Table1[[#This Row],[Qty]]*Table1[[#This Row],[Cost]]</f>
        <v>18900</v>
      </c>
      <c r="O361">
        <f>Table1[[#This Row],[Revenue]]-Table1[[#This Row],[Total Cost]]</f>
        <v>2100</v>
      </c>
    </row>
    <row r="362" spans="1:15" x14ac:dyDescent="0.55000000000000004">
      <c r="A362" s="3">
        <v>361</v>
      </c>
      <c r="B362" s="4">
        <v>45026</v>
      </c>
      <c r="C362" s="4" t="str">
        <f>TEXT(Table1[[#This Row],[Date]],"YYYY")</f>
        <v>2023</v>
      </c>
      <c r="D362" s="4" t="str">
        <f>TEXT(Table1[[#This Row],[Date]],"MMM")</f>
        <v>Apr</v>
      </c>
      <c r="E362" s="5" t="s">
        <v>22</v>
      </c>
      <c r="F362" s="3" t="s">
        <v>15</v>
      </c>
      <c r="G362" s="3" t="s">
        <v>48</v>
      </c>
      <c r="H362" s="3" t="s">
        <v>43</v>
      </c>
      <c r="I362" s="3"/>
      <c r="J362" s="3">
        <v>2700</v>
      </c>
      <c r="K362" s="3">
        <v>3000</v>
      </c>
      <c r="L362" s="3">
        <v>3</v>
      </c>
      <c r="M362">
        <f>Table1[[#This Row],[Qty]]*Table1[[#This Row],[Sales Price]]</f>
        <v>9000</v>
      </c>
      <c r="N362">
        <f>Table1[[#This Row],[Qty]]*Table1[[#This Row],[Cost]]</f>
        <v>8100</v>
      </c>
      <c r="O362">
        <f>Table1[[#This Row],[Revenue]]-Table1[[#This Row],[Total Cost]]</f>
        <v>900</v>
      </c>
    </row>
    <row r="363" spans="1:15" x14ac:dyDescent="0.55000000000000004">
      <c r="A363" s="3">
        <v>362</v>
      </c>
      <c r="B363" s="4">
        <v>45027</v>
      </c>
      <c r="C363" s="4" t="str">
        <f>TEXT(Table1[[#This Row],[Date]],"YYYY")</f>
        <v>2023</v>
      </c>
      <c r="D363" s="4" t="str">
        <f>TEXT(Table1[[#This Row],[Date]],"MMM")</f>
        <v>Apr</v>
      </c>
      <c r="E363" s="5" t="s">
        <v>22</v>
      </c>
      <c r="F363" s="3" t="s">
        <v>15</v>
      </c>
      <c r="G363" s="3" t="s">
        <v>42</v>
      </c>
      <c r="H363" s="3" t="s">
        <v>43</v>
      </c>
      <c r="I363" s="3"/>
      <c r="J363" s="3">
        <v>4050</v>
      </c>
      <c r="K363" s="3">
        <v>4500</v>
      </c>
      <c r="L363" s="3">
        <v>5</v>
      </c>
      <c r="M363">
        <f>Table1[[#This Row],[Qty]]*Table1[[#This Row],[Sales Price]]</f>
        <v>22500</v>
      </c>
      <c r="N363">
        <f>Table1[[#This Row],[Qty]]*Table1[[#This Row],[Cost]]</f>
        <v>20250</v>
      </c>
      <c r="O363">
        <f>Table1[[#This Row],[Revenue]]-Table1[[#This Row],[Total Cost]]</f>
        <v>2250</v>
      </c>
    </row>
    <row r="364" spans="1:15" x14ac:dyDescent="0.55000000000000004">
      <c r="A364" s="3">
        <v>363</v>
      </c>
      <c r="B364" s="4">
        <v>45028</v>
      </c>
      <c r="C364" s="4" t="str">
        <f>TEXT(Table1[[#This Row],[Date]],"YYYY")</f>
        <v>2023</v>
      </c>
      <c r="D364" s="4" t="str">
        <f>TEXT(Table1[[#This Row],[Date]],"MMM")</f>
        <v>Apr</v>
      </c>
      <c r="E364" s="5" t="s">
        <v>24</v>
      </c>
      <c r="F364" s="3" t="s">
        <v>15</v>
      </c>
      <c r="G364" s="3" t="s">
        <v>44</v>
      </c>
      <c r="H364" s="3" t="s">
        <v>43</v>
      </c>
      <c r="I364" s="3">
        <v>1</v>
      </c>
      <c r="J364" s="3">
        <v>53100</v>
      </c>
      <c r="K364" s="3">
        <v>59000</v>
      </c>
      <c r="L364" s="3">
        <v>1</v>
      </c>
      <c r="M364">
        <f>Table1[[#This Row],[Qty]]*Table1[[#This Row],[Sales Price]]</f>
        <v>59000</v>
      </c>
      <c r="N364">
        <f>Table1[[#This Row],[Qty]]*Table1[[#This Row],[Cost]]</f>
        <v>53100</v>
      </c>
      <c r="O364">
        <f>Table1[[#This Row],[Revenue]]-Table1[[#This Row],[Total Cost]]</f>
        <v>5900</v>
      </c>
    </row>
    <row r="365" spans="1:15" x14ac:dyDescent="0.55000000000000004">
      <c r="A365" s="3">
        <v>364</v>
      </c>
      <c r="B365" s="4">
        <v>45029</v>
      </c>
      <c r="C365" s="4" t="str">
        <f>TEXT(Table1[[#This Row],[Date]],"YYYY")</f>
        <v>2023</v>
      </c>
      <c r="D365" s="4" t="str">
        <f>TEXT(Table1[[#This Row],[Date]],"MMM")</f>
        <v>Apr</v>
      </c>
      <c r="E365" s="5" t="s">
        <v>57</v>
      </c>
      <c r="F365" s="3" t="s">
        <v>15</v>
      </c>
      <c r="G365" s="3" t="s">
        <v>45</v>
      </c>
      <c r="H365" s="3" t="s">
        <v>43</v>
      </c>
      <c r="I365" s="3">
        <v>1</v>
      </c>
      <c r="J365" s="3">
        <v>88200</v>
      </c>
      <c r="K365" s="3">
        <v>98000</v>
      </c>
      <c r="L365" s="3">
        <v>5</v>
      </c>
      <c r="M365">
        <f>Table1[[#This Row],[Qty]]*Table1[[#This Row],[Sales Price]]</f>
        <v>490000</v>
      </c>
      <c r="N365">
        <f>Table1[[#This Row],[Qty]]*Table1[[#This Row],[Cost]]</f>
        <v>441000</v>
      </c>
      <c r="O365">
        <f>Table1[[#This Row],[Revenue]]-Table1[[#This Row],[Total Cost]]</f>
        <v>49000</v>
      </c>
    </row>
    <row r="366" spans="1:15" x14ac:dyDescent="0.55000000000000004">
      <c r="A366" s="3">
        <v>365</v>
      </c>
      <c r="B366" s="4">
        <v>45030</v>
      </c>
      <c r="C366" s="4" t="str">
        <f>TEXT(Table1[[#This Row],[Date]],"YYYY")</f>
        <v>2023</v>
      </c>
      <c r="D366" s="4" t="str">
        <f>TEXT(Table1[[#This Row],[Date]],"MMM")</f>
        <v>Apr</v>
      </c>
      <c r="E366" s="5" t="s">
        <v>59</v>
      </c>
      <c r="F366" s="3" t="s">
        <v>15</v>
      </c>
      <c r="G366" s="3" t="s">
        <v>47</v>
      </c>
      <c r="H366" s="3" t="s">
        <v>43</v>
      </c>
      <c r="I366" s="3">
        <v>1</v>
      </c>
      <c r="J366" s="3">
        <v>8640</v>
      </c>
      <c r="K366" s="3">
        <v>9600</v>
      </c>
      <c r="L366" s="3">
        <v>7</v>
      </c>
      <c r="M366">
        <f>Table1[[#This Row],[Qty]]*Table1[[#This Row],[Sales Price]]</f>
        <v>67200</v>
      </c>
      <c r="N366">
        <f>Table1[[#This Row],[Qty]]*Table1[[#This Row],[Cost]]</f>
        <v>60480</v>
      </c>
      <c r="O366">
        <f>Table1[[#This Row],[Revenue]]-Table1[[#This Row],[Total Cost]]</f>
        <v>6720</v>
      </c>
    </row>
    <row r="367" spans="1:15" x14ac:dyDescent="0.55000000000000004">
      <c r="A367" s="3">
        <v>366</v>
      </c>
      <c r="B367" s="4">
        <v>45031</v>
      </c>
      <c r="C367" s="4" t="str">
        <f>TEXT(Table1[[#This Row],[Date]],"YYYY")</f>
        <v>2023</v>
      </c>
      <c r="D367" s="4" t="str">
        <f>TEXT(Table1[[#This Row],[Date]],"MMM")</f>
        <v>Apr</v>
      </c>
      <c r="E367" s="5" t="s">
        <v>22</v>
      </c>
      <c r="F367" s="3" t="s">
        <v>15</v>
      </c>
      <c r="G367" s="3" t="s">
        <v>48</v>
      </c>
      <c r="H367" s="3" t="s">
        <v>43</v>
      </c>
      <c r="I367" s="3">
        <v>0</v>
      </c>
      <c r="J367" s="3">
        <v>8280</v>
      </c>
      <c r="K367" s="3">
        <v>9200</v>
      </c>
      <c r="L367" s="3">
        <v>4</v>
      </c>
      <c r="M367">
        <f>Table1[[#This Row],[Qty]]*Table1[[#This Row],[Sales Price]]</f>
        <v>36800</v>
      </c>
      <c r="N367">
        <f>Table1[[#This Row],[Qty]]*Table1[[#This Row],[Cost]]</f>
        <v>33120</v>
      </c>
      <c r="O367">
        <f>Table1[[#This Row],[Revenue]]-Table1[[#This Row],[Total Cost]]</f>
        <v>3680</v>
      </c>
    </row>
    <row r="368" spans="1:15" x14ac:dyDescent="0.55000000000000004">
      <c r="A368" s="3">
        <v>367</v>
      </c>
      <c r="B368" s="4">
        <v>44608</v>
      </c>
      <c r="C368" s="4" t="str">
        <f>TEXT(Table1[[#This Row],[Date]],"YYYY")</f>
        <v>2022</v>
      </c>
      <c r="D368" s="4" t="str">
        <f>TEXT(Table1[[#This Row],[Date]],"MMM")</f>
        <v>Feb</v>
      </c>
      <c r="E368" s="5" t="s">
        <v>39</v>
      </c>
      <c r="F368" s="3" t="s">
        <v>15</v>
      </c>
      <c r="G368" s="3" t="s">
        <v>48</v>
      </c>
      <c r="H368" s="3" t="s">
        <v>43</v>
      </c>
      <c r="I368" s="3">
        <v>1</v>
      </c>
      <c r="J368" s="3">
        <v>4950</v>
      </c>
      <c r="K368" s="3">
        <v>5500</v>
      </c>
      <c r="L368" s="3">
        <v>8</v>
      </c>
      <c r="M368">
        <f>Table1[[#This Row],[Qty]]*Table1[[#This Row],[Sales Price]]</f>
        <v>44000</v>
      </c>
      <c r="N368">
        <f>Table1[[#This Row],[Qty]]*Table1[[#This Row],[Cost]]</f>
        <v>39600</v>
      </c>
      <c r="O368">
        <f>Table1[[#This Row],[Revenue]]-Table1[[#This Row],[Total Cost]]</f>
        <v>4400</v>
      </c>
    </row>
    <row r="369" spans="1:15" x14ac:dyDescent="0.55000000000000004">
      <c r="A369" s="3">
        <v>368</v>
      </c>
      <c r="B369" s="4">
        <v>44608</v>
      </c>
      <c r="C369" s="4" t="str">
        <f>TEXT(Table1[[#This Row],[Date]],"YYYY")</f>
        <v>2022</v>
      </c>
      <c r="D369" s="4" t="str">
        <f>TEXT(Table1[[#This Row],[Date]],"MMM")</f>
        <v>Feb</v>
      </c>
      <c r="E369" s="5" t="s">
        <v>58</v>
      </c>
      <c r="F369" s="3" t="s">
        <v>15</v>
      </c>
      <c r="G369" s="3" t="s">
        <v>42</v>
      </c>
      <c r="H369" s="3" t="s">
        <v>43</v>
      </c>
      <c r="I369" s="3">
        <v>0</v>
      </c>
      <c r="J369" s="3">
        <v>3150</v>
      </c>
      <c r="K369" s="3">
        <v>3500</v>
      </c>
      <c r="L369" s="3">
        <v>8</v>
      </c>
      <c r="M369">
        <f>Table1[[#This Row],[Qty]]*Table1[[#This Row],[Sales Price]]</f>
        <v>28000</v>
      </c>
      <c r="N369">
        <f>Table1[[#This Row],[Qty]]*Table1[[#This Row],[Cost]]</f>
        <v>25200</v>
      </c>
      <c r="O369">
        <f>Table1[[#This Row],[Revenue]]-Table1[[#This Row],[Total Cost]]</f>
        <v>2800</v>
      </c>
    </row>
    <row r="370" spans="1:15" x14ac:dyDescent="0.55000000000000004">
      <c r="A370" s="3">
        <v>369</v>
      </c>
      <c r="B370" s="4">
        <v>44608</v>
      </c>
      <c r="C370" s="4" t="str">
        <f>TEXT(Table1[[#This Row],[Date]],"YYYY")</f>
        <v>2022</v>
      </c>
      <c r="D370" s="4" t="str">
        <f>TEXT(Table1[[#This Row],[Date]],"MMM")</f>
        <v>Feb</v>
      </c>
      <c r="E370" s="5" t="s">
        <v>63</v>
      </c>
      <c r="F370" s="3" t="s">
        <v>15</v>
      </c>
      <c r="G370" s="3" t="s">
        <v>27</v>
      </c>
      <c r="H370" s="3" t="s">
        <v>28</v>
      </c>
      <c r="I370" s="3"/>
      <c r="J370" s="3">
        <v>2700</v>
      </c>
      <c r="K370" s="3">
        <v>3000</v>
      </c>
      <c r="L370" s="3">
        <v>9</v>
      </c>
      <c r="M370">
        <f>Table1[[#This Row],[Qty]]*Table1[[#This Row],[Sales Price]]</f>
        <v>27000</v>
      </c>
      <c r="N370">
        <f>Table1[[#This Row],[Qty]]*Table1[[#This Row],[Cost]]</f>
        <v>24300</v>
      </c>
      <c r="O370">
        <f>Table1[[#This Row],[Revenue]]-Table1[[#This Row],[Total Cost]]</f>
        <v>2700</v>
      </c>
    </row>
    <row r="371" spans="1:15" x14ac:dyDescent="0.55000000000000004">
      <c r="A371" s="3">
        <v>370</v>
      </c>
      <c r="B371" s="4">
        <v>44608</v>
      </c>
      <c r="C371" s="4" t="str">
        <f>TEXT(Table1[[#This Row],[Date]],"YYYY")</f>
        <v>2022</v>
      </c>
      <c r="D371" s="4" t="str">
        <f>TEXT(Table1[[#This Row],[Date]],"MMM")</f>
        <v>Feb</v>
      </c>
      <c r="E371" s="5" t="s">
        <v>50</v>
      </c>
      <c r="F371" s="3" t="s">
        <v>15</v>
      </c>
      <c r="G371" s="3" t="s">
        <v>30</v>
      </c>
      <c r="H371" s="3" t="s">
        <v>28</v>
      </c>
      <c r="I371" s="3"/>
      <c r="J371" s="3">
        <v>4050</v>
      </c>
      <c r="K371" s="3">
        <v>4500</v>
      </c>
      <c r="L371" s="3">
        <v>2</v>
      </c>
      <c r="M371">
        <f>Table1[[#This Row],[Qty]]*Table1[[#This Row],[Sales Price]]</f>
        <v>9000</v>
      </c>
      <c r="N371">
        <f>Table1[[#This Row],[Qty]]*Table1[[#This Row],[Cost]]</f>
        <v>8100</v>
      </c>
      <c r="O371">
        <f>Table1[[#This Row],[Revenue]]-Table1[[#This Row],[Total Cost]]</f>
        <v>900</v>
      </c>
    </row>
    <row r="372" spans="1:15" x14ac:dyDescent="0.55000000000000004">
      <c r="A372" s="3">
        <v>371</v>
      </c>
      <c r="B372" s="4">
        <v>44608</v>
      </c>
      <c r="C372" s="4" t="str">
        <f>TEXT(Table1[[#This Row],[Date]],"YYYY")</f>
        <v>2022</v>
      </c>
      <c r="D372" s="4" t="str">
        <f>TEXT(Table1[[#This Row],[Date]],"MMM")</f>
        <v>Feb</v>
      </c>
      <c r="E372" s="5" t="s">
        <v>40</v>
      </c>
      <c r="F372" s="3" t="s">
        <v>15</v>
      </c>
      <c r="G372" s="3" t="s">
        <v>32</v>
      </c>
      <c r="H372" s="3" t="s">
        <v>28</v>
      </c>
      <c r="I372" s="3"/>
      <c r="J372" s="3">
        <v>53100</v>
      </c>
      <c r="K372" s="3">
        <v>59000</v>
      </c>
      <c r="L372" s="3">
        <v>1</v>
      </c>
      <c r="M372">
        <f>Table1[[#This Row],[Qty]]*Table1[[#This Row],[Sales Price]]</f>
        <v>59000</v>
      </c>
      <c r="N372">
        <f>Table1[[#This Row],[Qty]]*Table1[[#This Row],[Cost]]</f>
        <v>53100</v>
      </c>
      <c r="O372">
        <f>Table1[[#This Row],[Revenue]]-Table1[[#This Row],[Total Cost]]</f>
        <v>5900</v>
      </c>
    </row>
    <row r="373" spans="1:15" x14ac:dyDescent="0.55000000000000004">
      <c r="A373" s="3">
        <v>372</v>
      </c>
      <c r="B373" s="4">
        <v>44608</v>
      </c>
      <c r="C373" s="4" t="str">
        <f>TEXT(Table1[[#This Row],[Date]],"YYYY")</f>
        <v>2022</v>
      </c>
      <c r="D373" s="4" t="str">
        <f>TEXT(Table1[[#This Row],[Date]],"MMM")</f>
        <v>Feb</v>
      </c>
      <c r="E373" s="5" t="s">
        <v>39</v>
      </c>
      <c r="F373" s="3" t="s">
        <v>15</v>
      </c>
      <c r="G373" s="3" t="s">
        <v>34</v>
      </c>
      <c r="H373" s="3" t="s">
        <v>28</v>
      </c>
      <c r="I373" s="3">
        <v>1</v>
      </c>
      <c r="J373" s="3">
        <v>88200</v>
      </c>
      <c r="K373" s="3">
        <v>98000</v>
      </c>
      <c r="L373" s="3">
        <v>22</v>
      </c>
      <c r="M373">
        <f>Table1[[#This Row],[Qty]]*Table1[[#This Row],[Sales Price]]</f>
        <v>2156000</v>
      </c>
      <c r="N373">
        <f>Table1[[#This Row],[Qty]]*Table1[[#This Row],[Cost]]</f>
        <v>1940400</v>
      </c>
      <c r="O373">
        <f>Table1[[#This Row],[Revenue]]-Table1[[#This Row],[Total Cost]]</f>
        <v>215600</v>
      </c>
    </row>
    <row r="374" spans="1:15" x14ac:dyDescent="0.55000000000000004">
      <c r="A374" s="3">
        <v>373</v>
      </c>
      <c r="B374" s="4">
        <v>44608</v>
      </c>
      <c r="C374" s="4" t="str">
        <f>TEXT(Table1[[#This Row],[Date]],"YYYY")</f>
        <v>2022</v>
      </c>
      <c r="D374" s="4" t="str">
        <f>TEXT(Table1[[#This Row],[Date]],"MMM")</f>
        <v>Feb</v>
      </c>
      <c r="E374" s="5" t="s">
        <v>39</v>
      </c>
      <c r="F374" s="3" t="s">
        <v>15</v>
      </c>
      <c r="G374" s="3" t="s">
        <v>41</v>
      </c>
      <c r="H374" s="3" t="s">
        <v>28</v>
      </c>
      <c r="I374" s="3">
        <v>1</v>
      </c>
      <c r="J374" s="3">
        <v>38250</v>
      </c>
      <c r="K374" s="3">
        <v>42500</v>
      </c>
      <c r="L374" s="3">
        <v>8</v>
      </c>
      <c r="M374">
        <f>Table1[[#This Row],[Qty]]*Table1[[#This Row],[Sales Price]]</f>
        <v>340000</v>
      </c>
      <c r="N374">
        <f>Table1[[#This Row],[Qty]]*Table1[[#This Row],[Cost]]</f>
        <v>306000</v>
      </c>
      <c r="O374">
        <f>Table1[[#This Row],[Revenue]]-Table1[[#This Row],[Total Cost]]</f>
        <v>34000</v>
      </c>
    </row>
    <row r="375" spans="1:15" x14ac:dyDescent="0.55000000000000004">
      <c r="A375" s="3">
        <v>374</v>
      </c>
      <c r="B375" s="4">
        <v>44608</v>
      </c>
      <c r="C375" s="4" t="str">
        <f>TEXT(Table1[[#This Row],[Date]],"YYYY")</f>
        <v>2022</v>
      </c>
      <c r="D375" s="4" t="str">
        <f>TEXT(Table1[[#This Row],[Date]],"MMM")</f>
        <v>Feb</v>
      </c>
      <c r="E375" s="5" t="s">
        <v>39</v>
      </c>
      <c r="F375" s="3" t="s">
        <v>15</v>
      </c>
      <c r="G375" s="3" t="s">
        <v>27</v>
      </c>
      <c r="H375" s="3" t="s">
        <v>28</v>
      </c>
      <c r="I375" s="3">
        <v>0</v>
      </c>
      <c r="J375" s="3">
        <v>2700</v>
      </c>
      <c r="K375" s="3">
        <v>3000</v>
      </c>
      <c r="L375" s="3">
        <v>7</v>
      </c>
      <c r="M375">
        <f>Table1[[#This Row],[Qty]]*Table1[[#This Row],[Sales Price]]</f>
        <v>21000</v>
      </c>
      <c r="N375">
        <f>Table1[[#This Row],[Qty]]*Table1[[#This Row],[Cost]]</f>
        <v>18900</v>
      </c>
      <c r="O375">
        <f>Table1[[#This Row],[Revenue]]-Table1[[#This Row],[Total Cost]]</f>
        <v>2100</v>
      </c>
    </row>
    <row r="376" spans="1:15" x14ac:dyDescent="0.55000000000000004">
      <c r="A376" s="3">
        <v>375</v>
      </c>
      <c r="B376" s="4">
        <v>44608</v>
      </c>
      <c r="C376" s="4" t="str">
        <f>TEXT(Table1[[#This Row],[Date]],"YYYY")</f>
        <v>2022</v>
      </c>
      <c r="D376" s="4" t="str">
        <f>TEXT(Table1[[#This Row],[Date]],"MMM")</f>
        <v>Feb</v>
      </c>
      <c r="E376" s="5" t="s">
        <v>22</v>
      </c>
      <c r="F376" s="3" t="s">
        <v>15</v>
      </c>
      <c r="G376" s="3" t="s">
        <v>32</v>
      </c>
      <c r="H376" s="3" t="s">
        <v>28</v>
      </c>
      <c r="I376" s="3">
        <v>1</v>
      </c>
      <c r="J376" s="3">
        <v>23850</v>
      </c>
      <c r="K376" s="3">
        <v>26500</v>
      </c>
      <c r="L376" s="3">
        <v>56</v>
      </c>
      <c r="M376">
        <f>Table1[[#This Row],[Qty]]*Table1[[#This Row],[Sales Price]]</f>
        <v>1484000</v>
      </c>
      <c r="N376">
        <f>Table1[[#This Row],[Qty]]*Table1[[#This Row],[Cost]]</f>
        <v>1335600</v>
      </c>
      <c r="O376">
        <f>Table1[[#This Row],[Revenue]]-Table1[[#This Row],[Total Cost]]</f>
        <v>148400</v>
      </c>
    </row>
    <row r="377" spans="1:15" x14ac:dyDescent="0.55000000000000004">
      <c r="A377" s="3">
        <v>376</v>
      </c>
      <c r="B377" s="4">
        <v>45041</v>
      </c>
      <c r="C377" s="4" t="str">
        <f>TEXT(Table1[[#This Row],[Date]],"YYYY")</f>
        <v>2023</v>
      </c>
      <c r="D377" s="4" t="str">
        <f>TEXT(Table1[[#This Row],[Date]],"MMM")</f>
        <v>Apr</v>
      </c>
      <c r="E377" s="5" t="s">
        <v>39</v>
      </c>
      <c r="F377" s="3" t="s">
        <v>15</v>
      </c>
      <c r="G377" s="3" t="s">
        <v>27</v>
      </c>
      <c r="H377" s="3" t="s">
        <v>28</v>
      </c>
      <c r="I377" s="3">
        <v>1</v>
      </c>
      <c r="J377" s="3">
        <v>24750</v>
      </c>
      <c r="K377" s="3">
        <v>27500</v>
      </c>
      <c r="L377" s="3">
        <v>10</v>
      </c>
      <c r="M377">
        <f>Table1[[#This Row],[Qty]]*Table1[[#This Row],[Sales Price]]</f>
        <v>275000</v>
      </c>
      <c r="N377">
        <f>Table1[[#This Row],[Qty]]*Table1[[#This Row],[Cost]]</f>
        <v>247500</v>
      </c>
      <c r="O377">
        <f>Table1[[#This Row],[Revenue]]-Table1[[#This Row],[Total Cost]]</f>
        <v>27500</v>
      </c>
    </row>
    <row r="378" spans="1:15" x14ac:dyDescent="0.55000000000000004">
      <c r="A378" s="3">
        <v>377</v>
      </c>
      <c r="B378" s="4">
        <v>45042</v>
      </c>
      <c r="C378" s="4" t="str">
        <f>TEXT(Table1[[#This Row],[Date]],"YYYY")</f>
        <v>2023</v>
      </c>
      <c r="D378" s="4" t="str">
        <f>TEXT(Table1[[#This Row],[Date]],"MMM")</f>
        <v>Apr</v>
      </c>
      <c r="E378" s="5" t="s">
        <v>39</v>
      </c>
      <c r="F378" s="3" t="s">
        <v>15</v>
      </c>
      <c r="G378" s="3" t="s">
        <v>16</v>
      </c>
      <c r="H378" s="3" t="s">
        <v>17</v>
      </c>
      <c r="I378" s="3">
        <v>1</v>
      </c>
      <c r="J378" s="3">
        <v>44550</v>
      </c>
      <c r="K378" s="3">
        <v>49500</v>
      </c>
      <c r="L378" s="3">
        <v>9</v>
      </c>
      <c r="M378">
        <f>Table1[[#This Row],[Qty]]*Table1[[#This Row],[Sales Price]]</f>
        <v>445500</v>
      </c>
      <c r="N378">
        <f>Table1[[#This Row],[Qty]]*Table1[[#This Row],[Cost]]</f>
        <v>400950</v>
      </c>
      <c r="O378">
        <f>Table1[[#This Row],[Revenue]]-Table1[[#This Row],[Total Cost]]</f>
        <v>44550</v>
      </c>
    </row>
    <row r="379" spans="1:15" x14ac:dyDescent="0.55000000000000004">
      <c r="A379" s="3">
        <v>378</v>
      </c>
      <c r="B379" s="4">
        <v>45043</v>
      </c>
      <c r="C379" s="4" t="str">
        <f>TEXT(Table1[[#This Row],[Date]],"YYYY")</f>
        <v>2023</v>
      </c>
      <c r="D379" s="4" t="str">
        <f>TEXT(Table1[[#This Row],[Date]],"MMM")</f>
        <v>Apr</v>
      </c>
      <c r="E379" s="5" t="s">
        <v>22</v>
      </c>
      <c r="F379" s="3" t="s">
        <v>15</v>
      </c>
      <c r="G379" s="3" t="s">
        <v>19</v>
      </c>
      <c r="H379" s="3" t="s">
        <v>17</v>
      </c>
      <c r="I379" s="3">
        <v>1</v>
      </c>
      <c r="J379" s="3">
        <v>9000</v>
      </c>
      <c r="K379" s="3">
        <v>10000</v>
      </c>
      <c r="L379" s="3">
        <v>27</v>
      </c>
      <c r="M379">
        <f>Table1[[#This Row],[Qty]]*Table1[[#This Row],[Sales Price]]</f>
        <v>270000</v>
      </c>
      <c r="N379">
        <f>Table1[[#This Row],[Qty]]*Table1[[#This Row],[Cost]]</f>
        <v>243000</v>
      </c>
      <c r="O379">
        <f>Table1[[#This Row],[Revenue]]-Table1[[#This Row],[Total Cost]]</f>
        <v>27000</v>
      </c>
    </row>
    <row r="380" spans="1:15" x14ac:dyDescent="0.55000000000000004">
      <c r="A380" s="3">
        <v>379</v>
      </c>
      <c r="B380" s="4">
        <v>45044</v>
      </c>
      <c r="C380" s="4" t="str">
        <f>TEXT(Table1[[#This Row],[Date]],"YYYY")</f>
        <v>2023</v>
      </c>
      <c r="D380" s="4" t="str">
        <f>TEXT(Table1[[#This Row],[Date]],"MMM")</f>
        <v>Apr</v>
      </c>
      <c r="E380" s="5" t="s">
        <v>22</v>
      </c>
      <c r="F380" s="3" t="s">
        <v>15</v>
      </c>
      <c r="G380" s="3" t="s">
        <v>21</v>
      </c>
      <c r="H380" s="3" t="s">
        <v>17</v>
      </c>
      <c r="I380" s="3"/>
      <c r="J380" s="3">
        <v>8640</v>
      </c>
      <c r="K380" s="3">
        <v>9600</v>
      </c>
      <c r="L380" s="3">
        <v>15</v>
      </c>
      <c r="M380">
        <f>Table1[[#This Row],[Qty]]*Table1[[#This Row],[Sales Price]]</f>
        <v>144000</v>
      </c>
      <c r="N380">
        <f>Table1[[#This Row],[Qty]]*Table1[[#This Row],[Cost]]</f>
        <v>129600</v>
      </c>
      <c r="O380">
        <f>Table1[[#This Row],[Revenue]]-Table1[[#This Row],[Total Cost]]</f>
        <v>14400</v>
      </c>
    </row>
    <row r="381" spans="1:15" x14ac:dyDescent="0.55000000000000004">
      <c r="A381" s="3">
        <v>380</v>
      </c>
      <c r="B381" s="4">
        <v>45045</v>
      </c>
      <c r="C381" s="4" t="str">
        <f>TEXT(Table1[[#This Row],[Date]],"YYYY")</f>
        <v>2023</v>
      </c>
      <c r="D381" s="4" t="str">
        <f>TEXT(Table1[[#This Row],[Date]],"MMM")</f>
        <v>Apr</v>
      </c>
      <c r="E381" s="5" t="s">
        <v>39</v>
      </c>
      <c r="F381" s="3" t="s">
        <v>15</v>
      </c>
      <c r="G381" s="3" t="s">
        <v>23</v>
      </c>
      <c r="H381" s="3" t="s">
        <v>17</v>
      </c>
      <c r="I381" s="3"/>
      <c r="J381" s="3">
        <v>9000</v>
      </c>
      <c r="K381" s="3">
        <v>10000</v>
      </c>
      <c r="L381" s="3">
        <v>3</v>
      </c>
      <c r="M381">
        <f>Table1[[#This Row],[Qty]]*Table1[[#This Row],[Sales Price]]</f>
        <v>30000</v>
      </c>
      <c r="N381">
        <f>Table1[[#This Row],[Qty]]*Table1[[#This Row],[Cost]]</f>
        <v>27000</v>
      </c>
      <c r="O381">
        <f>Table1[[#This Row],[Revenue]]-Table1[[#This Row],[Total Cost]]</f>
        <v>3000</v>
      </c>
    </row>
    <row r="382" spans="1:15" x14ac:dyDescent="0.55000000000000004">
      <c r="A382" s="3">
        <v>381</v>
      </c>
      <c r="B382" s="4">
        <v>45046</v>
      </c>
      <c r="C382" s="4" t="str">
        <f>TEXT(Table1[[#This Row],[Date]],"YYYY")</f>
        <v>2023</v>
      </c>
      <c r="D382" s="4" t="str">
        <f>TEXT(Table1[[#This Row],[Date]],"MMM")</f>
        <v>Apr</v>
      </c>
      <c r="E382" s="5" t="s">
        <v>39</v>
      </c>
      <c r="F382" s="3" t="s">
        <v>15</v>
      </c>
      <c r="G382" s="3" t="s">
        <v>25</v>
      </c>
      <c r="H382" s="3" t="s">
        <v>17</v>
      </c>
      <c r="I382" s="3">
        <v>1</v>
      </c>
      <c r="J382" s="3">
        <v>3870</v>
      </c>
      <c r="K382" s="3">
        <v>4300</v>
      </c>
      <c r="L382" s="3">
        <v>9</v>
      </c>
      <c r="M382">
        <f>Table1[[#This Row],[Qty]]*Table1[[#This Row],[Sales Price]]</f>
        <v>38700</v>
      </c>
      <c r="N382">
        <f>Table1[[#This Row],[Qty]]*Table1[[#This Row],[Cost]]</f>
        <v>34830</v>
      </c>
      <c r="O382">
        <f>Table1[[#This Row],[Revenue]]-Table1[[#This Row],[Total Cost]]</f>
        <v>3870</v>
      </c>
    </row>
    <row r="383" spans="1:15" x14ac:dyDescent="0.55000000000000004">
      <c r="A383" s="3">
        <v>382</v>
      </c>
      <c r="B383" s="4">
        <v>45047</v>
      </c>
      <c r="C383" s="4" t="str">
        <f>TEXT(Table1[[#This Row],[Date]],"YYYY")</f>
        <v>2023</v>
      </c>
      <c r="D383" s="4" t="str">
        <f>TEXT(Table1[[#This Row],[Date]],"MMM")</f>
        <v>May</v>
      </c>
      <c r="E383" s="5" t="s">
        <v>63</v>
      </c>
      <c r="F383" s="3" t="s">
        <v>15</v>
      </c>
      <c r="G383" s="3" t="s">
        <v>26</v>
      </c>
      <c r="H383" s="3" t="s">
        <v>17</v>
      </c>
      <c r="I383" s="3">
        <v>1</v>
      </c>
      <c r="J383" s="3">
        <v>8640</v>
      </c>
      <c r="K383" s="3">
        <v>9600</v>
      </c>
      <c r="L383" s="3">
        <v>22</v>
      </c>
      <c r="M383">
        <f>Table1[[#This Row],[Qty]]*Table1[[#This Row],[Sales Price]]</f>
        <v>211200</v>
      </c>
      <c r="N383">
        <f>Table1[[#This Row],[Qty]]*Table1[[#This Row],[Cost]]</f>
        <v>190080</v>
      </c>
      <c r="O383">
        <f>Table1[[#This Row],[Revenue]]-Table1[[#This Row],[Total Cost]]</f>
        <v>21120</v>
      </c>
    </row>
    <row r="384" spans="1:15" x14ac:dyDescent="0.55000000000000004">
      <c r="A384" s="3">
        <v>383</v>
      </c>
      <c r="B384" s="4">
        <v>45048</v>
      </c>
      <c r="C384" s="4" t="str">
        <f>TEXT(Table1[[#This Row],[Date]],"YYYY")</f>
        <v>2023</v>
      </c>
      <c r="D384" s="4" t="str">
        <f>TEXT(Table1[[#This Row],[Date]],"MMM")</f>
        <v>May</v>
      </c>
      <c r="E384" s="5" t="s">
        <v>33</v>
      </c>
      <c r="F384" s="3" t="s">
        <v>15</v>
      </c>
      <c r="G384" s="3" t="s">
        <v>27</v>
      </c>
      <c r="H384" s="3" t="s">
        <v>28</v>
      </c>
      <c r="I384" s="3">
        <v>1</v>
      </c>
      <c r="J384" s="3">
        <v>8280</v>
      </c>
      <c r="K384" s="3">
        <v>9200</v>
      </c>
      <c r="L384" s="3">
        <v>16</v>
      </c>
      <c r="M384">
        <f>Table1[[#This Row],[Qty]]*Table1[[#This Row],[Sales Price]]</f>
        <v>147200</v>
      </c>
      <c r="N384">
        <f>Table1[[#This Row],[Qty]]*Table1[[#This Row],[Cost]]</f>
        <v>132480</v>
      </c>
      <c r="O384">
        <f>Table1[[#This Row],[Revenue]]-Table1[[#This Row],[Total Cost]]</f>
        <v>14720</v>
      </c>
    </row>
    <row r="385" spans="1:15" x14ac:dyDescent="0.55000000000000004">
      <c r="A385" s="3">
        <v>384</v>
      </c>
      <c r="B385" s="4">
        <v>45049</v>
      </c>
      <c r="C385" s="4" t="str">
        <f>TEXT(Table1[[#This Row],[Date]],"YYYY")</f>
        <v>2023</v>
      </c>
      <c r="D385" s="4" t="str">
        <f>TEXT(Table1[[#This Row],[Date]],"MMM")</f>
        <v>May</v>
      </c>
      <c r="E385" s="5" t="s">
        <v>22</v>
      </c>
      <c r="F385" s="3" t="s">
        <v>15</v>
      </c>
      <c r="G385" s="3" t="s">
        <v>30</v>
      </c>
      <c r="H385" s="3" t="s">
        <v>28</v>
      </c>
      <c r="I385" s="3">
        <v>1</v>
      </c>
      <c r="J385" s="3">
        <v>4950</v>
      </c>
      <c r="K385" s="3">
        <v>5500</v>
      </c>
      <c r="L385" s="3">
        <v>6</v>
      </c>
      <c r="M385">
        <f>Table1[[#This Row],[Qty]]*Table1[[#This Row],[Sales Price]]</f>
        <v>33000</v>
      </c>
      <c r="N385">
        <f>Table1[[#This Row],[Qty]]*Table1[[#This Row],[Cost]]</f>
        <v>29700</v>
      </c>
      <c r="O385">
        <f>Table1[[#This Row],[Revenue]]-Table1[[#This Row],[Total Cost]]</f>
        <v>3300</v>
      </c>
    </row>
    <row r="386" spans="1:15" x14ac:dyDescent="0.55000000000000004">
      <c r="A386" s="3">
        <v>385</v>
      </c>
      <c r="B386" s="4">
        <v>45050</v>
      </c>
      <c r="C386" s="4" t="str">
        <f>TEXT(Table1[[#This Row],[Date]],"YYYY")</f>
        <v>2023</v>
      </c>
      <c r="D386" s="4" t="str">
        <f>TEXT(Table1[[#This Row],[Date]],"MMM")</f>
        <v>May</v>
      </c>
      <c r="E386" s="5" t="s">
        <v>39</v>
      </c>
      <c r="F386" s="3" t="s">
        <v>15</v>
      </c>
      <c r="G386" s="3" t="s">
        <v>32</v>
      </c>
      <c r="H386" s="3" t="s">
        <v>28</v>
      </c>
      <c r="I386" s="3">
        <v>1</v>
      </c>
      <c r="J386" s="3">
        <v>3150</v>
      </c>
      <c r="K386" s="3">
        <v>3500</v>
      </c>
      <c r="L386" s="3">
        <v>3</v>
      </c>
      <c r="M386">
        <f>Table1[[#This Row],[Qty]]*Table1[[#This Row],[Sales Price]]</f>
        <v>10500</v>
      </c>
      <c r="N386">
        <f>Table1[[#This Row],[Qty]]*Table1[[#This Row],[Cost]]</f>
        <v>9450</v>
      </c>
      <c r="O386">
        <f>Table1[[#This Row],[Revenue]]-Table1[[#This Row],[Total Cost]]</f>
        <v>1050</v>
      </c>
    </row>
    <row r="387" spans="1:15" x14ac:dyDescent="0.55000000000000004">
      <c r="A387" s="3">
        <v>386</v>
      </c>
      <c r="B387" s="4">
        <v>45051</v>
      </c>
      <c r="C387" s="4" t="str">
        <f>TEXT(Table1[[#This Row],[Date]],"YYYY")</f>
        <v>2023</v>
      </c>
      <c r="D387" s="4" t="str">
        <f>TEXT(Table1[[#This Row],[Date]],"MMM")</f>
        <v>May</v>
      </c>
      <c r="E387" s="5" t="s">
        <v>40</v>
      </c>
      <c r="F387" s="3" t="s">
        <v>15</v>
      </c>
      <c r="G387" s="3" t="s">
        <v>34</v>
      </c>
      <c r="H387" s="3" t="s">
        <v>28</v>
      </c>
      <c r="I387" s="3">
        <v>1</v>
      </c>
      <c r="J387" s="3">
        <v>2700</v>
      </c>
      <c r="K387" s="3">
        <v>3000</v>
      </c>
      <c r="L387" s="3">
        <v>5</v>
      </c>
      <c r="M387">
        <f>Table1[[#This Row],[Qty]]*Table1[[#This Row],[Sales Price]]</f>
        <v>15000</v>
      </c>
      <c r="N387">
        <f>Table1[[#This Row],[Qty]]*Table1[[#This Row],[Cost]]</f>
        <v>13500</v>
      </c>
      <c r="O387">
        <f>Table1[[#This Row],[Revenue]]-Table1[[#This Row],[Total Cost]]</f>
        <v>1500</v>
      </c>
    </row>
    <row r="388" spans="1:15" x14ac:dyDescent="0.55000000000000004">
      <c r="A388" s="3">
        <v>387</v>
      </c>
      <c r="B388" s="4">
        <v>45052</v>
      </c>
      <c r="C388" s="4" t="str">
        <f>TEXT(Table1[[#This Row],[Date]],"YYYY")</f>
        <v>2023</v>
      </c>
      <c r="D388" s="4" t="str">
        <f>TEXT(Table1[[#This Row],[Date]],"MMM")</f>
        <v>May</v>
      </c>
      <c r="E388" s="5" t="s">
        <v>39</v>
      </c>
      <c r="F388" s="3" t="s">
        <v>15</v>
      </c>
      <c r="G388" s="3" t="s">
        <v>36</v>
      </c>
      <c r="H388" s="3" t="s">
        <v>17</v>
      </c>
      <c r="I388" s="3"/>
      <c r="J388" s="3">
        <v>4050</v>
      </c>
      <c r="K388" s="3">
        <v>4500</v>
      </c>
      <c r="L388" s="3">
        <v>1</v>
      </c>
      <c r="M388">
        <f>Table1[[#This Row],[Qty]]*Table1[[#This Row],[Sales Price]]</f>
        <v>4500</v>
      </c>
      <c r="N388">
        <f>Table1[[#This Row],[Qty]]*Table1[[#This Row],[Cost]]</f>
        <v>4050</v>
      </c>
      <c r="O388">
        <f>Table1[[#This Row],[Revenue]]-Table1[[#This Row],[Total Cost]]</f>
        <v>450</v>
      </c>
    </row>
    <row r="389" spans="1:15" x14ac:dyDescent="0.55000000000000004">
      <c r="A389" s="3">
        <v>388</v>
      </c>
      <c r="B389" s="4">
        <v>45053</v>
      </c>
      <c r="C389" s="4" t="str">
        <f>TEXT(Table1[[#This Row],[Date]],"YYYY")</f>
        <v>2023</v>
      </c>
      <c r="D389" s="4" t="str">
        <f>TEXT(Table1[[#This Row],[Date]],"MMM")</f>
        <v>May</v>
      </c>
      <c r="E389" s="5" t="s">
        <v>39</v>
      </c>
      <c r="F389" s="3" t="s">
        <v>15</v>
      </c>
      <c r="G389" s="3" t="s">
        <v>37</v>
      </c>
      <c r="H389" s="3" t="s">
        <v>17</v>
      </c>
      <c r="I389" s="3"/>
      <c r="J389" s="3">
        <v>53100</v>
      </c>
      <c r="K389" s="3">
        <v>59000</v>
      </c>
      <c r="L389" s="3">
        <v>5</v>
      </c>
      <c r="M389">
        <f>Table1[[#This Row],[Qty]]*Table1[[#This Row],[Sales Price]]</f>
        <v>295000</v>
      </c>
      <c r="N389">
        <f>Table1[[#This Row],[Qty]]*Table1[[#This Row],[Cost]]</f>
        <v>265500</v>
      </c>
      <c r="O389">
        <f>Table1[[#This Row],[Revenue]]-Table1[[#This Row],[Total Cost]]</f>
        <v>29500</v>
      </c>
    </row>
    <row r="390" spans="1:15" x14ac:dyDescent="0.55000000000000004">
      <c r="A390" s="3">
        <v>389</v>
      </c>
      <c r="B390" s="4">
        <v>45054</v>
      </c>
      <c r="C390" s="4" t="str">
        <f>TEXT(Table1[[#This Row],[Date]],"YYYY")</f>
        <v>2023</v>
      </c>
      <c r="D390" s="4" t="str">
        <f>TEXT(Table1[[#This Row],[Date]],"MMM")</f>
        <v>May</v>
      </c>
      <c r="E390" s="5" t="s">
        <v>35</v>
      </c>
      <c r="F390" s="3" t="s">
        <v>15</v>
      </c>
      <c r="G390" s="3" t="s">
        <v>38</v>
      </c>
      <c r="H390" s="3" t="s">
        <v>17</v>
      </c>
      <c r="I390" s="3"/>
      <c r="J390" s="3">
        <v>88200</v>
      </c>
      <c r="K390" s="3">
        <v>98000</v>
      </c>
      <c r="L390" s="3">
        <v>7</v>
      </c>
      <c r="M390">
        <f>Table1[[#This Row],[Qty]]*Table1[[#This Row],[Sales Price]]</f>
        <v>686000</v>
      </c>
      <c r="N390">
        <f>Table1[[#This Row],[Qty]]*Table1[[#This Row],[Cost]]</f>
        <v>617400</v>
      </c>
      <c r="O390">
        <f>Table1[[#This Row],[Revenue]]-Table1[[#This Row],[Total Cost]]</f>
        <v>68600</v>
      </c>
    </row>
    <row r="391" spans="1:15" x14ac:dyDescent="0.55000000000000004">
      <c r="A391" s="3">
        <v>390</v>
      </c>
      <c r="B391" s="4">
        <v>45055</v>
      </c>
      <c r="C391" s="4" t="str">
        <f>TEXT(Table1[[#This Row],[Date]],"YYYY")</f>
        <v>2023</v>
      </c>
      <c r="D391" s="4" t="str">
        <f>TEXT(Table1[[#This Row],[Date]],"MMM")</f>
        <v>May</v>
      </c>
      <c r="E391" s="5" t="s">
        <v>40</v>
      </c>
      <c r="F391" s="3" t="s">
        <v>15</v>
      </c>
      <c r="G391" s="3" t="s">
        <v>19</v>
      </c>
      <c r="H391" s="3" t="s">
        <v>17</v>
      </c>
      <c r="I391" s="3">
        <v>1</v>
      </c>
      <c r="J391" s="3">
        <v>38250</v>
      </c>
      <c r="K391" s="3">
        <v>42500</v>
      </c>
      <c r="L391" s="3">
        <v>4</v>
      </c>
      <c r="M391">
        <f>Table1[[#This Row],[Qty]]*Table1[[#This Row],[Sales Price]]</f>
        <v>170000</v>
      </c>
      <c r="N391">
        <f>Table1[[#This Row],[Qty]]*Table1[[#This Row],[Cost]]</f>
        <v>153000</v>
      </c>
      <c r="O391">
        <f>Table1[[#This Row],[Revenue]]-Table1[[#This Row],[Total Cost]]</f>
        <v>17000</v>
      </c>
    </row>
    <row r="392" spans="1:15" x14ac:dyDescent="0.55000000000000004">
      <c r="A392" s="3">
        <v>391</v>
      </c>
      <c r="B392" s="4">
        <v>45056</v>
      </c>
      <c r="C392" s="4" t="str">
        <f>TEXT(Table1[[#This Row],[Date]],"YYYY")</f>
        <v>2023</v>
      </c>
      <c r="D392" s="4" t="str">
        <f>TEXT(Table1[[#This Row],[Date]],"MMM")</f>
        <v>May</v>
      </c>
      <c r="E392" s="5" t="s">
        <v>49</v>
      </c>
      <c r="F392" s="3" t="s">
        <v>15</v>
      </c>
      <c r="G392" s="3" t="s">
        <v>21</v>
      </c>
      <c r="H392" s="3" t="s">
        <v>17</v>
      </c>
      <c r="I392" s="3">
        <v>1</v>
      </c>
      <c r="J392" s="3">
        <v>2700</v>
      </c>
      <c r="K392" s="3">
        <v>3000</v>
      </c>
      <c r="L392" s="3">
        <v>8</v>
      </c>
      <c r="M392">
        <f>Table1[[#This Row],[Qty]]*Table1[[#This Row],[Sales Price]]</f>
        <v>24000</v>
      </c>
      <c r="N392">
        <f>Table1[[#This Row],[Qty]]*Table1[[#This Row],[Cost]]</f>
        <v>21600</v>
      </c>
      <c r="O392">
        <f>Table1[[#This Row],[Revenue]]-Table1[[#This Row],[Total Cost]]</f>
        <v>2400</v>
      </c>
    </row>
    <row r="393" spans="1:15" x14ac:dyDescent="0.55000000000000004">
      <c r="A393" s="3">
        <v>392</v>
      </c>
      <c r="B393" s="4">
        <v>45057</v>
      </c>
      <c r="C393" s="4" t="str">
        <f>TEXT(Table1[[#This Row],[Date]],"YYYY")</f>
        <v>2023</v>
      </c>
      <c r="D393" s="4" t="str">
        <f>TEXT(Table1[[#This Row],[Date]],"MMM")</f>
        <v>May</v>
      </c>
      <c r="E393" s="5" t="s">
        <v>14</v>
      </c>
      <c r="F393" s="3" t="s">
        <v>15</v>
      </c>
      <c r="G393" s="3" t="s">
        <v>23</v>
      </c>
      <c r="H393" s="3" t="s">
        <v>17</v>
      </c>
      <c r="I393" s="3">
        <v>1</v>
      </c>
      <c r="J393" s="3">
        <v>23850</v>
      </c>
      <c r="K393" s="3">
        <v>26500</v>
      </c>
      <c r="L393" s="3">
        <v>8</v>
      </c>
      <c r="M393">
        <f>Table1[[#This Row],[Qty]]*Table1[[#This Row],[Sales Price]]</f>
        <v>212000</v>
      </c>
      <c r="N393">
        <f>Table1[[#This Row],[Qty]]*Table1[[#This Row],[Cost]]</f>
        <v>190800</v>
      </c>
      <c r="O393">
        <f>Table1[[#This Row],[Revenue]]-Table1[[#This Row],[Total Cost]]</f>
        <v>21200</v>
      </c>
    </row>
    <row r="394" spans="1:15" x14ac:dyDescent="0.55000000000000004">
      <c r="A394" s="3">
        <v>393</v>
      </c>
      <c r="B394" s="4">
        <v>45058</v>
      </c>
      <c r="C394" s="4" t="str">
        <f>TEXT(Table1[[#This Row],[Date]],"YYYY")</f>
        <v>2023</v>
      </c>
      <c r="D394" s="4" t="str">
        <f>TEXT(Table1[[#This Row],[Date]],"MMM")</f>
        <v>May</v>
      </c>
      <c r="E394" s="5" t="s">
        <v>39</v>
      </c>
      <c r="F394" s="3" t="s">
        <v>15</v>
      </c>
      <c r="G394" s="3" t="s">
        <v>25</v>
      </c>
      <c r="H394" s="3" t="s">
        <v>17</v>
      </c>
      <c r="I394" s="3">
        <v>0</v>
      </c>
      <c r="J394" s="3">
        <v>24750</v>
      </c>
      <c r="K394" s="3">
        <v>27500</v>
      </c>
      <c r="L394" s="3">
        <v>9</v>
      </c>
      <c r="M394">
        <f>Table1[[#This Row],[Qty]]*Table1[[#This Row],[Sales Price]]</f>
        <v>247500</v>
      </c>
      <c r="N394">
        <f>Table1[[#This Row],[Qty]]*Table1[[#This Row],[Cost]]</f>
        <v>222750</v>
      </c>
      <c r="O394">
        <f>Table1[[#This Row],[Revenue]]-Table1[[#This Row],[Total Cost]]</f>
        <v>24750</v>
      </c>
    </row>
    <row r="395" spans="1:15" x14ac:dyDescent="0.55000000000000004">
      <c r="A395" s="3">
        <v>394</v>
      </c>
      <c r="B395" s="4">
        <v>45059</v>
      </c>
      <c r="C395" s="4" t="str">
        <f>TEXT(Table1[[#This Row],[Date]],"YYYY")</f>
        <v>2023</v>
      </c>
      <c r="D395" s="4" t="str">
        <f>TEXT(Table1[[#This Row],[Date]],"MMM")</f>
        <v>May</v>
      </c>
      <c r="E395" s="5" t="s">
        <v>59</v>
      </c>
      <c r="F395" s="3" t="s">
        <v>15</v>
      </c>
      <c r="G395" s="3" t="s">
        <v>26</v>
      </c>
      <c r="H395" s="3" t="s">
        <v>17</v>
      </c>
      <c r="I395" s="3">
        <v>0</v>
      </c>
      <c r="J395" s="3">
        <v>44550</v>
      </c>
      <c r="K395" s="3">
        <v>49500</v>
      </c>
      <c r="L395" s="3">
        <v>2</v>
      </c>
      <c r="M395">
        <f>Table1[[#This Row],[Qty]]*Table1[[#This Row],[Sales Price]]</f>
        <v>99000</v>
      </c>
      <c r="N395">
        <f>Table1[[#This Row],[Qty]]*Table1[[#This Row],[Cost]]</f>
        <v>89100</v>
      </c>
      <c r="O395">
        <f>Table1[[#This Row],[Revenue]]-Table1[[#This Row],[Total Cost]]</f>
        <v>9900</v>
      </c>
    </row>
    <row r="396" spans="1:15" x14ac:dyDescent="0.55000000000000004">
      <c r="A396" s="3">
        <v>395</v>
      </c>
      <c r="B396" s="4">
        <v>45060</v>
      </c>
      <c r="C396" s="4" t="str">
        <f>TEXT(Table1[[#This Row],[Date]],"YYYY")</f>
        <v>2023</v>
      </c>
      <c r="D396" s="4" t="str">
        <f>TEXT(Table1[[#This Row],[Date]],"MMM")</f>
        <v>May</v>
      </c>
      <c r="E396" s="5" t="s">
        <v>22</v>
      </c>
      <c r="F396" s="3" t="s">
        <v>15</v>
      </c>
      <c r="G396" s="3" t="s">
        <v>37</v>
      </c>
      <c r="H396" s="3" t="s">
        <v>17</v>
      </c>
      <c r="I396" s="3">
        <v>0</v>
      </c>
      <c r="J396" s="3">
        <v>9000</v>
      </c>
      <c r="K396" s="3">
        <v>10000</v>
      </c>
      <c r="L396" s="3">
        <v>1</v>
      </c>
      <c r="M396">
        <f>Table1[[#This Row],[Qty]]*Table1[[#This Row],[Sales Price]]</f>
        <v>10000</v>
      </c>
      <c r="N396">
        <f>Table1[[#This Row],[Qty]]*Table1[[#This Row],[Cost]]</f>
        <v>9000</v>
      </c>
      <c r="O396">
        <f>Table1[[#This Row],[Revenue]]-Table1[[#This Row],[Total Cost]]</f>
        <v>1000</v>
      </c>
    </row>
    <row r="397" spans="1:15" x14ac:dyDescent="0.55000000000000004">
      <c r="A397" s="3">
        <v>396</v>
      </c>
      <c r="B397" s="4">
        <v>45061</v>
      </c>
      <c r="C397" s="4" t="str">
        <f>TEXT(Table1[[#This Row],[Date]],"YYYY")</f>
        <v>2023</v>
      </c>
      <c r="D397" s="4" t="str">
        <f>TEXT(Table1[[#This Row],[Date]],"MMM")</f>
        <v>May</v>
      </c>
      <c r="E397" s="5" t="s">
        <v>39</v>
      </c>
      <c r="F397" s="3" t="s">
        <v>15</v>
      </c>
      <c r="G397" s="3" t="s">
        <v>41</v>
      </c>
      <c r="H397" s="3" t="s">
        <v>28</v>
      </c>
      <c r="I397" s="3">
        <v>1</v>
      </c>
      <c r="J397" s="3">
        <v>8640</v>
      </c>
      <c r="K397" s="3">
        <v>9600</v>
      </c>
      <c r="L397" s="3">
        <v>22</v>
      </c>
      <c r="M397">
        <f>Table1[[#This Row],[Qty]]*Table1[[#This Row],[Sales Price]]</f>
        <v>211200</v>
      </c>
      <c r="N397">
        <f>Table1[[#This Row],[Qty]]*Table1[[#This Row],[Cost]]</f>
        <v>190080</v>
      </c>
      <c r="O397">
        <f>Table1[[#This Row],[Revenue]]-Table1[[#This Row],[Total Cost]]</f>
        <v>21120</v>
      </c>
    </row>
    <row r="398" spans="1:15" x14ac:dyDescent="0.55000000000000004">
      <c r="A398" s="3">
        <v>397</v>
      </c>
      <c r="B398" s="4">
        <v>45062</v>
      </c>
      <c r="C398" s="4" t="str">
        <f>TEXT(Table1[[#This Row],[Date]],"YYYY")</f>
        <v>2023</v>
      </c>
      <c r="D398" s="4" t="str">
        <f>TEXT(Table1[[#This Row],[Date]],"MMM")</f>
        <v>May</v>
      </c>
      <c r="E398" s="5" t="s">
        <v>40</v>
      </c>
      <c r="F398" s="3" t="s">
        <v>15</v>
      </c>
      <c r="G398" s="3" t="s">
        <v>27</v>
      </c>
      <c r="H398" s="3" t="s">
        <v>28</v>
      </c>
      <c r="I398" s="3"/>
      <c r="J398" s="3">
        <v>9000</v>
      </c>
      <c r="K398" s="3">
        <v>10000</v>
      </c>
      <c r="L398" s="3">
        <v>8</v>
      </c>
      <c r="M398">
        <f>Table1[[#This Row],[Qty]]*Table1[[#This Row],[Sales Price]]</f>
        <v>80000</v>
      </c>
      <c r="N398">
        <f>Table1[[#This Row],[Qty]]*Table1[[#This Row],[Cost]]</f>
        <v>72000</v>
      </c>
      <c r="O398">
        <f>Table1[[#This Row],[Revenue]]-Table1[[#This Row],[Total Cost]]</f>
        <v>8000</v>
      </c>
    </row>
    <row r="399" spans="1:15" x14ac:dyDescent="0.55000000000000004">
      <c r="A399" s="3">
        <v>398</v>
      </c>
      <c r="B399" s="4">
        <v>45063</v>
      </c>
      <c r="C399" s="4" t="str">
        <f>TEXT(Table1[[#This Row],[Date]],"YYYY")</f>
        <v>2023</v>
      </c>
      <c r="D399" s="4" t="str">
        <f>TEXT(Table1[[#This Row],[Date]],"MMM")</f>
        <v>May</v>
      </c>
      <c r="E399" s="5" t="s">
        <v>14</v>
      </c>
      <c r="F399" s="3" t="s">
        <v>15</v>
      </c>
      <c r="G399" s="3" t="s">
        <v>32</v>
      </c>
      <c r="H399" s="3" t="s">
        <v>28</v>
      </c>
      <c r="I399" s="3"/>
      <c r="J399" s="3">
        <v>3870</v>
      </c>
      <c r="K399" s="3">
        <v>4300</v>
      </c>
      <c r="L399" s="3">
        <v>7</v>
      </c>
      <c r="M399">
        <f>Table1[[#This Row],[Qty]]*Table1[[#This Row],[Sales Price]]</f>
        <v>30100</v>
      </c>
      <c r="N399">
        <f>Table1[[#This Row],[Qty]]*Table1[[#This Row],[Cost]]</f>
        <v>27090</v>
      </c>
      <c r="O399">
        <f>Table1[[#This Row],[Revenue]]-Table1[[#This Row],[Total Cost]]</f>
        <v>3010</v>
      </c>
    </row>
    <row r="400" spans="1:15" x14ac:dyDescent="0.55000000000000004">
      <c r="A400" s="3">
        <v>399</v>
      </c>
      <c r="B400" s="4">
        <v>45064</v>
      </c>
      <c r="C400" s="4" t="str">
        <f>TEXT(Table1[[#This Row],[Date]],"YYYY")</f>
        <v>2023</v>
      </c>
      <c r="D400" s="4" t="str">
        <f>TEXT(Table1[[#This Row],[Date]],"MMM")</f>
        <v>May</v>
      </c>
      <c r="E400" s="5" t="s">
        <v>40</v>
      </c>
      <c r="F400" s="3" t="s">
        <v>15</v>
      </c>
      <c r="G400" s="3" t="s">
        <v>42</v>
      </c>
      <c r="H400" s="3" t="s">
        <v>43</v>
      </c>
      <c r="I400" s="3">
        <v>1</v>
      </c>
      <c r="J400" s="3">
        <v>8280</v>
      </c>
      <c r="K400" s="3">
        <v>9200</v>
      </c>
      <c r="L400" s="3">
        <v>56</v>
      </c>
      <c r="M400">
        <f>Table1[[#This Row],[Qty]]*Table1[[#This Row],[Sales Price]]</f>
        <v>515200</v>
      </c>
      <c r="N400">
        <f>Table1[[#This Row],[Qty]]*Table1[[#This Row],[Cost]]</f>
        <v>463680</v>
      </c>
      <c r="O400">
        <f>Table1[[#This Row],[Revenue]]-Table1[[#This Row],[Total Cost]]</f>
        <v>51520</v>
      </c>
    </row>
    <row r="401" spans="1:15" x14ac:dyDescent="0.55000000000000004">
      <c r="A401" s="3">
        <v>400</v>
      </c>
      <c r="B401" s="4">
        <v>45065</v>
      </c>
      <c r="C401" s="4" t="str">
        <f>TEXT(Table1[[#This Row],[Date]],"YYYY")</f>
        <v>2023</v>
      </c>
      <c r="D401" s="4" t="str">
        <f>TEXT(Table1[[#This Row],[Date]],"MMM")</f>
        <v>May</v>
      </c>
      <c r="E401" s="5" t="s">
        <v>31</v>
      </c>
      <c r="F401" s="3" t="s">
        <v>15</v>
      </c>
      <c r="G401" s="3" t="s">
        <v>44</v>
      </c>
      <c r="H401" s="3" t="s">
        <v>43</v>
      </c>
      <c r="I401" s="3">
        <v>1</v>
      </c>
      <c r="J401" s="3">
        <v>4950</v>
      </c>
      <c r="K401" s="3">
        <v>5500</v>
      </c>
      <c r="L401" s="3">
        <v>10</v>
      </c>
      <c r="M401">
        <f>Table1[[#This Row],[Qty]]*Table1[[#This Row],[Sales Price]]</f>
        <v>55000</v>
      </c>
      <c r="N401">
        <f>Table1[[#This Row],[Qty]]*Table1[[#This Row],[Cost]]</f>
        <v>49500</v>
      </c>
      <c r="O401">
        <f>Table1[[#This Row],[Revenue]]-Table1[[#This Row],[Total Cost]]</f>
        <v>5500</v>
      </c>
    </row>
    <row r="402" spans="1:15" x14ac:dyDescent="0.55000000000000004">
      <c r="A402" s="3">
        <v>401</v>
      </c>
      <c r="B402" s="4">
        <v>45066</v>
      </c>
      <c r="C402" s="4" t="str">
        <f>TEXT(Table1[[#This Row],[Date]],"YYYY")</f>
        <v>2023</v>
      </c>
      <c r="D402" s="4" t="str">
        <f>TEXT(Table1[[#This Row],[Date]],"MMM")</f>
        <v>May</v>
      </c>
      <c r="E402" s="5" t="s">
        <v>39</v>
      </c>
      <c r="F402" s="3" t="s">
        <v>15</v>
      </c>
      <c r="G402" s="3" t="s">
        <v>45</v>
      </c>
      <c r="H402" s="3" t="s">
        <v>43</v>
      </c>
      <c r="I402" s="3">
        <v>0</v>
      </c>
      <c r="J402" s="3">
        <v>3150</v>
      </c>
      <c r="K402" s="3">
        <v>3500</v>
      </c>
      <c r="L402" s="3">
        <v>9</v>
      </c>
      <c r="M402">
        <f>Table1[[#This Row],[Qty]]*Table1[[#This Row],[Sales Price]]</f>
        <v>31500</v>
      </c>
      <c r="N402">
        <f>Table1[[#This Row],[Qty]]*Table1[[#This Row],[Cost]]</f>
        <v>28350</v>
      </c>
      <c r="O402">
        <f>Table1[[#This Row],[Revenue]]-Table1[[#This Row],[Total Cost]]</f>
        <v>3150</v>
      </c>
    </row>
    <row r="403" spans="1:15" x14ac:dyDescent="0.55000000000000004">
      <c r="A403" s="3">
        <v>402</v>
      </c>
      <c r="B403" s="4">
        <v>45067</v>
      </c>
      <c r="C403" s="4" t="str">
        <f>TEXT(Table1[[#This Row],[Date]],"YYYY")</f>
        <v>2023</v>
      </c>
      <c r="D403" s="4" t="str">
        <f>TEXT(Table1[[#This Row],[Date]],"MMM")</f>
        <v>May</v>
      </c>
      <c r="E403" s="5" t="s">
        <v>31</v>
      </c>
      <c r="F403" s="3" t="s">
        <v>15</v>
      </c>
      <c r="G403" s="3" t="s">
        <v>47</v>
      </c>
      <c r="H403" s="3" t="s">
        <v>43</v>
      </c>
      <c r="I403" s="3">
        <v>1</v>
      </c>
      <c r="J403" s="3">
        <v>2700</v>
      </c>
      <c r="K403" s="3">
        <v>3000</v>
      </c>
      <c r="L403" s="3">
        <v>27</v>
      </c>
      <c r="M403">
        <f>Table1[[#This Row],[Qty]]*Table1[[#This Row],[Sales Price]]</f>
        <v>81000</v>
      </c>
      <c r="N403">
        <f>Table1[[#This Row],[Qty]]*Table1[[#This Row],[Cost]]</f>
        <v>72900</v>
      </c>
      <c r="O403">
        <f>Table1[[#This Row],[Revenue]]-Table1[[#This Row],[Total Cost]]</f>
        <v>8100</v>
      </c>
    </row>
    <row r="404" spans="1:15" x14ac:dyDescent="0.55000000000000004">
      <c r="A404" s="3">
        <v>403</v>
      </c>
      <c r="B404" s="4">
        <v>45068</v>
      </c>
      <c r="C404" s="4" t="str">
        <f>TEXT(Table1[[#This Row],[Date]],"YYYY")</f>
        <v>2023</v>
      </c>
      <c r="D404" s="4" t="str">
        <f>TEXT(Table1[[#This Row],[Date]],"MMM")</f>
        <v>May</v>
      </c>
      <c r="E404" s="5" t="s">
        <v>40</v>
      </c>
      <c r="F404" s="3" t="s">
        <v>15</v>
      </c>
      <c r="G404" s="3" t="s">
        <v>48</v>
      </c>
      <c r="H404" s="3" t="s">
        <v>43</v>
      </c>
      <c r="I404" s="3">
        <v>1</v>
      </c>
      <c r="J404" s="3">
        <v>4050</v>
      </c>
      <c r="K404" s="3">
        <v>4500</v>
      </c>
      <c r="L404" s="3">
        <v>15</v>
      </c>
      <c r="M404">
        <f>Table1[[#This Row],[Qty]]*Table1[[#This Row],[Sales Price]]</f>
        <v>67500</v>
      </c>
      <c r="N404">
        <f>Table1[[#This Row],[Qty]]*Table1[[#This Row],[Cost]]</f>
        <v>60750</v>
      </c>
      <c r="O404">
        <f>Table1[[#This Row],[Revenue]]-Table1[[#This Row],[Total Cost]]</f>
        <v>6750</v>
      </c>
    </row>
    <row r="405" spans="1:15" x14ac:dyDescent="0.55000000000000004">
      <c r="A405" s="3">
        <v>404</v>
      </c>
      <c r="B405" s="4">
        <v>45069</v>
      </c>
      <c r="C405" s="4" t="str">
        <f>TEXT(Table1[[#This Row],[Date]],"YYYY")</f>
        <v>2023</v>
      </c>
      <c r="D405" s="4" t="str">
        <f>TEXT(Table1[[#This Row],[Date]],"MMM")</f>
        <v>May</v>
      </c>
      <c r="E405" s="5" t="s">
        <v>62</v>
      </c>
      <c r="F405" s="3" t="s">
        <v>15</v>
      </c>
      <c r="G405" s="3" t="s">
        <v>42</v>
      </c>
      <c r="H405" s="3" t="s">
        <v>43</v>
      </c>
      <c r="I405" s="3">
        <v>1</v>
      </c>
      <c r="J405" s="3">
        <v>8280</v>
      </c>
      <c r="K405" s="3">
        <v>9200</v>
      </c>
      <c r="L405" s="3">
        <v>3</v>
      </c>
      <c r="M405">
        <f>Table1[[#This Row],[Qty]]*Table1[[#This Row],[Sales Price]]</f>
        <v>27600</v>
      </c>
      <c r="N405">
        <f>Table1[[#This Row],[Qty]]*Table1[[#This Row],[Cost]]</f>
        <v>24840</v>
      </c>
      <c r="O405">
        <f>Table1[[#This Row],[Revenue]]-Table1[[#This Row],[Total Cost]]</f>
        <v>2760</v>
      </c>
    </row>
    <row r="406" spans="1:15" x14ac:dyDescent="0.55000000000000004">
      <c r="A406" s="3">
        <v>405</v>
      </c>
      <c r="B406" s="4">
        <v>45070</v>
      </c>
      <c r="C406" s="4" t="str">
        <f>TEXT(Table1[[#This Row],[Date]],"YYYY")</f>
        <v>2023</v>
      </c>
      <c r="D406" s="4" t="str">
        <f>TEXT(Table1[[#This Row],[Date]],"MMM")</f>
        <v>May</v>
      </c>
      <c r="E406" s="5" t="s">
        <v>55</v>
      </c>
      <c r="F406" s="3" t="s">
        <v>15</v>
      </c>
      <c r="G406" s="3" t="s">
        <v>44</v>
      </c>
      <c r="H406" s="3" t="s">
        <v>43</v>
      </c>
      <c r="I406" s="3"/>
      <c r="J406" s="3">
        <v>4950</v>
      </c>
      <c r="K406" s="3">
        <v>5500</v>
      </c>
      <c r="L406" s="3">
        <v>9</v>
      </c>
      <c r="M406">
        <f>Table1[[#This Row],[Qty]]*Table1[[#This Row],[Sales Price]]</f>
        <v>49500</v>
      </c>
      <c r="N406">
        <f>Table1[[#This Row],[Qty]]*Table1[[#This Row],[Cost]]</f>
        <v>44550</v>
      </c>
      <c r="O406">
        <f>Table1[[#This Row],[Revenue]]-Table1[[#This Row],[Total Cost]]</f>
        <v>4950</v>
      </c>
    </row>
    <row r="407" spans="1:15" ht="15.6" x14ac:dyDescent="0.55000000000000004">
      <c r="A407" s="3">
        <v>406</v>
      </c>
      <c r="B407" s="6">
        <v>44587</v>
      </c>
      <c r="C407" s="7" t="str">
        <f>TEXT(Table1[[#This Row],[Date]],"YYYY")</f>
        <v>2022</v>
      </c>
      <c r="D407" s="7" t="str">
        <f>TEXT(Table1[[#This Row],[Date]],"MMM")</f>
        <v>Jan</v>
      </c>
      <c r="E407" s="5" t="s">
        <v>22</v>
      </c>
      <c r="F407" s="3" t="s">
        <v>15</v>
      </c>
      <c r="G407" s="3" t="s">
        <v>45</v>
      </c>
      <c r="H407" s="3" t="s">
        <v>43</v>
      </c>
      <c r="I407" s="3"/>
      <c r="J407" s="3">
        <v>3150</v>
      </c>
      <c r="K407" s="3">
        <v>3500</v>
      </c>
      <c r="L407" s="3">
        <v>22</v>
      </c>
      <c r="M407">
        <f>Table1[[#This Row],[Qty]]*Table1[[#This Row],[Sales Price]]</f>
        <v>77000</v>
      </c>
      <c r="N407">
        <f>Table1[[#This Row],[Qty]]*Table1[[#This Row],[Cost]]</f>
        <v>69300</v>
      </c>
      <c r="O407">
        <f>Table1[[#This Row],[Revenue]]-Table1[[#This Row],[Total Cost]]</f>
        <v>7700</v>
      </c>
    </row>
    <row r="408" spans="1:15" ht="15.6" x14ac:dyDescent="0.55000000000000004">
      <c r="A408" s="3">
        <v>407</v>
      </c>
      <c r="B408" s="6">
        <v>44587</v>
      </c>
      <c r="C408" s="7" t="str">
        <f>TEXT(Table1[[#This Row],[Date]],"YYYY")</f>
        <v>2022</v>
      </c>
      <c r="D408" s="7" t="str">
        <f>TEXT(Table1[[#This Row],[Date]],"MMM")</f>
        <v>Jan</v>
      </c>
      <c r="E408" s="5" t="s">
        <v>33</v>
      </c>
      <c r="F408" s="3" t="s">
        <v>15</v>
      </c>
      <c r="G408" s="3" t="s">
        <v>47</v>
      </c>
      <c r="H408" s="3" t="s">
        <v>43</v>
      </c>
      <c r="I408" s="3"/>
      <c r="J408" s="3">
        <v>2700</v>
      </c>
      <c r="K408" s="3">
        <v>3000</v>
      </c>
      <c r="L408" s="3">
        <v>16</v>
      </c>
      <c r="M408">
        <f>Table1[[#This Row],[Qty]]*Table1[[#This Row],[Sales Price]]</f>
        <v>48000</v>
      </c>
      <c r="N408">
        <f>Table1[[#This Row],[Qty]]*Table1[[#This Row],[Cost]]</f>
        <v>43200</v>
      </c>
      <c r="O408">
        <f>Table1[[#This Row],[Revenue]]-Table1[[#This Row],[Total Cost]]</f>
        <v>4800</v>
      </c>
    </row>
    <row r="409" spans="1:15" ht="15.6" x14ac:dyDescent="0.55000000000000004">
      <c r="A409" s="3">
        <v>408</v>
      </c>
      <c r="B409" s="6">
        <v>44587</v>
      </c>
      <c r="C409" s="7" t="str">
        <f>TEXT(Table1[[#This Row],[Date]],"YYYY")</f>
        <v>2022</v>
      </c>
      <c r="D409" s="7" t="str">
        <f>TEXT(Table1[[#This Row],[Date]],"MMM")</f>
        <v>Jan</v>
      </c>
      <c r="E409" s="5" t="s">
        <v>31</v>
      </c>
      <c r="F409" s="3" t="s">
        <v>15</v>
      </c>
      <c r="G409" s="3" t="s">
        <v>48</v>
      </c>
      <c r="H409" s="3" t="s">
        <v>43</v>
      </c>
      <c r="I409" s="3">
        <v>1</v>
      </c>
      <c r="J409" s="3">
        <v>4050</v>
      </c>
      <c r="K409" s="3">
        <v>4500</v>
      </c>
      <c r="L409" s="3">
        <v>6</v>
      </c>
      <c r="M409">
        <f>Table1[[#This Row],[Qty]]*Table1[[#This Row],[Sales Price]]</f>
        <v>27000</v>
      </c>
      <c r="N409">
        <f>Table1[[#This Row],[Qty]]*Table1[[#This Row],[Cost]]</f>
        <v>24300</v>
      </c>
      <c r="O409">
        <f>Table1[[#This Row],[Revenue]]-Table1[[#This Row],[Total Cost]]</f>
        <v>2700</v>
      </c>
    </row>
    <row r="410" spans="1:15" ht="15.6" x14ac:dyDescent="0.55000000000000004">
      <c r="A410" s="3">
        <v>409</v>
      </c>
      <c r="B410" s="6">
        <v>44587</v>
      </c>
      <c r="C410" s="7" t="str">
        <f>TEXT(Table1[[#This Row],[Date]],"YYYY")</f>
        <v>2022</v>
      </c>
      <c r="D410" s="7" t="str">
        <f>TEXT(Table1[[#This Row],[Date]],"MMM")</f>
        <v>Jan</v>
      </c>
      <c r="E410" s="5" t="s">
        <v>22</v>
      </c>
      <c r="F410" s="3" t="s">
        <v>15</v>
      </c>
      <c r="G410" s="3" t="s">
        <v>48</v>
      </c>
      <c r="H410" s="3" t="s">
        <v>43</v>
      </c>
      <c r="I410" s="3">
        <v>1</v>
      </c>
      <c r="J410" s="3">
        <v>8280</v>
      </c>
      <c r="K410" s="3">
        <v>9200</v>
      </c>
      <c r="L410" s="3">
        <v>3</v>
      </c>
      <c r="M410">
        <f>Table1[[#This Row],[Qty]]*Table1[[#This Row],[Sales Price]]</f>
        <v>27600</v>
      </c>
      <c r="N410">
        <f>Table1[[#This Row],[Qty]]*Table1[[#This Row],[Cost]]</f>
        <v>24840</v>
      </c>
      <c r="O410">
        <f>Table1[[#This Row],[Revenue]]-Table1[[#This Row],[Total Cost]]</f>
        <v>2760</v>
      </c>
    </row>
    <row r="411" spans="1:15" ht="15.6" x14ac:dyDescent="0.55000000000000004">
      <c r="A411" s="3">
        <v>410</v>
      </c>
      <c r="B411" s="6">
        <v>44587</v>
      </c>
      <c r="C411" s="7" t="str">
        <f>TEXT(Table1[[#This Row],[Date]],"YYYY")</f>
        <v>2022</v>
      </c>
      <c r="D411" s="7" t="str">
        <f>TEXT(Table1[[#This Row],[Date]],"MMM")</f>
        <v>Jan</v>
      </c>
      <c r="E411" s="5" t="s">
        <v>46</v>
      </c>
      <c r="F411" s="3" t="s">
        <v>15</v>
      </c>
      <c r="G411" s="3" t="s">
        <v>42</v>
      </c>
      <c r="H411" s="3" t="s">
        <v>43</v>
      </c>
      <c r="I411" s="3">
        <v>1</v>
      </c>
      <c r="J411" s="3">
        <v>4950</v>
      </c>
      <c r="K411" s="3">
        <v>5500</v>
      </c>
      <c r="L411" s="3">
        <v>5</v>
      </c>
      <c r="M411">
        <f>Table1[[#This Row],[Qty]]*Table1[[#This Row],[Sales Price]]</f>
        <v>27500</v>
      </c>
      <c r="N411">
        <f>Table1[[#This Row],[Qty]]*Table1[[#This Row],[Cost]]</f>
        <v>24750</v>
      </c>
      <c r="O411">
        <f>Table1[[#This Row],[Revenue]]-Table1[[#This Row],[Total Cost]]</f>
        <v>2750</v>
      </c>
    </row>
    <row r="412" spans="1:15" ht="15.6" x14ac:dyDescent="0.55000000000000004">
      <c r="A412" s="3">
        <v>411</v>
      </c>
      <c r="B412" s="6">
        <v>44587</v>
      </c>
      <c r="C412" s="7" t="str">
        <f>TEXT(Table1[[#This Row],[Date]],"YYYY")</f>
        <v>2022</v>
      </c>
      <c r="D412" s="7" t="str">
        <f>TEXT(Table1[[#This Row],[Date]],"MMM")</f>
        <v>Jan</v>
      </c>
      <c r="E412" s="5" t="s">
        <v>22</v>
      </c>
      <c r="F412" s="3" t="s">
        <v>15</v>
      </c>
      <c r="G412" s="3" t="s">
        <v>16</v>
      </c>
      <c r="H412" s="3" t="s">
        <v>17</v>
      </c>
      <c r="I412" s="3">
        <v>1</v>
      </c>
      <c r="J412" s="3">
        <v>3150</v>
      </c>
      <c r="K412" s="3">
        <v>3500</v>
      </c>
      <c r="L412" s="3">
        <v>1</v>
      </c>
      <c r="M412">
        <f>Table1[[#This Row],[Qty]]*Table1[[#This Row],[Sales Price]]</f>
        <v>3500</v>
      </c>
      <c r="N412">
        <f>Table1[[#This Row],[Qty]]*Table1[[#This Row],[Cost]]</f>
        <v>3150</v>
      </c>
      <c r="O412">
        <f>Table1[[#This Row],[Revenue]]-Table1[[#This Row],[Total Cost]]</f>
        <v>350</v>
      </c>
    </row>
    <row r="413" spans="1:15" ht="15.6" x14ac:dyDescent="0.55000000000000004">
      <c r="A413" s="3">
        <v>412</v>
      </c>
      <c r="B413" s="6">
        <v>44587</v>
      </c>
      <c r="C413" s="7" t="str">
        <f>TEXT(Table1[[#This Row],[Date]],"YYYY")</f>
        <v>2022</v>
      </c>
      <c r="D413" s="7" t="str">
        <f>TEXT(Table1[[#This Row],[Date]],"MMM")</f>
        <v>Jan</v>
      </c>
      <c r="E413" s="5" t="s">
        <v>39</v>
      </c>
      <c r="F413" s="3" t="s">
        <v>15</v>
      </c>
      <c r="G413" s="3" t="s">
        <v>19</v>
      </c>
      <c r="H413" s="3" t="s">
        <v>17</v>
      </c>
      <c r="I413" s="3">
        <v>1</v>
      </c>
      <c r="J413" s="3">
        <v>2700</v>
      </c>
      <c r="K413" s="3">
        <v>3000</v>
      </c>
      <c r="L413" s="3">
        <v>5</v>
      </c>
      <c r="M413">
        <f>Table1[[#This Row],[Qty]]*Table1[[#This Row],[Sales Price]]</f>
        <v>15000</v>
      </c>
      <c r="N413">
        <f>Table1[[#This Row],[Qty]]*Table1[[#This Row],[Cost]]</f>
        <v>13500</v>
      </c>
      <c r="O413">
        <f>Table1[[#This Row],[Revenue]]-Table1[[#This Row],[Total Cost]]</f>
        <v>1500</v>
      </c>
    </row>
    <row r="414" spans="1:15" ht="15.6" x14ac:dyDescent="0.55000000000000004">
      <c r="A414" s="3">
        <v>413</v>
      </c>
      <c r="B414" s="6">
        <v>44587</v>
      </c>
      <c r="C414" s="7" t="str">
        <f>TEXT(Table1[[#This Row],[Date]],"YYYY")</f>
        <v>2022</v>
      </c>
      <c r="D414" s="7" t="str">
        <f>TEXT(Table1[[#This Row],[Date]],"MMM")</f>
        <v>Jan</v>
      </c>
      <c r="E414" s="5" t="s">
        <v>49</v>
      </c>
      <c r="F414" s="3" t="s">
        <v>15</v>
      </c>
      <c r="G414" s="3" t="s">
        <v>21</v>
      </c>
      <c r="H414" s="3" t="s">
        <v>17</v>
      </c>
      <c r="I414" s="3">
        <v>1</v>
      </c>
      <c r="J414" s="3">
        <v>4050</v>
      </c>
      <c r="K414" s="3">
        <v>4500</v>
      </c>
      <c r="L414" s="3">
        <v>7</v>
      </c>
      <c r="M414">
        <f>Table1[[#This Row],[Qty]]*Table1[[#This Row],[Sales Price]]</f>
        <v>31500</v>
      </c>
      <c r="N414">
        <f>Table1[[#This Row],[Qty]]*Table1[[#This Row],[Cost]]</f>
        <v>28350</v>
      </c>
      <c r="O414">
        <f>Table1[[#This Row],[Revenue]]-Table1[[#This Row],[Total Cost]]</f>
        <v>3150</v>
      </c>
    </row>
    <row r="415" spans="1:15" ht="15.6" x14ac:dyDescent="0.55000000000000004">
      <c r="A415" s="3">
        <v>414</v>
      </c>
      <c r="B415" s="6">
        <v>44587</v>
      </c>
      <c r="C415" s="7" t="str">
        <f>TEXT(Table1[[#This Row],[Date]],"YYYY")</f>
        <v>2022</v>
      </c>
      <c r="D415" s="7" t="str">
        <f>TEXT(Table1[[#This Row],[Date]],"MMM")</f>
        <v>Jan</v>
      </c>
      <c r="E415" s="5" t="s">
        <v>50</v>
      </c>
      <c r="F415" s="3" t="s">
        <v>15</v>
      </c>
      <c r="G415" s="3" t="s">
        <v>23</v>
      </c>
      <c r="H415" s="3" t="s">
        <v>17</v>
      </c>
      <c r="I415" s="3">
        <v>1</v>
      </c>
      <c r="J415" s="3">
        <v>8280</v>
      </c>
      <c r="K415" s="3">
        <v>9200</v>
      </c>
      <c r="L415" s="3">
        <v>4</v>
      </c>
      <c r="M415">
        <f>Table1[[#This Row],[Qty]]*Table1[[#This Row],[Sales Price]]</f>
        <v>36800</v>
      </c>
      <c r="N415">
        <f>Table1[[#This Row],[Qty]]*Table1[[#This Row],[Cost]]</f>
        <v>33120</v>
      </c>
      <c r="O415">
        <f>Table1[[#This Row],[Revenue]]-Table1[[#This Row],[Total Cost]]</f>
        <v>3680</v>
      </c>
    </row>
    <row r="416" spans="1:15" ht="15.6" x14ac:dyDescent="0.55000000000000004">
      <c r="A416" s="3">
        <v>415</v>
      </c>
      <c r="B416" s="6">
        <v>44587</v>
      </c>
      <c r="C416" s="7" t="str">
        <f>TEXT(Table1[[#This Row],[Date]],"YYYY")</f>
        <v>2022</v>
      </c>
      <c r="D416" s="7" t="str">
        <f>TEXT(Table1[[#This Row],[Date]],"MMM")</f>
        <v>Jan</v>
      </c>
      <c r="E416" s="5" t="s">
        <v>39</v>
      </c>
      <c r="F416" s="3" t="s">
        <v>15</v>
      </c>
      <c r="G416" s="3" t="s">
        <v>25</v>
      </c>
      <c r="H416" s="3" t="s">
        <v>17</v>
      </c>
      <c r="I416" s="3"/>
      <c r="J416" s="3">
        <v>4950</v>
      </c>
      <c r="K416" s="3">
        <v>5500</v>
      </c>
      <c r="L416" s="3">
        <v>8</v>
      </c>
      <c r="M416">
        <f>Table1[[#This Row],[Qty]]*Table1[[#This Row],[Sales Price]]</f>
        <v>44000</v>
      </c>
      <c r="N416">
        <f>Table1[[#This Row],[Qty]]*Table1[[#This Row],[Cost]]</f>
        <v>39600</v>
      </c>
      <c r="O416">
        <f>Table1[[#This Row],[Revenue]]-Table1[[#This Row],[Total Cost]]</f>
        <v>4400</v>
      </c>
    </row>
    <row r="417" spans="1:15" ht="15.6" x14ac:dyDescent="0.55000000000000004">
      <c r="A417" s="3">
        <v>416</v>
      </c>
      <c r="B417" s="6">
        <v>44587</v>
      </c>
      <c r="C417" s="7" t="str">
        <f>TEXT(Table1[[#This Row],[Date]],"YYYY")</f>
        <v>2022</v>
      </c>
      <c r="D417" s="7" t="str">
        <f>TEXT(Table1[[#This Row],[Date]],"MMM")</f>
        <v>Jan</v>
      </c>
      <c r="E417" s="5" t="s">
        <v>33</v>
      </c>
      <c r="F417" s="3" t="s">
        <v>15</v>
      </c>
      <c r="G417" s="3" t="s">
        <v>26</v>
      </c>
      <c r="H417" s="3" t="s">
        <v>17</v>
      </c>
      <c r="I417" s="3"/>
      <c r="J417" s="3">
        <v>3150</v>
      </c>
      <c r="K417" s="3">
        <v>3500</v>
      </c>
      <c r="L417" s="3">
        <v>8</v>
      </c>
      <c r="M417">
        <f>Table1[[#This Row],[Qty]]*Table1[[#This Row],[Sales Price]]</f>
        <v>28000</v>
      </c>
      <c r="N417">
        <f>Table1[[#This Row],[Qty]]*Table1[[#This Row],[Cost]]</f>
        <v>25200</v>
      </c>
      <c r="O417">
        <f>Table1[[#This Row],[Revenue]]-Table1[[#This Row],[Total Cost]]</f>
        <v>2800</v>
      </c>
    </row>
    <row r="418" spans="1:15" ht="15.6" x14ac:dyDescent="0.55000000000000004">
      <c r="A418" s="3">
        <v>417</v>
      </c>
      <c r="B418" s="6">
        <v>44587</v>
      </c>
      <c r="C418" s="7" t="str">
        <f>TEXT(Table1[[#This Row],[Date]],"YYYY")</f>
        <v>2022</v>
      </c>
      <c r="D418" s="7" t="str">
        <f>TEXT(Table1[[#This Row],[Date]],"MMM")</f>
        <v>Jan</v>
      </c>
      <c r="E418" s="5" t="s">
        <v>20</v>
      </c>
      <c r="F418" s="3" t="s">
        <v>15</v>
      </c>
      <c r="G418" s="3" t="s">
        <v>27</v>
      </c>
      <c r="H418" s="3" t="s">
        <v>28</v>
      </c>
      <c r="I418" s="3">
        <v>1</v>
      </c>
      <c r="J418" s="3">
        <v>2700</v>
      </c>
      <c r="K418" s="3">
        <v>3000</v>
      </c>
      <c r="L418" s="3">
        <v>9</v>
      </c>
      <c r="M418">
        <f>Table1[[#This Row],[Qty]]*Table1[[#This Row],[Sales Price]]</f>
        <v>27000</v>
      </c>
      <c r="N418">
        <f>Table1[[#This Row],[Qty]]*Table1[[#This Row],[Cost]]</f>
        <v>24300</v>
      </c>
      <c r="O418">
        <f>Table1[[#This Row],[Revenue]]-Table1[[#This Row],[Total Cost]]</f>
        <v>2700</v>
      </c>
    </row>
    <row r="419" spans="1:15" ht="15.6" x14ac:dyDescent="0.55000000000000004">
      <c r="A419" s="3">
        <v>418</v>
      </c>
      <c r="B419" s="6">
        <v>44587</v>
      </c>
      <c r="C419" s="7" t="str">
        <f>TEXT(Table1[[#This Row],[Date]],"YYYY")</f>
        <v>2022</v>
      </c>
      <c r="D419" s="7" t="str">
        <f>TEXT(Table1[[#This Row],[Date]],"MMM")</f>
        <v>Jan</v>
      </c>
      <c r="E419" s="5" t="s">
        <v>14</v>
      </c>
      <c r="F419" s="3" t="s">
        <v>15</v>
      </c>
      <c r="G419" s="3" t="s">
        <v>30</v>
      </c>
      <c r="H419" s="3" t="s">
        <v>28</v>
      </c>
      <c r="I419" s="3">
        <v>1</v>
      </c>
      <c r="J419" s="3">
        <v>4050</v>
      </c>
      <c r="K419" s="3">
        <v>4500</v>
      </c>
      <c r="L419" s="3">
        <v>2</v>
      </c>
      <c r="M419">
        <f>Table1[[#This Row],[Qty]]*Table1[[#This Row],[Sales Price]]</f>
        <v>9000</v>
      </c>
      <c r="N419">
        <f>Table1[[#This Row],[Qty]]*Table1[[#This Row],[Cost]]</f>
        <v>8100</v>
      </c>
      <c r="O419">
        <f>Table1[[#This Row],[Revenue]]-Table1[[#This Row],[Total Cost]]</f>
        <v>900</v>
      </c>
    </row>
    <row r="420" spans="1:15" ht="15.6" x14ac:dyDescent="0.55000000000000004">
      <c r="A420" s="3">
        <v>419</v>
      </c>
      <c r="B420" s="6">
        <v>44587</v>
      </c>
      <c r="C420" s="7" t="str">
        <f>TEXT(Table1[[#This Row],[Date]],"YYYY")</f>
        <v>2022</v>
      </c>
      <c r="D420" s="7" t="str">
        <f>TEXT(Table1[[#This Row],[Date]],"MMM")</f>
        <v>Jan</v>
      </c>
      <c r="E420" s="5" t="s">
        <v>33</v>
      </c>
      <c r="F420" s="3" t="s">
        <v>15</v>
      </c>
      <c r="G420" s="3" t="s">
        <v>32</v>
      </c>
      <c r="H420" s="3" t="s">
        <v>28</v>
      </c>
      <c r="I420" s="3">
        <v>1</v>
      </c>
      <c r="J420" s="3">
        <v>24750</v>
      </c>
      <c r="K420" s="3">
        <v>27500</v>
      </c>
      <c r="L420" s="3">
        <v>1</v>
      </c>
      <c r="M420">
        <f>Table1[[#This Row],[Qty]]*Table1[[#This Row],[Sales Price]]</f>
        <v>27500</v>
      </c>
      <c r="N420">
        <f>Table1[[#This Row],[Qty]]*Table1[[#This Row],[Cost]]</f>
        <v>24750</v>
      </c>
      <c r="O420">
        <f>Table1[[#This Row],[Revenue]]-Table1[[#This Row],[Total Cost]]</f>
        <v>2750</v>
      </c>
    </row>
    <row r="421" spans="1:15" ht="15.6" x14ac:dyDescent="0.55000000000000004">
      <c r="A421" s="3">
        <v>420</v>
      </c>
      <c r="B421" s="6">
        <v>44587</v>
      </c>
      <c r="C421" s="7" t="str">
        <f>TEXT(Table1[[#This Row],[Date]],"YYYY")</f>
        <v>2022</v>
      </c>
      <c r="D421" s="7" t="str">
        <f>TEXT(Table1[[#This Row],[Date]],"MMM")</f>
        <v>Jan</v>
      </c>
      <c r="E421" s="5" t="s">
        <v>56</v>
      </c>
      <c r="F421" s="3" t="s">
        <v>15</v>
      </c>
      <c r="G421" s="3" t="s">
        <v>34</v>
      </c>
      <c r="H421" s="3" t="s">
        <v>28</v>
      </c>
      <c r="I421" s="3">
        <v>0</v>
      </c>
      <c r="J421" s="3">
        <v>44550</v>
      </c>
      <c r="K421" s="3">
        <v>49500</v>
      </c>
      <c r="L421" s="3">
        <v>22</v>
      </c>
      <c r="M421">
        <f>Table1[[#This Row],[Qty]]*Table1[[#This Row],[Sales Price]]</f>
        <v>1089000</v>
      </c>
      <c r="N421">
        <f>Table1[[#This Row],[Qty]]*Table1[[#This Row],[Cost]]</f>
        <v>980100</v>
      </c>
      <c r="O421">
        <f>Table1[[#This Row],[Revenue]]-Table1[[#This Row],[Total Cost]]</f>
        <v>108900</v>
      </c>
    </row>
    <row r="422" spans="1:15" ht="15.6" x14ac:dyDescent="0.55000000000000004">
      <c r="A422" s="3">
        <v>421</v>
      </c>
      <c r="B422" s="6">
        <v>44587</v>
      </c>
      <c r="C422" s="7" t="str">
        <f>TEXT(Table1[[#This Row],[Date]],"YYYY")</f>
        <v>2022</v>
      </c>
      <c r="D422" s="7" t="str">
        <f>TEXT(Table1[[#This Row],[Date]],"MMM")</f>
        <v>Jan</v>
      </c>
      <c r="E422" s="5" t="s">
        <v>54</v>
      </c>
      <c r="F422" s="3" t="s">
        <v>15</v>
      </c>
      <c r="G422" s="3" t="s">
        <v>36</v>
      </c>
      <c r="H422" s="3" t="s">
        <v>17</v>
      </c>
      <c r="I422" s="3">
        <v>0</v>
      </c>
      <c r="J422" s="3">
        <v>9000</v>
      </c>
      <c r="K422" s="3">
        <v>10000</v>
      </c>
      <c r="L422" s="3">
        <v>8</v>
      </c>
      <c r="M422">
        <f>Table1[[#This Row],[Qty]]*Table1[[#This Row],[Sales Price]]</f>
        <v>80000</v>
      </c>
      <c r="N422">
        <f>Table1[[#This Row],[Qty]]*Table1[[#This Row],[Cost]]</f>
        <v>72000</v>
      </c>
      <c r="O422">
        <f>Table1[[#This Row],[Revenue]]-Table1[[#This Row],[Total Cost]]</f>
        <v>8000</v>
      </c>
    </row>
    <row r="423" spans="1:15" ht="15.6" x14ac:dyDescent="0.55000000000000004">
      <c r="A423" s="3">
        <v>422</v>
      </c>
      <c r="B423" s="6">
        <v>44587</v>
      </c>
      <c r="C423" s="7" t="str">
        <f>TEXT(Table1[[#This Row],[Date]],"YYYY")</f>
        <v>2022</v>
      </c>
      <c r="D423" s="7" t="str">
        <f>TEXT(Table1[[#This Row],[Date]],"MMM")</f>
        <v>Jan</v>
      </c>
      <c r="E423" s="5" t="s">
        <v>58</v>
      </c>
      <c r="F423" s="3" t="s">
        <v>15</v>
      </c>
      <c r="G423" s="3" t="s">
        <v>37</v>
      </c>
      <c r="H423" s="3" t="s">
        <v>17</v>
      </c>
      <c r="I423" s="3">
        <v>1</v>
      </c>
      <c r="J423" s="3">
        <v>8640</v>
      </c>
      <c r="K423" s="3">
        <v>9600</v>
      </c>
      <c r="L423" s="3">
        <v>7</v>
      </c>
      <c r="M423">
        <f>Table1[[#This Row],[Qty]]*Table1[[#This Row],[Sales Price]]</f>
        <v>67200</v>
      </c>
      <c r="N423">
        <f>Table1[[#This Row],[Qty]]*Table1[[#This Row],[Cost]]</f>
        <v>60480</v>
      </c>
      <c r="O423">
        <f>Table1[[#This Row],[Revenue]]-Table1[[#This Row],[Total Cost]]</f>
        <v>6720</v>
      </c>
    </row>
    <row r="424" spans="1:15" ht="15.6" x14ac:dyDescent="0.55000000000000004">
      <c r="A424" s="3">
        <v>423</v>
      </c>
      <c r="B424" s="6">
        <v>44587</v>
      </c>
      <c r="C424" s="7" t="str">
        <f>TEXT(Table1[[#This Row],[Date]],"YYYY")</f>
        <v>2022</v>
      </c>
      <c r="D424" s="7" t="str">
        <f>TEXT(Table1[[#This Row],[Date]],"MMM")</f>
        <v>Jan</v>
      </c>
      <c r="E424" s="5" t="s">
        <v>22</v>
      </c>
      <c r="F424" s="3" t="s">
        <v>15</v>
      </c>
      <c r="G424" s="3" t="s">
        <v>38</v>
      </c>
      <c r="H424" s="3" t="s">
        <v>17</v>
      </c>
      <c r="I424" s="3"/>
      <c r="J424" s="3">
        <v>9000</v>
      </c>
      <c r="K424" s="3">
        <v>10000</v>
      </c>
      <c r="L424" s="3">
        <v>56</v>
      </c>
      <c r="M424">
        <f>Table1[[#This Row],[Qty]]*Table1[[#This Row],[Sales Price]]</f>
        <v>560000</v>
      </c>
      <c r="N424">
        <f>Table1[[#This Row],[Qty]]*Table1[[#This Row],[Cost]]</f>
        <v>504000</v>
      </c>
      <c r="O424">
        <f>Table1[[#This Row],[Revenue]]-Table1[[#This Row],[Total Cost]]</f>
        <v>56000</v>
      </c>
    </row>
    <row r="425" spans="1:15" ht="15.6" x14ac:dyDescent="0.55000000000000004">
      <c r="A425" s="3">
        <v>424</v>
      </c>
      <c r="B425" s="6">
        <v>44587</v>
      </c>
      <c r="C425" s="7" t="str">
        <f>TEXT(Table1[[#This Row],[Date]],"YYYY")</f>
        <v>2022</v>
      </c>
      <c r="D425" s="7" t="str">
        <f>TEXT(Table1[[#This Row],[Date]],"MMM")</f>
        <v>Jan</v>
      </c>
      <c r="E425" s="5" t="s">
        <v>50</v>
      </c>
      <c r="F425" s="3" t="s">
        <v>15</v>
      </c>
      <c r="G425" s="3" t="s">
        <v>19</v>
      </c>
      <c r="H425" s="3" t="s">
        <v>17</v>
      </c>
      <c r="I425" s="3"/>
      <c r="J425" s="3">
        <v>3870</v>
      </c>
      <c r="K425" s="3">
        <v>4300</v>
      </c>
      <c r="L425" s="3">
        <v>10</v>
      </c>
      <c r="M425">
        <f>Table1[[#This Row],[Qty]]*Table1[[#This Row],[Sales Price]]</f>
        <v>43000</v>
      </c>
      <c r="N425">
        <f>Table1[[#This Row],[Qty]]*Table1[[#This Row],[Cost]]</f>
        <v>38700</v>
      </c>
      <c r="O425">
        <f>Table1[[#This Row],[Revenue]]-Table1[[#This Row],[Total Cost]]</f>
        <v>4300</v>
      </c>
    </row>
    <row r="426" spans="1:15" ht="15.6" x14ac:dyDescent="0.55000000000000004">
      <c r="A426" s="3">
        <v>425</v>
      </c>
      <c r="B426" s="6">
        <v>44587</v>
      </c>
      <c r="C426" s="7" t="str">
        <f>TEXT(Table1[[#This Row],[Date]],"YYYY")</f>
        <v>2022</v>
      </c>
      <c r="D426" s="7" t="str">
        <f>TEXT(Table1[[#This Row],[Date]],"MMM")</f>
        <v>Jan</v>
      </c>
      <c r="E426" s="5" t="s">
        <v>50</v>
      </c>
      <c r="F426" s="3" t="s">
        <v>15</v>
      </c>
      <c r="G426" s="3" t="s">
        <v>21</v>
      </c>
      <c r="H426" s="3" t="s">
        <v>17</v>
      </c>
      <c r="I426" s="3">
        <v>1</v>
      </c>
      <c r="J426" s="3">
        <v>45450</v>
      </c>
      <c r="K426" s="3">
        <v>50500</v>
      </c>
      <c r="L426" s="3">
        <v>9</v>
      </c>
      <c r="M426">
        <f>Table1[[#This Row],[Qty]]*Table1[[#This Row],[Sales Price]]</f>
        <v>454500</v>
      </c>
      <c r="N426">
        <f>Table1[[#This Row],[Qty]]*Table1[[#This Row],[Cost]]</f>
        <v>409050</v>
      </c>
      <c r="O426">
        <f>Table1[[#This Row],[Revenue]]-Table1[[#This Row],[Total Cost]]</f>
        <v>45450</v>
      </c>
    </row>
    <row r="427" spans="1:15" x14ac:dyDescent="0.55000000000000004">
      <c r="A427" s="3">
        <v>426</v>
      </c>
      <c r="B427" s="4">
        <v>45091</v>
      </c>
      <c r="C427" s="4" t="str">
        <f>TEXT(Table1[[#This Row],[Date]],"YYYY")</f>
        <v>2023</v>
      </c>
      <c r="D427" s="4" t="str">
        <f>TEXT(Table1[[#This Row],[Date]],"MMM")</f>
        <v>Jun</v>
      </c>
      <c r="E427" s="5" t="s">
        <v>40</v>
      </c>
      <c r="F427" s="3" t="s">
        <v>15</v>
      </c>
      <c r="G427" s="3" t="s">
        <v>23</v>
      </c>
      <c r="H427" s="3" t="s">
        <v>17</v>
      </c>
      <c r="I427" s="3"/>
      <c r="J427" s="3">
        <v>18225</v>
      </c>
      <c r="K427" s="3">
        <v>20250</v>
      </c>
      <c r="L427" s="3">
        <v>27</v>
      </c>
      <c r="M427">
        <f>Table1[[#This Row],[Qty]]*Table1[[#This Row],[Sales Price]]</f>
        <v>546750</v>
      </c>
      <c r="N427">
        <f>Table1[[#This Row],[Qty]]*Table1[[#This Row],[Cost]]</f>
        <v>492075</v>
      </c>
      <c r="O427">
        <f>Table1[[#This Row],[Revenue]]-Table1[[#This Row],[Total Cost]]</f>
        <v>54675</v>
      </c>
    </row>
    <row r="428" spans="1:15" x14ac:dyDescent="0.55000000000000004">
      <c r="A428" s="3">
        <v>427</v>
      </c>
      <c r="B428" s="4">
        <v>45092</v>
      </c>
      <c r="C428" s="4" t="str">
        <f>TEXT(Table1[[#This Row],[Date]],"YYYY")</f>
        <v>2023</v>
      </c>
      <c r="D428" s="4" t="str">
        <f>TEXT(Table1[[#This Row],[Date]],"MMM")</f>
        <v>Jun</v>
      </c>
      <c r="E428" s="5" t="s">
        <v>57</v>
      </c>
      <c r="F428" s="3" t="s">
        <v>15</v>
      </c>
      <c r="G428" s="3" t="s">
        <v>25</v>
      </c>
      <c r="H428" s="3" t="s">
        <v>17</v>
      </c>
      <c r="I428" s="3"/>
      <c r="J428" s="3">
        <v>1800</v>
      </c>
      <c r="K428" s="3">
        <v>2000</v>
      </c>
      <c r="L428" s="3">
        <v>15</v>
      </c>
      <c r="M428">
        <f>Table1[[#This Row],[Qty]]*Table1[[#This Row],[Sales Price]]</f>
        <v>30000</v>
      </c>
      <c r="N428">
        <f>Table1[[#This Row],[Qty]]*Table1[[#This Row],[Cost]]</f>
        <v>27000</v>
      </c>
      <c r="O428">
        <f>Table1[[#This Row],[Revenue]]-Table1[[#This Row],[Total Cost]]</f>
        <v>3000</v>
      </c>
    </row>
    <row r="429" spans="1:15" x14ac:dyDescent="0.55000000000000004">
      <c r="A429" s="3">
        <v>428</v>
      </c>
      <c r="B429" s="4">
        <v>45093</v>
      </c>
      <c r="C429" s="4" t="str">
        <f>TEXT(Table1[[#This Row],[Date]],"YYYY")</f>
        <v>2023</v>
      </c>
      <c r="D429" s="4" t="str">
        <f>TEXT(Table1[[#This Row],[Date]],"MMM")</f>
        <v>Jun</v>
      </c>
      <c r="E429" s="5" t="s">
        <v>63</v>
      </c>
      <c r="F429" s="3" t="s">
        <v>15</v>
      </c>
      <c r="G429" s="3" t="s">
        <v>26</v>
      </c>
      <c r="H429" s="3" t="s">
        <v>17</v>
      </c>
      <c r="I429" s="3"/>
      <c r="J429" s="3">
        <v>48600</v>
      </c>
      <c r="K429" s="3">
        <v>54000</v>
      </c>
      <c r="L429" s="3">
        <v>3</v>
      </c>
      <c r="M429">
        <f>Table1[[#This Row],[Qty]]*Table1[[#This Row],[Sales Price]]</f>
        <v>162000</v>
      </c>
      <c r="N429">
        <f>Table1[[#This Row],[Qty]]*Table1[[#This Row],[Cost]]</f>
        <v>145800</v>
      </c>
      <c r="O429">
        <f>Table1[[#This Row],[Revenue]]-Table1[[#This Row],[Total Cost]]</f>
        <v>16200</v>
      </c>
    </row>
    <row r="430" spans="1:15" x14ac:dyDescent="0.55000000000000004">
      <c r="A430" s="3">
        <v>429</v>
      </c>
      <c r="B430" s="4">
        <v>45094</v>
      </c>
      <c r="C430" s="4" t="str">
        <f>TEXT(Table1[[#This Row],[Date]],"YYYY")</f>
        <v>2023</v>
      </c>
      <c r="D430" s="4" t="str">
        <f>TEXT(Table1[[#This Row],[Date]],"MMM")</f>
        <v>Jun</v>
      </c>
      <c r="E430" s="5" t="s">
        <v>14</v>
      </c>
      <c r="F430" s="3" t="s">
        <v>15</v>
      </c>
      <c r="G430" s="3" t="s">
        <v>37</v>
      </c>
      <c r="H430" s="3" t="s">
        <v>17</v>
      </c>
      <c r="I430" s="3">
        <v>1</v>
      </c>
      <c r="J430" s="3">
        <v>72900</v>
      </c>
      <c r="K430" s="3">
        <v>81000</v>
      </c>
      <c r="L430" s="3">
        <v>9</v>
      </c>
      <c r="M430">
        <f>Table1[[#This Row],[Qty]]*Table1[[#This Row],[Sales Price]]</f>
        <v>729000</v>
      </c>
      <c r="N430">
        <f>Table1[[#This Row],[Qty]]*Table1[[#This Row],[Cost]]</f>
        <v>656100</v>
      </c>
      <c r="O430">
        <f>Table1[[#This Row],[Revenue]]-Table1[[#This Row],[Total Cost]]</f>
        <v>72900</v>
      </c>
    </row>
    <row r="431" spans="1:15" x14ac:dyDescent="0.55000000000000004">
      <c r="A431" s="3">
        <v>430</v>
      </c>
      <c r="B431" s="4">
        <v>45095</v>
      </c>
      <c r="C431" s="4" t="str">
        <f>TEXT(Table1[[#This Row],[Date]],"YYYY")</f>
        <v>2023</v>
      </c>
      <c r="D431" s="4" t="str">
        <f>TEXT(Table1[[#This Row],[Date]],"MMM")</f>
        <v>Jun</v>
      </c>
      <c r="E431" s="5" t="s">
        <v>14</v>
      </c>
      <c r="F431" s="3" t="s">
        <v>15</v>
      </c>
      <c r="G431" s="3" t="s">
        <v>41</v>
      </c>
      <c r="H431" s="3" t="s">
        <v>28</v>
      </c>
      <c r="I431" s="3">
        <v>1</v>
      </c>
      <c r="J431" s="3">
        <v>9450</v>
      </c>
      <c r="K431" s="3">
        <v>10500</v>
      </c>
      <c r="L431" s="3">
        <v>22</v>
      </c>
      <c r="M431">
        <f>Table1[[#This Row],[Qty]]*Table1[[#This Row],[Sales Price]]</f>
        <v>231000</v>
      </c>
      <c r="N431">
        <f>Table1[[#This Row],[Qty]]*Table1[[#This Row],[Cost]]</f>
        <v>207900</v>
      </c>
      <c r="O431">
        <f>Table1[[#This Row],[Revenue]]-Table1[[#This Row],[Total Cost]]</f>
        <v>23100</v>
      </c>
    </row>
    <row r="432" spans="1:15" x14ac:dyDescent="0.55000000000000004">
      <c r="A432" s="3">
        <v>431</v>
      </c>
      <c r="B432" s="4">
        <v>45096</v>
      </c>
      <c r="C432" s="4" t="str">
        <f>TEXT(Table1[[#This Row],[Date]],"YYYY")</f>
        <v>2023</v>
      </c>
      <c r="D432" s="4" t="str">
        <f>TEXT(Table1[[#This Row],[Date]],"MMM")</f>
        <v>Jun</v>
      </c>
      <c r="E432" s="5" t="s">
        <v>22</v>
      </c>
      <c r="F432" s="3" t="s">
        <v>15</v>
      </c>
      <c r="G432" s="3" t="s">
        <v>27</v>
      </c>
      <c r="H432" s="3" t="s">
        <v>28</v>
      </c>
      <c r="I432" s="3">
        <v>1</v>
      </c>
      <c r="J432" s="3">
        <v>36000</v>
      </c>
      <c r="K432" s="3">
        <v>40000</v>
      </c>
      <c r="L432" s="3">
        <v>16</v>
      </c>
      <c r="M432">
        <f>Table1[[#This Row],[Qty]]*Table1[[#This Row],[Sales Price]]</f>
        <v>640000</v>
      </c>
      <c r="N432">
        <f>Table1[[#This Row],[Qty]]*Table1[[#This Row],[Cost]]</f>
        <v>576000</v>
      </c>
      <c r="O432">
        <f>Table1[[#This Row],[Revenue]]-Table1[[#This Row],[Total Cost]]</f>
        <v>64000</v>
      </c>
    </row>
    <row r="433" spans="1:15" x14ac:dyDescent="0.55000000000000004">
      <c r="A433" s="3">
        <v>432</v>
      </c>
      <c r="B433" s="4">
        <v>45097</v>
      </c>
      <c r="C433" s="4" t="str">
        <f>TEXT(Table1[[#This Row],[Date]],"YYYY")</f>
        <v>2023</v>
      </c>
      <c r="D433" s="4" t="str">
        <f>TEXT(Table1[[#This Row],[Date]],"MMM")</f>
        <v>Jun</v>
      </c>
      <c r="E433" s="5" t="s">
        <v>33</v>
      </c>
      <c r="F433" s="3" t="s">
        <v>15</v>
      </c>
      <c r="G433" s="3" t="s">
        <v>32</v>
      </c>
      <c r="H433" s="3" t="s">
        <v>28</v>
      </c>
      <c r="I433" s="3">
        <v>1</v>
      </c>
      <c r="J433" s="3">
        <v>24300</v>
      </c>
      <c r="K433" s="3">
        <v>27000</v>
      </c>
      <c r="L433" s="3">
        <v>6</v>
      </c>
      <c r="M433">
        <f>Table1[[#This Row],[Qty]]*Table1[[#This Row],[Sales Price]]</f>
        <v>162000</v>
      </c>
      <c r="N433">
        <f>Table1[[#This Row],[Qty]]*Table1[[#This Row],[Cost]]</f>
        <v>145800</v>
      </c>
      <c r="O433">
        <f>Table1[[#This Row],[Revenue]]-Table1[[#This Row],[Total Cost]]</f>
        <v>16200</v>
      </c>
    </row>
    <row r="434" spans="1:15" x14ac:dyDescent="0.55000000000000004">
      <c r="A434" s="3">
        <v>433</v>
      </c>
      <c r="B434" s="4">
        <v>45098</v>
      </c>
      <c r="C434" s="4" t="str">
        <f>TEXT(Table1[[#This Row],[Date]],"YYYY")</f>
        <v>2023</v>
      </c>
      <c r="D434" s="4" t="str">
        <f>TEXT(Table1[[#This Row],[Date]],"MMM")</f>
        <v>Jun</v>
      </c>
      <c r="E434" s="5" t="s">
        <v>54</v>
      </c>
      <c r="F434" s="3" t="s">
        <v>15</v>
      </c>
      <c r="G434" s="3" t="s">
        <v>42</v>
      </c>
      <c r="H434" s="3" t="s">
        <v>43</v>
      </c>
      <c r="I434" s="3">
        <v>1</v>
      </c>
      <c r="J434" s="3">
        <v>9180</v>
      </c>
      <c r="K434" s="3">
        <v>10200</v>
      </c>
      <c r="L434" s="3">
        <v>3</v>
      </c>
      <c r="M434">
        <f>Table1[[#This Row],[Qty]]*Table1[[#This Row],[Sales Price]]</f>
        <v>30600</v>
      </c>
      <c r="N434">
        <f>Table1[[#This Row],[Qty]]*Table1[[#This Row],[Cost]]</f>
        <v>27540</v>
      </c>
      <c r="O434">
        <f>Table1[[#This Row],[Revenue]]-Table1[[#This Row],[Total Cost]]</f>
        <v>3060</v>
      </c>
    </row>
    <row r="435" spans="1:15" ht="15.6" x14ac:dyDescent="0.55000000000000004">
      <c r="A435" s="3">
        <v>434</v>
      </c>
      <c r="B435" s="6">
        <v>44646</v>
      </c>
      <c r="C435" s="7" t="str">
        <f>TEXT(Table1[[#This Row],[Date]],"YYYY")</f>
        <v>2022</v>
      </c>
      <c r="D435" s="7" t="str">
        <f>TEXT(Table1[[#This Row],[Date]],"MMM")</f>
        <v>Mar</v>
      </c>
      <c r="E435" s="5" t="s">
        <v>63</v>
      </c>
      <c r="F435" s="3" t="s">
        <v>15</v>
      </c>
      <c r="G435" s="3" t="s">
        <v>44</v>
      </c>
      <c r="H435" s="3" t="s">
        <v>43</v>
      </c>
      <c r="I435" s="3">
        <v>1</v>
      </c>
      <c r="J435" s="3">
        <v>8640</v>
      </c>
      <c r="K435" s="3">
        <v>9600</v>
      </c>
      <c r="L435" s="3">
        <v>5</v>
      </c>
      <c r="M435">
        <f>Table1[[#This Row],[Qty]]*Table1[[#This Row],[Sales Price]]</f>
        <v>48000</v>
      </c>
      <c r="N435">
        <f>Table1[[#This Row],[Qty]]*Table1[[#This Row],[Cost]]</f>
        <v>43200</v>
      </c>
      <c r="O435">
        <f>Table1[[#This Row],[Revenue]]-Table1[[#This Row],[Total Cost]]</f>
        <v>4800</v>
      </c>
    </row>
    <row r="436" spans="1:15" ht="15.6" x14ac:dyDescent="0.55000000000000004">
      <c r="A436" s="3">
        <v>435</v>
      </c>
      <c r="B436" s="6">
        <v>44646</v>
      </c>
      <c r="C436" s="7" t="str">
        <f>TEXT(Table1[[#This Row],[Date]],"YYYY")</f>
        <v>2022</v>
      </c>
      <c r="D436" s="7" t="str">
        <f>TEXT(Table1[[#This Row],[Date]],"MMM")</f>
        <v>Mar</v>
      </c>
      <c r="E436" s="5" t="s">
        <v>40</v>
      </c>
      <c r="F436" s="3" t="s">
        <v>15</v>
      </c>
      <c r="G436" s="3" t="s">
        <v>45</v>
      </c>
      <c r="H436" s="3" t="s">
        <v>43</v>
      </c>
      <c r="I436" s="3">
        <v>1</v>
      </c>
      <c r="J436" s="3">
        <v>8280</v>
      </c>
      <c r="K436" s="3">
        <v>9200</v>
      </c>
      <c r="L436" s="3">
        <v>1</v>
      </c>
      <c r="M436">
        <f>Table1[[#This Row],[Qty]]*Table1[[#This Row],[Sales Price]]</f>
        <v>9200</v>
      </c>
      <c r="N436">
        <f>Table1[[#This Row],[Qty]]*Table1[[#This Row],[Cost]]</f>
        <v>8280</v>
      </c>
      <c r="O436">
        <f>Table1[[#This Row],[Revenue]]-Table1[[#This Row],[Total Cost]]</f>
        <v>920</v>
      </c>
    </row>
    <row r="437" spans="1:15" ht="15.6" x14ac:dyDescent="0.55000000000000004">
      <c r="A437" s="3">
        <v>436</v>
      </c>
      <c r="B437" s="6">
        <v>44646</v>
      </c>
      <c r="C437" s="7" t="str">
        <f>TEXT(Table1[[#This Row],[Date]],"YYYY")</f>
        <v>2022</v>
      </c>
      <c r="D437" s="7" t="str">
        <f>TEXT(Table1[[#This Row],[Date]],"MMM")</f>
        <v>Mar</v>
      </c>
      <c r="E437" s="5" t="s">
        <v>54</v>
      </c>
      <c r="F437" s="3" t="s">
        <v>15</v>
      </c>
      <c r="G437" s="3" t="s">
        <v>47</v>
      </c>
      <c r="H437" s="3" t="s">
        <v>43</v>
      </c>
      <c r="I437" s="3"/>
      <c r="J437" s="3">
        <v>4950</v>
      </c>
      <c r="K437" s="3">
        <v>5500</v>
      </c>
      <c r="L437" s="3">
        <v>5</v>
      </c>
      <c r="M437">
        <f>Table1[[#This Row],[Qty]]*Table1[[#This Row],[Sales Price]]</f>
        <v>27500</v>
      </c>
      <c r="N437">
        <f>Table1[[#This Row],[Qty]]*Table1[[#This Row],[Cost]]</f>
        <v>24750</v>
      </c>
      <c r="O437">
        <f>Table1[[#This Row],[Revenue]]-Table1[[#This Row],[Total Cost]]</f>
        <v>2750</v>
      </c>
    </row>
    <row r="438" spans="1:15" ht="15.6" x14ac:dyDescent="0.55000000000000004">
      <c r="A438" s="3">
        <v>437</v>
      </c>
      <c r="B438" s="6">
        <v>44646</v>
      </c>
      <c r="C438" s="7" t="str">
        <f>TEXT(Table1[[#This Row],[Date]],"YYYY")</f>
        <v>2022</v>
      </c>
      <c r="D438" s="7" t="str">
        <f>TEXT(Table1[[#This Row],[Date]],"MMM")</f>
        <v>Mar</v>
      </c>
      <c r="E438" s="5" t="s">
        <v>57</v>
      </c>
      <c r="F438" s="3" t="s">
        <v>15</v>
      </c>
      <c r="G438" s="3" t="s">
        <v>48</v>
      </c>
      <c r="H438" s="3" t="s">
        <v>43</v>
      </c>
      <c r="I438" s="3"/>
      <c r="J438" s="3">
        <v>3150</v>
      </c>
      <c r="K438" s="3">
        <v>3500</v>
      </c>
      <c r="L438" s="3">
        <v>7</v>
      </c>
      <c r="M438">
        <f>Table1[[#This Row],[Qty]]*Table1[[#This Row],[Sales Price]]</f>
        <v>24500</v>
      </c>
      <c r="N438">
        <f>Table1[[#This Row],[Qty]]*Table1[[#This Row],[Cost]]</f>
        <v>22050</v>
      </c>
      <c r="O438">
        <f>Table1[[#This Row],[Revenue]]-Table1[[#This Row],[Total Cost]]</f>
        <v>2450</v>
      </c>
    </row>
    <row r="439" spans="1:15" ht="15.6" x14ac:dyDescent="0.55000000000000004">
      <c r="A439" s="3">
        <v>438</v>
      </c>
      <c r="B439" s="6">
        <v>44646</v>
      </c>
      <c r="C439" s="7" t="str">
        <f>TEXT(Table1[[#This Row],[Date]],"YYYY")</f>
        <v>2022</v>
      </c>
      <c r="D439" s="7" t="str">
        <f>TEXT(Table1[[#This Row],[Date]],"MMM")</f>
        <v>Mar</v>
      </c>
      <c r="E439" s="5" t="s">
        <v>39</v>
      </c>
      <c r="F439" s="3" t="s">
        <v>15</v>
      </c>
      <c r="G439" s="3" t="s">
        <v>42</v>
      </c>
      <c r="H439" s="3" t="s">
        <v>43</v>
      </c>
      <c r="I439" s="3">
        <v>1</v>
      </c>
      <c r="J439" s="3">
        <v>2700</v>
      </c>
      <c r="K439" s="3">
        <v>3000</v>
      </c>
      <c r="L439" s="3">
        <v>4</v>
      </c>
      <c r="M439">
        <f>Table1[[#This Row],[Qty]]*Table1[[#This Row],[Sales Price]]</f>
        <v>12000</v>
      </c>
      <c r="N439">
        <f>Table1[[#This Row],[Qty]]*Table1[[#This Row],[Cost]]</f>
        <v>10800</v>
      </c>
      <c r="O439">
        <f>Table1[[#This Row],[Revenue]]-Table1[[#This Row],[Total Cost]]</f>
        <v>1200</v>
      </c>
    </row>
    <row r="440" spans="1:15" x14ac:dyDescent="0.55000000000000004">
      <c r="A440" s="3">
        <v>439</v>
      </c>
      <c r="B440" s="4">
        <v>45104</v>
      </c>
      <c r="C440" s="4" t="str">
        <f>TEXT(Table1[[#This Row],[Date]],"YYYY")</f>
        <v>2023</v>
      </c>
      <c r="D440" s="4" t="str">
        <f>TEXT(Table1[[#This Row],[Date]],"MMM")</f>
        <v>Jun</v>
      </c>
      <c r="E440" s="5" t="s">
        <v>39</v>
      </c>
      <c r="F440" s="3" t="s">
        <v>15</v>
      </c>
      <c r="G440" s="3" t="s">
        <v>44</v>
      </c>
      <c r="H440" s="3" t="s">
        <v>43</v>
      </c>
      <c r="I440" s="3">
        <v>1</v>
      </c>
      <c r="J440" s="3">
        <v>4050</v>
      </c>
      <c r="K440" s="3">
        <v>4500</v>
      </c>
      <c r="L440" s="3">
        <v>8</v>
      </c>
      <c r="M440">
        <f>Table1[[#This Row],[Qty]]*Table1[[#This Row],[Sales Price]]</f>
        <v>36000</v>
      </c>
      <c r="N440">
        <f>Table1[[#This Row],[Qty]]*Table1[[#This Row],[Cost]]</f>
        <v>32400</v>
      </c>
      <c r="O440">
        <f>Table1[[#This Row],[Revenue]]-Table1[[#This Row],[Total Cost]]</f>
        <v>3600</v>
      </c>
    </row>
    <row r="441" spans="1:15" x14ac:dyDescent="0.55000000000000004">
      <c r="A441" s="3">
        <v>440</v>
      </c>
      <c r="B441" s="4">
        <v>45105</v>
      </c>
      <c r="C441" s="4" t="str">
        <f>TEXT(Table1[[#This Row],[Date]],"YYYY")</f>
        <v>2023</v>
      </c>
      <c r="D441" s="4" t="str">
        <f>TEXT(Table1[[#This Row],[Date]],"MMM")</f>
        <v>Jun</v>
      </c>
      <c r="E441" s="5" t="s">
        <v>40</v>
      </c>
      <c r="F441" s="3" t="s">
        <v>15</v>
      </c>
      <c r="G441" s="3" t="s">
        <v>45</v>
      </c>
      <c r="H441" s="3" t="s">
        <v>43</v>
      </c>
      <c r="I441" s="3">
        <v>1</v>
      </c>
      <c r="J441" s="3">
        <v>53100</v>
      </c>
      <c r="K441" s="3">
        <v>59000</v>
      </c>
      <c r="L441" s="3">
        <v>8</v>
      </c>
      <c r="M441">
        <f>Table1[[#This Row],[Qty]]*Table1[[#This Row],[Sales Price]]</f>
        <v>472000</v>
      </c>
      <c r="N441">
        <f>Table1[[#This Row],[Qty]]*Table1[[#This Row],[Cost]]</f>
        <v>424800</v>
      </c>
      <c r="O441">
        <f>Table1[[#This Row],[Revenue]]-Table1[[#This Row],[Total Cost]]</f>
        <v>47200</v>
      </c>
    </row>
    <row r="442" spans="1:15" x14ac:dyDescent="0.55000000000000004">
      <c r="A442" s="3">
        <v>441</v>
      </c>
      <c r="B442" s="4">
        <v>45106</v>
      </c>
      <c r="C442" s="4" t="str">
        <f>TEXT(Table1[[#This Row],[Date]],"YYYY")</f>
        <v>2023</v>
      </c>
      <c r="D442" s="4" t="str">
        <f>TEXT(Table1[[#This Row],[Date]],"MMM")</f>
        <v>Jun</v>
      </c>
      <c r="E442" s="5" t="s">
        <v>39</v>
      </c>
      <c r="F442" s="3" t="s">
        <v>15</v>
      </c>
      <c r="G442" s="3" t="s">
        <v>47</v>
      </c>
      <c r="H442" s="3" t="s">
        <v>43</v>
      </c>
      <c r="I442" s="3">
        <v>0</v>
      </c>
      <c r="J442" s="3">
        <v>88200</v>
      </c>
      <c r="K442" s="3">
        <v>98000</v>
      </c>
      <c r="L442" s="3">
        <v>9</v>
      </c>
      <c r="M442">
        <f>Table1[[#This Row],[Qty]]*Table1[[#This Row],[Sales Price]]</f>
        <v>882000</v>
      </c>
      <c r="N442">
        <f>Table1[[#This Row],[Qty]]*Table1[[#This Row],[Cost]]</f>
        <v>793800</v>
      </c>
      <c r="O442">
        <f>Table1[[#This Row],[Revenue]]-Table1[[#This Row],[Total Cost]]</f>
        <v>88200</v>
      </c>
    </row>
    <row r="443" spans="1:15" x14ac:dyDescent="0.55000000000000004">
      <c r="A443" s="3">
        <v>442</v>
      </c>
      <c r="B443" s="4">
        <v>45107</v>
      </c>
      <c r="C443" s="4" t="str">
        <f>TEXT(Table1[[#This Row],[Date]],"YYYY")</f>
        <v>2023</v>
      </c>
      <c r="D443" s="4" t="str">
        <f>TEXT(Table1[[#This Row],[Date]],"MMM")</f>
        <v>Jun</v>
      </c>
      <c r="E443" s="5" t="s">
        <v>14</v>
      </c>
      <c r="F443" s="3" t="s">
        <v>15</v>
      </c>
      <c r="G443" s="3" t="s">
        <v>48</v>
      </c>
      <c r="H443" s="3" t="s">
        <v>43</v>
      </c>
      <c r="I443" s="3">
        <v>1</v>
      </c>
      <c r="J443" s="3">
        <v>38250</v>
      </c>
      <c r="K443" s="3">
        <v>42500</v>
      </c>
      <c r="L443" s="3">
        <v>2</v>
      </c>
      <c r="M443">
        <f>Table1[[#This Row],[Qty]]*Table1[[#This Row],[Sales Price]]</f>
        <v>85000</v>
      </c>
      <c r="N443">
        <f>Table1[[#This Row],[Qty]]*Table1[[#This Row],[Cost]]</f>
        <v>76500</v>
      </c>
      <c r="O443">
        <f>Table1[[#This Row],[Revenue]]-Table1[[#This Row],[Total Cost]]</f>
        <v>8500</v>
      </c>
    </row>
    <row r="444" spans="1:15" ht="15.6" x14ac:dyDescent="0.55000000000000004">
      <c r="A444" s="3">
        <v>443</v>
      </c>
      <c r="B444" s="6">
        <v>44587</v>
      </c>
      <c r="C444" s="7" t="str">
        <f>TEXT(Table1[[#This Row],[Date]],"YYYY")</f>
        <v>2022</v>
      </c>
      <c r="D444" s="7" t="str">
        <f>TEXT(Table1[[#This Row],[Date]],"MMM")</f>
        <v>Jan</v>
      </c>
      <c r="E444" s="5" t="s">
        <v>31</v>
      </c>
      <c r="F444" s="3" t="s">
        <v>15</v>
      </c>
      <c r="G444" s="3" t="s">
        <v>48</v>
      </c>
      <c r="H444" s="3" t="s">
        <v>43</v>
      </c>
      <c r="I444" s="3">
        <v>0</v>
      </c>
      <c r="J444" s="3">
        <v>2700</v>
      </c>
      <c r="K444" s="3">
        <v>3000</v>
      </c>
      <c r="L444" s="3">
        <v>1</v>
      </c>
      <c r="M444">
        <f>Table1[[#This Row],[Qty]]*Table1[[#This Row],[Sales Price]]</f>
        <v>3000</v>
      </c>
      <c r="N444">
        <f>Table1[[#This Row],[Qty]]*Table1[[#This Row],[Cost]]</f>
        <v>2700</v>
      </c>
      <c r="O444">
        <f>Table1[[#This Row],[Revenue]]-Table1[[#This Row],[Total Cost]]</f>
        <v>300</v>
      </c>
    </row>
    <row r="445" spans="1:15" x14ac:dyDescent="0.55000000000000004">
      <c r="A445" s="3">
        <v>444</v>
      </c>
      <c r="B445" s="4">
        <v>45109</v>
      </c>
      <c r="C445" s="4" t="str">
        <f>TEXT(Table1[[#This Row],[Date]],"YYYY")</f>
        <v>2023</v>
      </c>
      <c r="D445" s="4" t="str">
        <f>TEXT(Table1[[#This Row],[Date]],"MMM")</f>
        <v>Jul</v>
      </c>
      <c r="E445" s="5" t="s">
        <v>14</v>
      </c>
      <c r="F445" s="3" t="s">
        <v>15</v>
      </c>
      <c r="G445" s="3" t="s">
        <v>42</v>
      </c>
      <c r="H445" s="3" t="s">
        <v>43</v>
      </c>
      <c r="I445" s="3"/>
      <c r="J445" s="3">
        <v>23850</v>
      </c>
      <c r="K445" s="3">
        <v>26500</v>
      </c>
      <c r="L445" s="3">
        <v>22</v>
      </c>
      <c r="M445">
        <f>Table1[[#This Row],[Qty]]*Table1[[#This Row],[Sales Price]]</f>
        <v>583000</v>
      </c>
      <c r="N445">
        <f>Table1[[#This Row],[Qty]]*Table1[[#This Row],[Cost]]</f>
        <v>524700</v>
      </c>
      <c r="O445">
        <f>Table1[[#This Row],[Revenue]]-Table1[[#This Row],[Total Cost]]</f>
        <v>58300</v>
      </c>
    </row>
    <row r="446" spans="1:15" x14ac:dyDescent="0.55000000000000004">
      <c r="A446" s="3">
        <v>445</v>
      </c>
      <c r="B446" s="4">
        <v>45110</v>
      </c>
      <c r="C446" s="4" t="str">
        <f>TEXT(Table1[[#This Row],[Date]],"YYYY")</f>
        <v>2023</v>
      </c>
      <c r="D446" s="4" t="str">
        <f>TEXT(Table1[[#This Row],[Date]],"MMM")</f>
        <v>Jul</v>
      </c>
      <c r="E446" s="5" t="s">
        <v>31</v>
      </c>
      <c r="F446" s="3" t="s">
        <v>15</v>
      </c>
      <c r="G446" s="3" t="s">
        <v>16</v>
      </c>
      <c r="H446" s="3" t="s">
        <v>17</v>
      </c>
      <c r="I446" s="3"/>
      <c r="J446" s="3">
        <v>24750</v>
      </c>
      <c r="K446" s="3">
        <v>27500</v>
      </c>
      <c r="L446" s="3">
        <v>8</v>
      </c>
      <c r="M446">
        <f>Table1[[#This Row],[Qty]]*Table1[[#This Row],[Sales Price]]</f>
        <v>220000</v>
      </c>
      <c r="N446">
        <f>Table1[[#This Row],[Qty]]*Table1[[#This Row],[Cost]]</f>
        <v>198000</v>
      </c>
      <c r="O446">
        <f>Table1[[#This Row],[Revenue]]-Table1[[#This Row],[Total Cost]]</f>
        <v>22000</v>
      </c>
    </row>
    <row r="447" spans="1:15" x14ac:dyDescent="0.55000000000000004">
      <c r="A447" s="3">
        <v>446</v>
      </c>
      <c r="B447" s="4">
        <v>45111</v>
      </c>
      <c r="C447" s="4" t="str">
        <f>TEXT(Table1[[#This Row],[Date]],"YYYY")</f>
        <v>2023</v>
      </c>
      <c r="D447" s="4" t="str">
        <f>TEXT(Table1[[#This Row],[Date]],"MMM")</f>
        <v>Jul</v>
      </c>
      <c r="E447" s="5" t="s">
        <v>51</v>
      </c>
      <c r="F447" s="3" t="s">
        <v>15</v>
      </c>
      <c r="G447" s="3" t="s">
        <v>19</v>
      </c>
      <c r="H447" s="3" t="s">
        <v>17</v>
      </c>
      <c r="I447" s="3"/>
      <c r="J447" s="3">
        <v>44550</v>
      </c>
      <c r="K447" s="3">
        <v>49500</v>
      </c>
      <c r="L447" s="3">
        <v>7</v>
      </c>
      <c r="M447">
        <f>Table1[[#This Row],[Qty]]*Table1[[#This Row],[Sales Price]]</f>
        <v>346500</v>
      </c>
      <c r="N447">
        <f>Table1[[#This Row],[Qty]]*Table1[[#This Row],[Cost]]</f>
        <v>311850</v>
      </c>
      <c r="O447">
        <f>Table1[[#This Row],[Revenue]]-Table1[[#This Row],[Total Cost]]</f>
        <v>34650</v>
      </c>
    </row>
    <row r="448" spans="1:15" x14ac:dyDescent="0.55000000000000004">
      <c r="A448" s="3">
        <v>447</v>
      </c>
      <c r="B448" s="4">
        <v>45112</v>
      </c>
      <c r="C448" s="4" t="str">
        <f>TEXT(Table1[[#This Row],[Date]],"YYYY")</f>
        <v>2023</v>
      </c>
      <c r="D448" s="4" t="str">
        <f>TEXT(Table1[[#This Row],[Date]],"MMM")</f>
        <v>Jul</v>
      </c>
      <c r="E448" s="5" t="s">
        <v>39</v>
      </c>
      <c r="F448" s="3" t="s">
        <v>15</v>
      </c>
      <c r="G448" s="3" t="s">
        <v>21</v>
      </c>
      <c r="H448" s="3" t="s">
        <v>17</v>
      </c>
      <c r="I448" s="3">
        <v>1</v>
      </c>
      <c r="J448" s="3">
        <v>9000</v>
      </c>
      <c r="K448" s="3">
        <v>10000</v>
      </c>
      <c r="L448" s="3">
        <v>56</v>
      </c>
      <c r="M448">
        <f>Table1[[#This Row],[Qty]]*Table1[[#This Row],[Sales Price]]</f>
        <v>560000</v>
      </c>
      <c r="N448">
        <f>Table1[[#This Row],[Qty]]*Table1[[#This Row],[Cost]]</f>
        <v>504000</v>
      </c>
      <c r="O448">
        <f>Table1[[#This Row],[Revenue]]-Table1[[#This Row],[Total Cost]]</f>
        <v>56000</v>
      </c>
    </row>
    <row r="449" spans="1:15" x14ac:dyDescent="0.55000000000000004">
      <c r="A449" s="3">
        <v>448</v>
      </c>
      <c r="B449" s="4">
        <v>45113</v>
      </c>
      <c r="C449" s="4" t="str">
        <f>TEXT(Table1[[#This Row],[Date]],"YYYY")</f>
        <v>2023</v>
      </c>
      <c r="D449" s="4" t="str">
        <f>TEXT(Table1[[#This Row],[Date]],"MMM")</f>
        <v>Jul</v>
      </c>
      <c r="E449" s="5" t="s">
        <v>39</v>
      </c>
      <c r="F449" s="3" t="s">
        <v>18</v>
      </c>
      <c r="G449" s="3" t="s">
        <v>23</v>
      </c>
      <c r="H449" s="3" t="s">
        <v>17</v>
      </c>
      <c r="I449" s="3">
        <v>1</v>
      </c>
      <c r="J449" s="3">
        <v>8640</v>
      </c>
      <c r="K449" s="3">
        <v>9600</v>
      </c>
      <c r="L449" s="3">
        <v>10</v>
      </c>
      <c r="M449">
        <f>Table1[[#This Row],[Qty]]*Table1[[#This Row],[Sales Price]]</f>
        <v>96000</v>
      </c>
      <c r="N449">
        <f>Table1[[#This Row],[Qty]]*Table1[[#This Row],[Cost]]</f>
        <v>86400</v>
      </c>
      <c r="O449">
        <f>Table1[[#This Row],[Revenue]]-Table1[[#This Row],[Total Cost]]</f>
        <v>9600</v>
      </c>
    </row>
    <row r="450" spans="1:15" x14ac:dyDescent="0.55000000000000004">
      <c r="A450" s="3">
        <v>449</v>
      </c>
      <c r="B450" s="4">
        <v>45114</v>
      </c>
      <c r="C450" s="4" t="str">
        <f>TEXT(Table1[[#This Row],[Date]],"YYYY")</f>
        <v>2023</v>
      </c>
      <c r="D450" s="4" t="str">
        <f>TEXT(Table1[[#This Row],[Date]],"MMM")</f>
        <v>Jul</v>
      </c>
      <c r="E450" s="5" t="s">
        <v>50</v>
      </c>
      <c r="F450" s="3" t="s">
        <v>15</v>
      </c>
      <c r="G450" s="3" t="s">
        <v>25</v>
      </c>
      <c r="H450" s="3" t="s">
        <v>17</v>
      </c>
      <c r="I450" s="3">
        <v>0</v>
      </c>
      <c r="J450" s="3">
        <v>9000</v>
      </c>
      <c r="K450" s="3">
        <v>10000</v>
      </c>
      <c r="L450" s="3">
        <v>9</v>
      </c>
      <c r="M450">
        <f>Table1[[#This Row],[Qty]]*Table1[[#This Row],[Sales Price]]</f>
        <v>90000</v>
      </c>
      <c r="N450">
        <f>Table1[[#This Row],[Qty]]*Table1[[#This Row],[Cost]]</f>
        <v>81000</v>
      </c>
      <c r="O450">
        <f>Table1[[#This Row],[Revenue]]-Table1[[#This Row],[Total Cost]]</f>
        <v>9000</v>
      </c>
    </row>
    <row r="451" spans="1:15" x14ac:dyDescent="0.55000000000000004">
      <c r="A451" s="3">
        <v>450</v>
      </c>
      <c r="B451" s="4">
        <v>44646</v>
      </c>
      <c r="C451" s="4" t="str">
        <f>TEXT(Table1[[#This Row],[Date]],"YYYY")</f>
        <v>2022</v>
      </c>
      <c r="D451" s="4" t="str">
        <f>TEXT(Table1[[#This Row],[Date]],"MMM")</f>
        <v>Mar</v>
      </c>
      <c r="E451" s="5" t="s">
        <v>22</v>
      </c>
      <c r="F451" s="3" t="s">
        <v>61</v>
      </c>
      <c r="G451" s="3" t="s">
        <v>26</v>
      </c>
      <c r="H451" s="3" t="s">
        <v>17</v>
      </c>
      <c r="I451" s="3">
        <v>1</v>
      </c>
      <c r="J451" s="3">
        <v>3870</v>
      </c>
      <c r="K451" s="3">
        <v>4300</v>
      </c>
      <c r="L451" s="3">
        <v>27</v>
      </c>
      <c r="M451">
        <f>Table1[[#This Row],[Qty]]*Table1[[#This Row],[Sales Price]]</f>
        <v>116100</v>
      </c>
      <c r="N451">
        <f>Table1[[#This Row],[Qty]]*Table1[[#This Row],[Cost]]</f>
        <v>104490</v>
      </c>
      <c r="O451">
        <f>Table1[[#This Row],[Revenue]]-Table1[[#This Row],[Total Cost]]</f>
        <v>11610</v>
      </c>
    </row>
    <row r="452" spans="1:15" x14ac:dyDescent="0.55000000000000004">
      <c r="A452" s="3">
        <v>451</v>
      </c>
      <c r="B452" s="4">
        <v>44646</v>
      </c>
      <c r="C452" s="4" t="str">
        <f>TEXT(Table1[[#This Row],[Date]],"YYYY")</f>
        <v>2022</v>
      </c>
      <c r="D452" s="4" t="str">
        <f>TEXT(Table1[[#This Row],[Date]],"MMM")</f>
        <v>Mar</v>
      </c>
      <c r="E452" s="5" t="s">
        <v>51</v>
      </c>
      <c r="F452" s="3" t="s">
        <v>18</v>
      </c>
      <c r="G452" s="3" t="s">
        <v>27</v>
      </c>
      <c r="H452" s="3" t="s">
        <v>28</v>
      </c>
      <c r="I452" s="3">
        <v>1</v>
      </c>
      <c r="J452" s="3">
        <v>45450</v>
      </c>
      <c r="K452" s="3">
        <v>50500</v>
      </c>
      <c r="L452" s="3">
        <v>15</v>
      </c>
      <c r="M452">
        <f>Table1[[#This Row],[Qty]]*Table1[[#This Row],[Sales Price]]</f>
        <v>757500</v>
      </c>
      <c r="N452">
        <f>Table1[[#This Row],[Qty]]*Table1[[#This Row],[Cost]]</f>
        <v>681750</v>
      </c>
      <c r="O452">
        <f>Table1[[#This Row],[Revenue]]-Table1[[#This Row],[Total Cost]]</f>
        <v>75750</v>
      </c>
    </row>
    <row r="453" spans="1:15" x14ac:dyDescent="0.55000000000000004">
      <c r="A453" s="3">
        <v>452</v>
      </c>
      <c r="B453" s="4">
        <v>44646</v>
      </c>
      <c r="C453" s="4" t="str">
        <f>TEXT(Table1[[#This Row],[Date]],"YYYY")</f>
        <v>2022</v>
      </c>
      <c r="D453" s="4" t="str">
        <f>TEXT(Table1[[#This Row],[Date]],"MMM")</f>
        <v>Mar</v>
      </c>
      <c r="E453" s="5" t="s">
        <v>56</v>
      </c>
      <c r="F453" s="3" t="s">
        <v>15</v>
      </c>
      <c r="G453" s="3" t="s">
        <v>30</v>
      </c>
      <c r="H453" s="3" t="s">
        <v>28</v>
      </c>
      <c r="I453" s="3">
        <v>1</v>
      </c>
      <c r="J453" s="3">
        <v>18225</v>
      </c>
      <c r="K453" s="3">
        <v>20250</v>
      </c>
      <c r="L453" s="3">
        <v>3</v>
      </c>
      <c r="M453">
        <f>Table1[[#This Row],[Qty]]*Table1[[#This Row],[Sales Price]]</f>
        <v>60750</v>
      </c>
      <c r="N453">
        <f>Table1[[#This Row],[Qty]]*Table1[[#This Row],[Cost]]</f>
        <v>54675</v>
      </c>
      <c r="O453">
        <f>Table1[[#This Row],[Revenue]]-Table1[[#This Row],[Total Cost]]</f>
        <v>6075</v>
      </c>
    </row>
    <row r="454" spans="1:15" x14ac:dyDescent="0.55000000000000004">
      <c r="A454" s="3">
        <v>453</v>
      </c>
      <c r="B454" s="4">
        <v>44646</v>
      </c>
      <c r="C454" s="4" t="str">
        <f>TEXT(Table1[[#This Row],[Date]],"YYYY")</f>
        <v>2022</v>
      </c>
      <c r="D454" s="4" t="str">
        <f>TEXT(Table1[[#This Row],[Date]],"MMM")</f>
        <v>Mar</v>
      </c>
      <c r="E454" s="5" t="s">
        <v>55</v>
      </c>
      <c r="F454" s="3" t="s">
        <v>61</v>
      </c>
      <c r="G454" s="3" t="s">
        <v>32</v>
      </c>
      <c r="H454" s="3" t="s">
        <v>28</v>
      </c>
      <c r="I454" s="3">
        <v>1</v>
      </c>
      <c r="J454" s="3">
        <v>1800</v>
      </c>
      <c r="K454" s="3">
        <v>2000</v>
      </c>
      <c r="L454" s="3">
        <v>9</v>
      </c>
      <c r="M454">
        <f>Table1[[#This Row],[Qty]]*Table1[[#This Row],[Sales Price]]</f>
        <v>18000</v>
      </c>
      <c r="N454">
        <f>Table1[[#This Row],[Qty]]*Table1[[#This Row],[Cost]]</f>
        <v>16200</v>
      </c>
      <c r="O454">
        <f>Table1[[#This Row],[Revenue]]-Table1[[#This Row],[Total Cost]]</f>
        <v>1800</v>
      </c>
    </row>
    <row r="455" spans="1:15" x14ac:dyDescent="0.55000000000000004">
      <c r="A455" s="3">
        <v>454</v>
      </c>
      <c r="B455" s="4">
        <v>44646</v>
      </c>
      <c r="C455" s="4" t="str">
        <f>TEXT(Table1[[#This Row],[Date]],"YYYY")</f>
        <v>2022</v>
      </c>
      <c r="D455" s="4" t="str">
        <f>TEXT(Table1[[#This Row],[Date]],"MMM")</f>
        <v>Mar</v>
      </c>
      <c r="E455" s="5" t="s">
        <v>46</v>
      </c>
      <c r="F455" s="3" t="s">
        <v>18</v>
      </c>
      <c r="G455" s="3" t="s">
        <v>34</v>
      </c>
      <c r="H455" s="3" t="s">
        <v>28</v>
      </c>
      <c r="I455" s="3"/>
      <c r="J455" s="3">
        <v>48600</v>
      </c>
      <c r="K455" s="3">
        <v>54000</v>
      </c>
      <c r="L455" s="3">
        <v>22</v>
      </c>
      <c r="M455">
        <f>Table1[[#This Row],[Qty]]*Table1[[#This Row],[Sales Price]]</f>
        <v>1188000</v>
      </c>
      <c r="N455">
        <f>Table1[[#This Row],[Qty]]*Table1[[#This Row],[Cost]]</f>
        <v>1069200</v>
      </c>
      <c r="O455">
        <f>Table1[[#This Row],[Revenue]]-Table1[[#This Row],[Total Cost]]</f>
        <v>118800</v>
      </c>
    </row>
    <row r="456" spans="1:15" ht="15.6" x14ac:dyDescent="0.55000000000000004">
      <c r="A456" s="3">
        <v>455</v>
      </c>
      <c r="B456" s="6">
        <v>44646</v>
      </c>
      <c r="C456" s="7" t="str">
        <f>TEXT(Table1[[#This Row],[Date]],"YYYY")</f>
        <v>2022</v>
      </c>
      <c r="D456" s="7" t="str">
        <f>TEXT(Table1[[#This Row],[Date]],"MMM")</f>
        <v>Mar</v>
      </c>
      <c r="E456" s="5" t="s">
        <v>39</v>
      </c>
      <c r="F456" s="3" t="s">
        <v>15</v>
      </c>
      <c r="G456" s="3" t="s">
        <v>36</v>
      </c>
      <c r="H456" s="3" t="s">
        <v>17</v>
      </c>
      <c r="I456" s="3"/>
      <c r="J456" s="3">
        <v>72900</v>
      </c>
      <c r="K456" s="3">
        <v>81000</v>
      </c>
      <c r="L456" s="3">
        <v>16</v>
      </c>
      <c r="M456">
        <f>Table1[[#This Row],[Qty]]*Table1[[#This Row],[Sales Price]]</f>
        <v>1296000</v>
      </c>
      <c r="N456">
        <f>Table1[[#This Row],[Qty]]*Table1[[#This Row],[Cost]]</f>
        <v>1166400</v>
      </c>
      <c r="O456">
        <f>Table1[[#This Row],[Revenue]]-Table1[[#This Row],[Total Cost]]</f>
        <v>129600</v>
      </c>
    </row>
    <row r="457" spans="1:15" x14ac:dyDescent="0.55000000000000004">
      <c r="A457" s="3">
        <v>456</v>
      </c>
      <c r="B457" s="4">
        <v>45121</v>
      </c>
      <c r="C457" s="4" t="str">
        <f>TEXT(Table1[[#This Row],[Date]],"YYYY")</f>
        <v>2023</v>
      </c>
      <c r="D457" s="4" t="str">
        <f>TEXT(Table1[[#This Row],[Date]],"MMM")</f>
        <v>Jul</v>
      </c>
      <c r="E457" s="5" t="s">
        <v>57</v>
      </c>
      <c r="F457" s="3" t="s">
        <v>61</v>
      </c>
      <c r="G457" s="3" t="s">
        <v>37</v>
      </c>
      <c r="H457" s="3" t="s">
        <v>17</v>
      </c>
      <c r="I457" s="3">
        <v>1</v>
      </c>
      <c r="J457" s="3">
        <v>9450</v>
      </c>
      <c r="K457" s="3">
        <v>10500</v>
      </c>
      <c r="L457" s="3">
        <v>6</v>
      </c>
      <c r="M457">
        <f>Table1[[#This Row],[Qty]]*Table1[[#This Row],[Sales Price]]</f>
        <v>63000</v>
      </c>
      <c r="N457">
        <f>Table1[[#This Row],[Qty]]*Table1[[#This Row],[Cost]]</f>
        <v>56700</v>
      </c>
      <c r="O457">
        <f>Table1[[#This Row],[Revenue]]-Table1[[#This Row],[Total Cost]]</f>
        <v>6300</v>
      </c>
    </row>
    <row r="458" spans="1:15" x14ac:dyDescent="0.55000000000000004">
      <c r="A458" s="3">
        <v>457</v>
      </c>
      <c r="B458" s="4">
        <v>45122</v>
      </c>
      <c r="C458" s="4" t="str">
        <f>TEXT(Table1[[#This Row],[Date]],"YYYY")</f>
        <v>2023</v>
      </c>
      <c r="D458" s="4" t="str">
        <f>TEXT(Table1[[#This Row],[Date]],"MMM")</f>
        <v>Jul</v>
      </c>
      <c r="E458" s="5" t="s">
        <v>31</v>
      </c>
      <c r="F458" s="3" t="s">
        <v>18</v>
      </c>
      <c r="G458" s="3" t="s">
        <v>38</v>
      </c>
      <c r="H458" s="3" t="s">
        <v>17</v>
      </c>
      <c r="I458" s="3">
        <v>1</v>
      </c>
      <c r="J458" s="3">
        <v>36000</v>
      </c>
      <c r="K458" s="3">
        <v>40000</v>
      </c>
      <c r="L458" s="3">
        <v>3</v>
      </c>
      <c r="M458">
        <f>Table1[[#This Row],[Qty]]*Table1[[#This Row],[Sales Price]]</f>
        <v>120000</v>
      </c>
      <c r="N458">
        <f>Table1[[#This Row],[Qty]]*Table1[[#This Row],[Cost]]</f>
        <v>108000</v>
      </c>
      <c r="O458">
        <f>Table1[[#This Row],[Revenue]]-Table1[[#This Row],[Total Cost]]</f>
        <v>12000</v>
      </c>
    </row>
    <row r="459" spans="1:15" x14ac:dyDescent="0.55000000000000004">
      <c r="A459" s="3">
        <v>458</v>
      </c>
      <c r="B459" s="4">
        <v>45123</v>
      </c>
      <c r="C459" s="4" t="str">
        <f>TEXT(Table1[[#This Row],[Date]],"YYYY")</f>
        <v>2023</v>
      </c>
      <c r="D459" s="4" t="str">
        <f>TEXT(Table1[[#This Row],[Date]],"MMM")</f>
        <v>Jul</v>
      </c>
      <c r="E459" s="5" t="s">
        <v>50</v>
      </c>
      <c r="F459" s="3" t="s">
        <v>15</v>
      </c>
      <c r="G459" s="3" t="s">
        <v>19</v>
      </c>
      <c r="H459" s="3" t="s">
        <v>17</v>
      </c>
      <c r="I459" s="3">
        <v>1</v>
      </c>
      <c r="J459" s="3">
        <v>24300</v>
      </c>
      <c r="K459" s="3">
        <v>27000</v>
      </c>
      <c r="L459" s="3">
        <v>5</v>
      </c>
      <c r="M459">
        <f>Table1[[#This Row],[Qty]]*Table1[[#This Row],[Sales Price]]</f>
        <v>135000</v>
      </c>
      <c r="N459">
        <f>Table1[[#This Row],[Qty]]*Table1[[#This Row],[Cost]]</f>
        <v>121500</v>
      </c>
      <c r="O459">
        <f>Table1[[#This Row],[Revenue]]-Table1[[#This Row],[Total Cost]]</f>
        <v>13500</v>
      </c>
    </row>
    <row r="460" spans="1:15" x14ac:dyDescent="0.55000000000000004">
      <c r="A460" s="3">
        <v>459</v>
      </c>
      <c r="B460" s="4">
        <v>45124</v>
      </c>
      <c r="C460" s="4" t="str">
        <f>TEXT(Table1[[#This Row],[Date]],"YYYY")</f>
        <v>2023</v>
      </c>
      <c r="D460" s="4" t="str">
        <f>TEXT(Table1[[#This Row],[Date]],"MMM")</f>
        <v>Jul</v>
      </c>
      <c r="E460" s="5" t="s">
        <v>56</v>
      </c>
      <c r="F460" s="3" t="s">
        <v>61</v>
      </c>
      <c r="G460" s="3" t="s">
        <v>21</v>
      </c>
      <c r="H460" s="3" t="s">
        <v>17</v>
      </c>
      <c r="I460" s="3">
        <v>1</v>
      </c>
      <c r="J460" s="3">
        <v>9180</v>
      </c>
      <c r="K460" s="3">
        <v>10200</v>
      </c>
      <c r="L460" s="3">
        <v>1</v>
      </c>
      <c r="M460">
        <f>Table1[[#This Row],[Qty]]*Table1[[#This Row],[Sales Price]]</f>
        <v>10200</v>
      </c>
      <c r="N460">
        <f>Table1[[#This Row],[Qty]]*Table1[[#This Row],[Cost]]</f>
        <v>9180</v>
      </c>
      <c r="O460">
        <f>Table1[[#This Row],[Revenue]]-Table1[[#This Row],[Total Cost]]</f>
        <v>1020</v>
      </c>
    </row>
    <row r="461" spans="1:15" x14ac:dyDescent="0.55000000000000004">
      <c r="A461" s="3">
        <v>460</v>
      </c>
      <c r="B461" s="4">
        <v>45125</v>
      </c>
      <c r="C461" s="4" t="str">
        <f>TEXT(Table1[[#This Row],[Date]],"YYYY")</f>
        <v>2023</v>
      </c>
      <c r="D461" s="4" t="str">
        <f>TEXT(Table1[[#This Row],[Date]],"MMM")</f>
        <v>Jul</v>
      </c>
      <c r="E461" s="5" t="s">
        <v>39</v>
      </c>
      <c r="F461" s="3" t="s">
        <v>18</v>
      </c>
      <c r="G461" s="3" t="s">
        <v>23</v>
      </c>
      <c r="H461" s="3" t="s">
        <v>17</v>
      </c>
      <c r="I461" s="3">
        <v>1</v>
      </c>
      <c r="J461" s="3">
        <v>8640</v>
      </c>
      <c r="K461" s="3">
        <v>9600</v>
      </c>
      <c r="L461" s="3">
        <v>5</v>
      </c>
      <c r="M461">
        <f>Table1[[#This Row],[Qty]]*Table1[[#This Row],[Sales Price]]</f>
        <v>48000</v>
      </c>
      <c r="N461">
        <f>Table1[[#This Row],[Qty]]*Table1[[#This Row],[Cost]]</f>
        <v>43200</v>
      </c>
      <c r="O461">
        <f>Table1[[#This Row],[Revenue]]-Table1[[#This Row],[Total Cost]]</f>
        <v>4800</v>
      </c>
    </row>
    <row r="462" spans="1:15" x14ac:dyDescent="0.55000000000000004">
      <c r="A462" s="3">
        <v>461</v>
      </c>
      <c r="B462" s="4">
        <v>45126</v>
      </c>
      <c r="C462" s="4" t="str">
        <f>TEXT(Table1[[#This Row],[Date]],"YYYY")</f>
        <v>2023</v>
      </c>
      <c r="D462" s="4" t="str">
        <f>TEXT(Table1[[#This Row],[Date]],"MMM")</f>
        <v>Jul</v>
      </c>
      <c r="E462" s="5" t="s">
        <v>33</v>
      </c>
      <c r="F462" s="3" t="s">
        <v>15</v>
      </c>
      <c r="G462" s="3" t="s">
        <v>25</v>
      </c>
      <c r="H462" s="3" t="s">
        <v>17</v>
      </c>
      <c r="I462" s="3">
        <v>1</v>
      </c>
      <c r="J462" s="3">
        <v>8280</v>
      </c>
      <c r="K462" s="3">
        <v>9200</v>
      </c>
      <c r="L462" s="3">
        <v>7</v>
      </c>
      <c r="M462">
        <f>Table1[[#This Row],[Qty]]*Table1[[#This Row],[Sales Price]]</f>
        <v>64400</v>
      </c>
      <c r="N462">
        <f>Table1[[#This Row],[Qty]]*Table1[[#This Row],[Cost]]</f>
        <v>57960</v>
      </c>
      <c r="O462">
        <f>Table1[[#This Row],[Revenue]]-Table1[[#This Row],[Total Cost]]</f>
        <v>6440</v>
      </c>
    </row>
    <row r="463" spans="1:15" x14ac:dyDescent="0.55000000000000004">
      <c r="A463" s="3">
        <v>462</v>
      </c>
      <c r="B463" s="4">
        <v>45127</v>
      </c>
      <c r="C463" s="4" t="str">
        <f>TEXT(Table1[[#This Row],[Date]],"YYYY")</f>
        <v>2023</v>
      </c>
      <c r="D463" s="4" t="str">
        <f>TEXT(Table1[[#This Row],[Date]],"MMM")</f>
        <v>Jul</v>
      </c>
      <c r="E463" s="5" t="s">
        <v>33</v>
      </c>
      <c r="F463" s="3" t="s">
        <v>61</v>
      </c>
      <c r="G463" s="3" t="s">
        <v>26</v>
      </c>
      <c r="H463" s="3" t="s">
        <v>17</v>
      </c>
      <c r="I463" s="3"/>
      <c r="J463" s="3">
        <v>4950</v>
      </c>
      <c r="K463" s="3">
        <v>5500</v>
      </c>
      <c r="L463" s="3">
        <v>4</v>
      </c>
      <c r="M463">
        <f>Table1[[#This Row],[Qty]]*Table1[[#This Row],[Sales Price]]</f>
        <v>22000</v>
      </c>
      <c r="N463">
        <f>Table1[[#This Row],[Qty]]*Table1[[#This Row],[Cost]]</f>
        <v>19800</v>
      </c>
      <c r="O463">
        <f>Table1[[#This Row],[Revenue]]-Table1[[#This Row],[Total Cost]]</f>
        <v>2200</v>
      </c>
    </row>
    <row r="464" spans="1:15" x14ac:dyDescent="0.55000000000000004">
      <c r="A464" s="3">
        <v>463</v>
      </c>
      <c r="B464" s="4">
        <v>45128</v>
      </c>
      <c r="C464" s="4" t="str">
        <f>TEXT(Table1[[#This Row],[Date]],"YYYY")</f>
        <v>2023</v>
      </c>
      <c r="D464" s="4" t="str">
        <f>TEXT(Table1[[#This Row],[Date]],"MMM")</f>
        <v>Jul</v>
      </c>
      <c r="E464" s="5" t="s">
        <v>39</v>
      </c>
      <c r="F464" s="3" t="s">
        <v>18</v>
      </c>
      <c r="G464" s="3" t="s">
        <v>37</v>
      </c>
      <c r="H464" s="3" t="s">
        <v>17</v>
      </c>
      <c r="I464" s="3"/>
      <c r="J464" s="3">
        <v>3150</v>
      </c>
      <c r="K464" s="3">
        <v>3500</v>
      </c>
      <c r="L464" s="3">
        <v>8</v>
      </c>
      <c r="M464">
        <f>Table1[[#This Row],[Qty]]*Table1[[#This Row],[Sales Price]]</f>
        <v>28000</v>
      </c>
      <c r="N464">
        <f>Table1[[#This Row],[Qty]]*Table1[[#This Row],[Cost]]</f>
        <v>25200</v>
      </c>
      <c r="O464">
        <f>Table1[[#This Row],[Revenue]]-Table1[[#This Row],[Total Cost]]</f>
        <v>2800</v>
      </c>
    </row>
    <row r="465" spans="1:15" x14ac:dyDescent="0.55000000000000004">
      <c r="A465" s="3">
        <v>464</v>
      </c>
      <c r="B465" s="4">
        <v>45129</v>
      </c>
      <c r="C465" s="4" t="str">
        <f>TEXT(Table1[[#This Row],[Date]],"YYYY")</f>
        <v>2023</v>
      </c>
      <c r="D465" s="4" t="str">
        <f>TEXT(Table1[[#This Row],[Date]],"MMM")</f>
        <v>Jul</v>
      </c>
      <c r="E465" s="5" t="s">
        <v>39</v>
      </c>
      <c r="F465" s="3" t="s">
        <v>18</v>
      </c>
      <c r="G465" s="3" t="s">
        <v>41</v>
      </c>
      <c r="H465" s="3" t="s">
        <v>28</v>
      </c>
      <c r="I465" s="3"/>
      <c r="J465" s="3">
        <v>2700</v>
      </c>
      <c r="K465" s="3">
        <v>3000</v>
      </c>
      <c r="L465" s="3">
        <v>8</v>
      </c>
      <c r="M465">
        <f>Table1[[#This Row],[Qty]]*Table1[[#This Row],[Sales Price]]</f>
        <v>24000</v>
      </c>
      <c r="N465">
        <f>Table1[[#This Row],[Qty]]*Table1[[#This Row],[Cost]]</f>
        <v>21600</v>
      </c>
      <c r="O465">
        <f>Table1[[#This Row],[Revenue]]-Table1[[#This Row],[Total Cost]]</f>
        <v>2400</v>
      </c>
    </row>
    <row r="466" spans="1:15" x14ac:dyDescent="0.55000000000000004">
      <c r="A466" s="3">
        <v>465</v>
      </c>
      <c r="B466" s="4">
        <v>45130</v>
      </c>
      <c r="C466" s="4" t="str">
        <f>TEXT(Table1[[#This Row],[Date]],"YYYY")</f>
        <v>2023</v>
      </c>
      <c r="D466" s="4" t="str">
        <f>TEXT(Table1[[#This Row],[Date]],"MMM")</f>
        <v>Jul</v>
      </c>
      <c r="E466" s="5" t="s">
        <v>40</v>
      </c>
      <c r="F466" s="3" t="s">
        <v>18</v>
      </c>
      <c r="G466" s="3" t="s">
        <v>27</v>
      </c>
      <c r="H466" s="3" t="s">
        <v>28</v>
      </c>
      <c r="I466" s="3">
        <v>1</v>
      </c>
      <c r="J466" s="3">
        <v>4050</v>
      </c>
      <c r="K466" s="3">
        <v>4500</v>
      </c>
      <c r="L466" s="3">
        <v>9</v>
      </c>
      <c r="M466">
        <f>Table1[[#This Row],[Qty]]*Table1[[#This Row],[Sales Price]]</f>
        <v>40500</v>
      </c>
      <c r="N466">
        <f>Table1[[#This Row],[Qty]]*Table1[[#This Row],[Cost]]</f>
        <v>36450</v>
      </c>
      <c r="O466">
        <f>Table1[[#This Row],[Revenue]]-Table1[[#This Row],[Total Cost]]</f>
        <v>4050</v>
      </c>
    </row>
    <row r="467" spans="1:15" x14ac:dyDescent="0.55000000000000004">
      <c r="A467" s="3">
        <v>466</v>
      </c>
      <c r="B467" s="4">
        <v>45131</v>
      </c>
      <c r="C467" s="4" t="str">
        <f>TEXT(Table1[[#This Row],[Date]],"YYYY")</f>
        <v>2023</v>
      </c>
      <c r="D467" s="4" t="str">
        <f>TEXT(Table1[[#This Row],[Date]],"MMM")</f>
        <v>Jul</v>
      </c>
      <c r="E467" s="5" t="s">
        <v>24</v>
      </c>
      <c r="F467" s="3" t="s">
        <v>18</v>
      </c>
      <c r="G467" s="3" t="s">
        <v>32</v>
      </c>
      <c r="H467" s="3" t="s">
        <v>28</v>
      </c>
      <c r="I467" s="3">
        <v>1</v>
      </c>
      <c r="J467" s="3">
        <v>53100</v>
      </c>
      <c r="K467" s="3">
        <v>59000</v>
      </c>
      <c r="L467" s="3">
        <v>2</v>
      </c>
      <c r="M467">
        <f>Table1[[#This Row],[Qty]]*Table1[[#This Row],[Sales Price]]</f>
        <v>118000</v>
      </c>
      <c r="N467">
        <f>Table1[[#This Row],[Qty]]*Table1[[#This Row],[Cost]]</f>
        <v>106200</v>
      </c>
      <c r="O467">
        <f>Table1[[#This Row],[Revenue]]-Table1[[#This Row],[Total Cost]]</f>
        <v>11800</v>
      </c>
    </row>
    <row r="468" spans="1:15" x14ac:dyDescent="0.55000000000000004">
      <c r="A468" s="3">
        <v>467</v>
      </c>
      <c r="B468" s="4">
        <v>45132</v>
      </c>
      <c r="C468" s="4" t="str">
        <f>TEXT(Table1[[#This Row],[Date]],"YYYY")</f>
        <v>2023</v>
      </c>
      <c r="D468" s="4" t="str">
        <f>TEXT(Table1[[#This Row],[Date]],"MMM")</f>
        <v>Jul</v>
      </c>
      <c r="E468" s="5" t="s">
        <v>46</v>
      </c>
      <c r="F468" s="3" t="s">
        <v>18</v>
      </c>
      <c r="G468" s="3" t="s">
        <v>42</v>
      </c>
      <c r="H468" s="3" t="s">
        <v>43</v>
      </c>
      <c r="I468" s="3">
        <v>1</v>
      </c>
      <c r="J468" s="3">
        <v>88200</v>
      </c>
      <c r="K468" s="3">
        <v>98000</v>
      </c>
      <c r="L468" s="3">
        <v>1</v>
      </c>
      <c r="M468">
        <f>Table1[[#This Row],[Qty]]*Table1[[#This Row],[Sales Price]]</f>
        <v>98000</v>
      </c>
      <c r="N468">
        <f>Table1[[#This Row],[Qty]]*Table1[[#This Row],[Cost]]</f>
        <v>88200</v>
      </c>
      <c r="O468">
        <f>Table1[[#This Row],[Revenue]]-Table1[[#This Row],[Total Cost]]</f>
        <v>9800</v>
      </c>
    </row>
    <row r="469" spans="1:15" x14ac:dyDescent="0.55000000000000004">
      <c r="A469" s="3">
        <v>468</v>
      </c>
      <c r="B469" s="4">
        <v>44646</v>
      </c>
      <c r="C469" s="4" t="str">
        <f>TEXT(Table1[[#This Row],[Date]],"YYYY")</f>
        <v>2022</v>
      </c>
      <c r="D469" s="4" t="str">
        <f>TEXT(Table1[[#This Row],[Date]],"MMM")</f>
        <v>Mar</v>
      </c>
      <c r="E469" s="5" t="s">
        <v>14</v>
      </c>
      <c r="F469" s="3" t="s">
        <v>18</v>
      </c>
      <c r="G469" s="3" t="s">
        <v>44</v>
      </c>
      <c r="H469" s="3" t="s">
        <v>43</v>
      </c>
      <c r="I469" s="3">
        <v>0</v>
      </c>
      <c r="J469" s="3">
        <v>8640</v>
      </c>
      <c r="K469" s="3">
        <v>9600</v>
      </c>
      <c r="L469" s="3">
        <v>22</v>
      </c>
      <c r="M469">
        <f>Table1[[#This Row],[Qty]]*Table1[[#This Row],[Sales Price]]</f>
        <v>211200</v>
      </c>
      <c r="N469">
        <f>Table1[[#This Row],[Qty]]*Table1[[#This Row],[Cost]]</f>
        <v>190080</v>
      </c>
      <c r="O469">
        <f>Table1[[#This Row],[Revenue]]-Table1[[#This Row],[Total Cost]]</f>
        <v>21120</v>
      </c>
    </row>
    <row r="470" spans="1:15" x14ac:dyDescent="0.55000000000000004">
      <c r="A470" s="3">
        <v>469</v>
      </c>
      <c r="B470" s="4">
        <v>44646</v>
      </c>
      <c r="C470" s="4" t="str">
        <f>TEXT(Table1[[#This Row],[Date]],"YYYY")</f>
        <v>2022</v>
      </c>
      <c r="D470" s="4" t="str">
        <f>TEXT(Table1[[#This Row],[Date]],"MMM")</f>
        <v>Mar</v>
      </c>
      <c r="E470" s="5" t="s">
        <v>24</v>
      </c>
      <c r="F470" s="3" t="s">
        <v>18</v>
      </c>
      <c r="G470" s="3" t="s">
        <v>45</v>
      </c>
      <c r="H470" s="3" t="s">
        <v>43</v>
      </c>
      <c r="I470" s="3">
        <v>0</v>
      </c>
      <c r="J470" s="3">
        <v>8280</v>
      </c>
      <c r="K470" s="3">
        <v>9200</v>
      </c>
      <c r="L470" s="3">
        <v>8</v>
      </c>
      <c r="M470">
        <f>Table1[[#This Row],[Qty]]*Table1[[#This Row],[Sales Price]]</f>
        <v>73600</v>
      </c>
      <c r="N470">
        <f>Table1[[#This Row],[Qty]]*Table1[[#This Row],[Cost]]</f>
        <v>66240</v>
      </c>
      <c r="O470">
        <f>Table1[[#This Row],[Revenue]]-Table1[[#This Row],[Total Cost]]</f>
        <v>7360</v>
      </c>
    </row>
    <row r="471" spans="1:15" x14ac:dyDescent="0.55000000000000004">
      <c r="A471" s="3">
        <v>470</v>
      </c>
      <c r="B471" s="4">
        <v>44646</v>
      </c>
      <c r="C471" s="4" t="str">
        <f>TEXT(Table1[[#This Row],[Date]],"YYYY")</f>
        <v>2022</v>
      </c>
      <c r="D471" s="4" t="str">
        <f>TEXT(Table1[[#This Row],[Date]],"MMM")</f>
        <v>Mar</v>
      </c>
      <c r="E471" s="5" t="s">
        <v>35</v>
      </c>
      <c r="F471" s="3" t="s">
        <v>18</v>
      </c>
      <c r="G471" s="3" t="s">
        <v>47</v>
      </c>
      <c r="H471" s="3" t="s">
        <v>43</v>
      </c>
      <c r="I471" s="3">
        <v>0</v>
      </c>
      <c r="J471" s="3">
        <v>4950</v>
      </c>
      <c r="K471" s="3">
        <v>5500</v>
      </c>
      <c r="L471" s="3">
        <v>7</v>
      </c>
      <c r="M471">
        <f>Table1[[#This Row],[Qty]]*Table1[[#This Row],[Sales Price]]</f>
        <v>38500</v>
      </c>
      <c r="N471">
        <f>Table1[[#This Row],[Qty]]*Table1[[#This Row],[Cost]]</f>
        <v>34650</v>
      </c>
      <c r="O471">
        <f>Table1[[#This Row],[Revenue]]-Table1[[#This Row],[Total Cost]]</f>
        <v>3850</v>
      </c>
    </row>
    <row r="472" spans="1:15" x14ac:dyDescent="0.55000000000000004">
      <c r="A472" s="3">
        <v>471</v>
      </c>
      <c r="B472" s="4">
        <v>44646</v>
      </c>
      <c r="C472" s="4" t="str">
        <f>TEXT(Table1[[#This Row],[Date]],"YYYY")</f>
        <v>2022</v>
      </c>
      <c r="D472" s="4" t="str">
        <f>TEXT(Table1[[#This Row],[Date]],"MMM")</f>
        <v>Mar</v>
      </c>
      <c r="E472" s="5" t="s">
        <v>66</v>
      </c>
      <c r="F472" s="3" t="s">
        <v>18</v>
      </c>
      <c r="G472" s="3" t="s">
        <v>48</v>
      </c>
      <c r="H472" s="3" t="s">
        <v>43</v>
      </c>
      <c r="I472" s="3">
        <v>1</v>
      </c>
      <c r="J472" s="3">
        <v>3150</v>
      </c>
      <c r="K472" s="3">
        <v>3500</v>
      </c>
      <c r="L472" s="3">
        <v>56</v>
      </c>
      <c r="M472">
        <f>Table1[[#This Row],[Qty]]*Table1[[#This Row],[Sales Price]]</f>
        <v>196000</v>
      </c>
      <c r="N472">
        <f>Table1[[#This Row],[Qty]]*Table1[[#This Row],[Cost]]</f>
        <v>176400</v>
      </c>
      <c r="O472">
        <f>Table1[[#This Row],[Revenue]]-Table1[[#This Row],[Total Cost]]</f>
        <v>19600</v>
      </c>
    </row>
    <row r="473" spans="1:15" x14ac:dyDescent="0.55000000000000004">
      <c r="A473" s="3">
        <v>472</v>
      </c>
      <c r="B473" s="4">
        <v>44646</v>
      </c>
      <c r="C473" s="4" t="str">
        <f>TEXT(Table1[[#This Row],[Date]],"YYYY")</f>
        <v>2022</v>
      </c>
      <c r="D473" s="4" t="str">
        <f>TEXT(Table1[[#This Row],[Date]],"MMM")</f>
        <v>Mar</v>
      </c>
      <c r="E473" s="5" t="s">
        <v>31</v>
      </c>
      <c r="F473" s="3" t="s">
        <v>18</v>
      </c>
      <c r="G473" s="3" t="s">
        <v>42</v>
      </c>
      <c r="H473" s="3" t="s">
        <v>43</v>
      </c>
      <c r="I473" s="3"/>
      <c r="J473" s="3">
        <v>2700</v>
      </c>
      <c r="K473" s="3">
        <v>3000</v>
      </c>
      <c r="L473" s="3">
        <v>10</v>
      </c>
      <c r="M473">
        <f>Table1[[#This Row],[Qty]]*Table1[[#This Row],[Sales Price]]</f>
        <v>30000</v>
      </c>
      <c r="N473">
        <f>Table1[[#This Row],[Qty]]*Table1[[#This Row],[Cost]]</f>
        <v>27000</v>
      </c>
      <c r="O473">
        <f>Table1[[#This Row],[Revenue]]-Table1[[#This Row],[Total Cost]]</f>
        <v>3000</v>
      </c>
    </row>
    <row r="474" spans="1:15" x14ac:dyDescent="0.55000000000000004">
      <c r="A474" s="3">
        <v>473</v>
      </c>
      <c r="B474" s="4">
        <v>44646</v>
      </c>
      <c r="C474" s="4" t="str">
        <f>TEXT(Table1[[#This Row],[Date]],"YYYY")</f>
        <v>2022</v>
      </c>
      <c r="D474" s="4" t="str">
        <f>TEXT(Table1[[#This Row],[Date]],"MMM")</f>
        <v>Mar</v>
      </c>
      <c r="E474" s="5" t="s">
        <v>22</v>
      </c>
      <c r="F474" s="3" t="s">
        <v>18</v>
      </c>
      <c r="G474" s="3" t="s">
        <v>44</v>
      </c>
      <c r="H474" s="3" t="s">
        <v>43</v>
      </c>
      <c r="I474" s="3"/>
      <c r="J474" s="3">
        <v>4050</v>
      </c>
      <c r="K474" s="3">
        <v>4500</v>
      </c>
      <c r="L474" s="3">
        <v>9</v>
      </c>
      <c r="M474">
        <f>Table1[[#This Row],[Qty]]*Table1[[#This Row],[Sales Price]]</f>
        <v>40500</v>
      </c>
      <c r="N474">
        <f>Table1[[#This Row],[Qty]]*Table1[[#This Row],[Cost]]</f>
        <v>36450</v>
      </c>
      <c r="O474">
        <f>Table1[[#This Row],[Revenue]]-Table1[[#This Row],[Total Cost]]</f>
        <v>4050</v>
      </c>
    </row>
    <row r="475" spans="1:15" x14ac:dyDescent="0.55000000000000004">
      <c r="A475" s="3">
        <v>474</v>
      </c>
      <c r="B475" s="4">
        <v>44646</v>
      </c>
      <c r="C475" s="4" t="str">
        <f>TEXT(Table1[[#This Row],[Date]],"YYYY")</f>
        <v>2022</v>
      </c>
      <c r="D475" s="4" t="str">
        <f>TEXT(Table1[[#This Row],[Date]],"MMM")</f>
        <v>Mar</v>
      </c>
      <c r="E475" s="5" t="s">
        <v>55</v>
      </c>
      <c r="F475" s="3" t="s">
        <v>18</v>
      </c>
      <c r="G475" s="3" t="s">
        <v>45</v>
      </c>
      <c r="H475" s="3" t="s">
        <v>43</v>
      </c>
      <c r="I475" s="3">
        <v>1</v>
      </c>
      <c r="J475" s="3">
        <v>53100</v>
      </c>
      <c r="K475" s="3">
        <v>59000</v>
      </c>
      <c r="L475" s="3">
        <v>27</v>
      </c>
      <c r="M475">
        <f>Table1[[#This Row],[Qty]]*Table1[[#This Row],[Sales Price]]</f>
        <v>1593000</v>
      </c>
      <c r="N475">
        <f>Table1[[#This Row],[Qty]]*Table1[[#This Row],[Cost]]</f>
        <v>1433700</v>
      </c>
      <c r="O475">
        <f>Table1[[#This Row],[Revenue]]-Table1[[#This Row],[Total Cost]]</f>
        <v>159300</v>
      </c>
    </row>
    <row r="476" spans="1:15" x14ac:dyDescent="0.55000000000000004">
      <c r="A476" s="3">
        <v>475</v>
      </c>
      <c r="B476" s="4">
        <v>44646</v>
      </c>
      <c r="C476" s="4" t="str">
        <f>TEXT(Table1[[#This Row],[Date]],"YYYY")</f>
        <v>2022</v>
      </c>
      <c r="D476" s="4" t="str">
        <f>TEXT(Table1[[#This Row],[Date]],"MMM")</f>
        <v>Mar</v>
      </c>
      <c r="E476" s="5" t="s">
        <v>22</v>
      </c>
      <c r="F476" s="3" t="s">
        <v>18</v>
      </c>
      <c r="G476" s="3" t="s">
        <v>47</v>
      </c>
      <c r="H476" s="3" t="s">
        <v>43</v>
      </c>
      <c r="I476" s="3">
        <v>1</v>
      </c>
      <c r="J476" s="3">
        <v>88200</v>
      </c>
      <c r="K476" s="3">
        <v>98000</v>
      </c>
      <c r="L476" s="3">
        <v>15</v>
      </c>
      <c r="M476">
        <f>Table1[[#This Row],[Qty]]*Table1[[#This Row],[Sales Price]]</f>
        <v>1470000</v>
      </c>
      <c r="N476">
        <f>Table1[[#This Row],[Qty]]*Table1[[#This Row],[Cost]]</f>
        <v>1323000</v>
      </c>
      <c r="O476">
        <f>Table1[[#This Row],[Revenue]]-Table1[[#This Row],[Total Cost]]</f>
        <v>147000</v>
      </c>
    </row>
    <row r="477" spans="1:15" x14ac:dyDescent="0.55000000000000004">
      <c r="A477" s="3">
        <v>476</v>
      </c>
      <c r="B477" s="4">
        <v>44646</v>
      </c>
      <c r="C477" s="4" t="str">
        <f>TEXT(Table1[[#This Row],[Date]],"YYYY")</f>
        <v>2022</v>
      </c>
      <c r="D477" s="4" t="str">
        <f>TEXT(Table1[[#This Row],[Date]],"MMM")</f>
        <v>Mar</v>
      </c>
      <c r="E477" s="5" t="s">
        <v>56</v>
      </c>
      <c r="F477" s="3" t="s">
        <v>18</v>
      </c>
      <c r="G477" s="3" t="s">
        <v>48</v>
      </c>
      <c r="H477" s="3" t="s">
        <v>43</v>
      </c>
      <c r="I477" s="3">
        <v>0</v>
      </c>
      <c r="J477" s="3">
        <v>38250</v>
      </c>
      <c r="K477" s="3">
        <v>42500</v>
      </c>
      <c r="L477" s="3">
        <v>3</v>
      </c>
      <c r="M477">
        <f>Table1[[#This Row],[Qty]]*Table1[[#This Row],[Sales Price]]</f>
        <v>127500</v>
      </c>
      <c r="N477">
        <f>Table1[[#This Row],[Qty]]*Table1[[#This Row],[Cost]]</f>
        <v>114750</v>
      </c>
      <c r="O477">
        <f>Table1[[#This Row],[Revenue]]-Table1[[#This Row],[Total Cost]]</f>
        <v>12750</v>
      </c>
    </row>
    <row r="478" spans="1:15" x14ac:dyDescent="0.55000000000000004">
      <c r="A478" s="3">
        <v>477</v>
      </c>
      <c r="B478" s="4">
        <v>44646</v>
      </c>
      <c r="C478" s="4" t="str">
        <f>TEXT(Table1[[#This Row],[Date]],"YYYY")</f>
        <v>2022</v>
      </c>
      <c r="D478" s="4" t="str">
        <f>TEXT(Table1[[#This Row],[Date]],"MMM")</f>
        <v>Mar</v>
      </c>
      <c r="E478" s="5" t="s">
        <v>39</v>
      </c>
      <c r="F478" s="3" t="s">
        <v>18</v>
      </c>
      <c r="G478" s="3" t="s">
        <v>48</v>
      </c>
      <c r="H478" s="3" t="s">
        <v>43</v>
      </c>
      <c r="I478" s="3">
        <v>1</v>
      </c>
      <c r="J478" s="3">
        <v>2700</v>
      </c>
      <c r="K478" s="3">
        <v>3000</v>
      </c>
      <c r="L478" s="3">
        <v>9</v>
      </c>
      <c r="M478">
        <f>Table1[[#This Row],[Qty]]*Table1[[#This Row],[Sales Price]]</f>
        <v>27000</v>
      </c>
      <c r="N478">
        <f>Table1[[#This Row],[Qty]]*Table1[[#This Row],[Cost]]</f>
        <v>24300</v>
      </c>
      <c r="O478">
        <f>Table1[[#This Row],[Revenue]]-Table1[[#This Row],[Total Cost]]</f>
        <v>2700</v>
      </c>
    </row>
    <row r="479" spans="1:15" x14ac:dyDescent="0.55000000000000004">
      <c r="A479" s="3">
        <v>478</v>
      </c>
      <c r="B479" s="4">
        <v>44646</v>
      </c>
      <c r="C479" s="4" t="str">
        <f>TEXT(Table1[[#This Row],[Date]],"YYYY")</f>
        <v>2022</v>
      </c>
      <c r="D479" s="4" t="str">
        <f>TEXT(Table1[[#This Row],[Date]],"MMM")</f>
        <v>Mar</v>
      </c>
      <c r="E479" s="5" t="s">
        <v>31</v>
      </c>
      <c r="F479" s="3" t="s">
        <v>18</v>
      </c>
      <c r="G479" s="3" t="s">
        <v>42</v>
      </c>
      <c r="H479" s="3" t="s">
        <v>43</v>
      </c>
      <c r="I479" s="3">
        <v>1</v>
      </c>
      <c r="J479" s="3">
        <v>23850</v>
      </c>
      <c r="K479" s="3">
        <v>26500</v>
      </c>
      <c r="L479" s="3">
        <v>22</v>
      </c>
      <c r="M479">
        <f>Table1[[#This Row],[Qty]]*Table1[[#This Row],[Sales Price]]</f>
        <v>583000</v>
      </c>
      <c r="N479">
        <f>Table1[[#This Row],[Qty]]*Table1[[#This Row],[Cost]]</f>
        <v>524700</v>
      </c>
      <c r="O479">
        <f>Table1[[#This Row],[Revenue]]-Table1[[#This Row],[Total Cost]]</f>
        <v>58300</v>
      </c>
    </row>
    <row r="480" spans="1:15" x14ac:dyDescent="0.55000000000000004">
      <c r="A480" s="3">
        <v>479</v>
      </c>
      <c r="B480" s="4">
        <v>44646</v>
      </c>
      <c r="C480" s="4" t="str">
        <f>TEXT(Table1[[#This Row],[Date]],"YYYY")</f>
        <v>2022</v>
      </c>
      <c r="D480" s="4" t="str">
        <f>TEXT(Table1[[#This Row],[Date]],"MMM")</f>
        <v>Mar</v>
      </c>
      <c r="E480" s="5" t="s">
        <v>39</v>
      </c>
      <c r="F480" s="3" t="s">
        <v>18</v>
      </c>
      <c r="G480" s="3" t="s">
        <v>27</v>
      </c>
      <c r="H480" s="3" t="s">
        <v>28</v>
      </c>
      <c r="I480" s="3">
        <v>1</v>
      </c>
      <c r="J480" s="3">
        <v>24750</v>
      </c>
      <c r="K480" s="3">
        <v>27500</v>
      </c>
      <c r="L480" s="3">
        <v>16</v>
      </c>
      <c r="M480">
        <f>Table1[[#This Row],[Qty]]*Table1[[#This Row],[Sales Price]]</f>
        <v>440000</v>
      </c>
      <c r="N480">
        <f>Table1[[#This Row],[Qty]]*Table1[[#This Row],[Cost]]</f>
        <v>396000</v>
      </c>
      <c r="O480">
        <f>Table1[[#This Row],[Revenue]]-Table1[[#This Row],[Total Cost]]</f>
        <v>44000</v>
      </c>
    </row>
    <row r="481" spans="1:15" x14ac:dyDescent="0.55000000000000004">
      <c r="A481" s="3">
        <v>480</v>
      </c>
      <c r="B481" s="4">
        <v>44646</v>
      </c>
      <c r="C481" s="4" t="str">
        <f>TEXT(Table1[[#This Row],[Date]],"YYYY")</f>
        <v>2022</v>
      </c>
      <c r="D481" s="4" t="str">
        <f>TEXT(Table1[[#This Row],[Date]],"MMM")</f>
        <v>Mar</v>
      </c>
      <c r="E481" s="5" t="s">
        <v>39</v>
      </c>
      <c r="F481" s="3" t="s">
        <v>18</v>
      </c>
      <c r="G481" s="3" t="s">
        <v>30</v>
      </c>
      <c r="H481" s="3" t="s">
        <v>28</v>
      </c>
      <c r="I481" s="3"/>
      <c r="J481" s="3">
        <v>44550</v>
      </c>
      <c r="K481" s="3">
        <v>49500</v>
      </c>
      <c r="L481" s="3">
        <v>6</v>
      </c>
      <c r="M481">
        <f>Table1[[#This Row],[Qty]]*Table1[[#This Row],[Sales Price]]</f>
        <v>297000</v>
      </c>
      <c r="N481">
        <f>Table1[[#This Row],[Qty]]*Table1[[#This Row],[Cost]]</f>
        <v>267300</v>
      </c>
      <c r="O481">
        <f>Table1[[#This Row],[Revenue]]-Table1[[#This Row],[Total Cost]]</f>
        <v>29700</v>
      </c>
    </row>
    <row r="482" spans="1:15" x14ac:dyDescent="0.55000000000000004">
      <c r="A482" s="3">
        <v>481</v>
      </c>
      <c r="B482" s="4">
        <v>44646</v>
      </c>
      <c r="C482" s="4" t="str">
        <f>TEXT(Table1[[#This Row],[Date]],"YYYY")</f>
        <v>2022</v>
      </c>
      <c r="D482" s="4" t="str">
        <f>TEXT(Table1[[#This Row],[Date]],"MMM")</f>
        <v>Mar</v>
      </c>
      <c r="E482" s="5" t="s">
        <v>57</v>
      </c>
      <c r="F482" s="3" t="s">
        <v>18</v>
      </c>
      <c r="G482" s="3" t="s">
        <v>32</v>
      </c>
      <c r="H482" s="3" t="s">
        <v>28</v>
      </c>
      <c r="I482" s="3"/>
      <c r="J482" s="3">
        <v>9000</v>
      </c>
      <c r="K482" s="3">
        <v>10000</v>
      </c>
      <c r="L482" s="3">
        <v>3</v>
      </c>
      <c r="M482">
        <f>Table1[[#This Row],[Qty]]*Table1[[#This Row],[Sales Price]]</f>
        <v>30000</v>
      </c>
      <c r="N482">
        <f>Table1[[#This Row],[Qty]]*Table1[[#This Row],[Cost]]</f>
        <v>27000</v>
      </c>
      <c r="O482">
        <f>Table1[[#This Row],[Revenue]]-Table1[[#This Row],[Total Cost]]</f>
        <v>3000</v>
      </c>
    </row>
    <row r="483" spans="1:15" x14ac:dyDescent="0.55000000000000004">
      <c r="A483" s="3">
        <v>482</v>
      </c>
      <c r="B483" s="4">
        <v>45147</v>
      </c>
      <c r="C483" s="4" t="str">
        <f>TEXT(Table1[[#This Row],[Date]],"YYYY")</f>
        <v>2023</v>
      </c>
      <c r="D483" s="4" t="str">
        <f>TEXT(Table1[[#This Row],[Date]],"MMM")</f>
        <v>Aug</v>
      </c>
      <c r="E483" s="5" t="s">
        <v>53</v>
      </c>
      <c r="F483" s="3" t="s">
        <v>18</v>
      </c>
      <c r="G483" s="3" t="s">
        <v>34</v>
      </c>
      <c r="H483" s="3" t="s">
        <v>28</v>
      </c>
      <c r="I483" s="3"/>
      <c r="J483" s="3">
        <v>8640</v>
      </c>
      <c r="K483" s="3">
        <v>9600</v>
      </c>
      <c r="L483" s="3">
        <v>5</v>
      </c>
      <c r="M483">
        <f>Table1[[#This Row],[Qty]]*Table1[[#This Row],[Sales Price]]</f>
        <v>48000</v>
      </c>
      <c r="N483">
        <f>Table1[[#This Row],[Qty]]*Table1[[#This Row],[Cost]]</f>
        <v>43200</v>
      </c>
      <c r="O483">
        <f>Table1[[#This Row],[Revenue]]-Table1[[#This Row],[Total Cost]]</f>
        <v>4800</v>
      </c>
    </row>
    <row r="484" spans="1:15" x14ac:dyDescent="0.55000000000000004">
      <c r="A484" s="3">
        <v>483</v>
      </c>
      <c r="B484" s="4">
        <v>45148</v>
      </c>
      <c r="C484" s="4" t="str">
        <f>TEXT(Table1[[#This Row],[Date]],"YYYY")</f>
        <v>2023</v>
      </c>
      <c r="D484" s="4" t="str">
        <f>TEXT(Table1[[#This Row],[Date]],"MMM")</f>
        <v>Aug</v>
      </c>
      <c r="E484" s="5" t="s">
        <v>31</v>
      </c>
      <c r="F484" s="3" t="s">
        <v>18</v>
      </c>
      <c r="G484" s="3" t="s">
        <v>41</v>
      </c>
      <c r="H484" s="3" t="s">
        <v>28</v>
      </c>
      <c r="I484" s="3">
        <v>1</v>
      </c>
      <c r="J484" s="3">
        <v>9000</v>
      </c>
      <c r="K484" s="3">
        <v>10000</v>
      </c>
      <c r="L484" s="3">
        <v>1</v>
      </c>
      <c r="M484">
        <f>Table1[[#This Row],[Qty]]*Table1[[#This Row],[Sales Price]]</f>
        <v>10000</v>
      </c>
      <c r="N484">
        <f>Table1[[#This Row],[Qty]]*Table1[[#This Row],[Cost]]</f>
        <v>9000</v>
      </c>
      <c r="O484">
        <f>Table1[[#This Row],[Revenue]]-Table1[[#This Row],[Total Cost]]</f>
        <v>1000</v>
      </c>
    </row>
    <row r="485" spans="1:15" x14ac:dyDescent="0.55000000000000004">
      <c r="A485" s="3">
        <v>484</v>
      </c>
      <c r="B485" s="4">
        <v>45210</v>
      </c>
      <c r="C485" s="4" t="str">
        <f>TEXT(Table1[[#This Row],[Date]],"YYYY")</f>
        <v>2023</v>
      </c>
      <c r="D485" s="4" t="str">
        <f>TEXT(Table1[[#This Row],[Date]],"MMM")</f>
        <v>Oct</v>
      </c>
      <c r="E485" s="5" t="s">
        <v>24</v>
      </c>
      <c r="F485" s="3" t="s">
        <v>18</v>
      </c>
      <c r="G485" s="3" t="s">
        <v>27</v>
      </c>
      <c r="H485" s="3" t="s">
        <v>28</v>
      </c>
      <c r="I485" s="3">
        <v>1</v>
      </c>
      <c r="J485" s="3">
        <v>3870</v>
      </c>
      <c r="K485" s="3">
        <v>4300</v>
      </c>
      <c r="L485" s="3">
        <v>5</v>
      </c>
      <c r="M485">
        <f>Table1[[#This Row],[Qty]]*Table1[[#This Row],[Sales Price]]</f>
        <v>21500</v>
      </c>
      <c r="N485">
        <f>Table1[[#This Row],[Qty]]*Table1[[#This Row],[Cost]]</f>
        <v>19350</v>
      </c>
      <c r="O485">
        <f>Table1[[#This Row],[Revenue]]-Table1[[#This Row],[Total Cost]]</f>
        <v>2150</v>
      </c>
    </row>
    <row r="486" spans="1:15" x14ac:dyDescent="0.55000000000000004">
      <c r="A486" s="3">
        <v>485</v>
      </c>
      <c r="B486" s="4">
        <v>45210</v>
      </c>
      <c r="C486" s="4" t="str">
        <f>TEXT(Table1[[#This Row],[Date]],"YYYY")</f>
        <v>2023</v>
      </c>
      <c r="D486" s="4" t="str">
        <f>TEXT(Table1[[#This Row],[Date]],"MMM")</f>
        <v>Oct</v>
      </c>
      <c r="E486" s="5" t="s">
        <v>40</v>
      </c>
      <c r="F486" s="3" t="s">
        <v>18</v>
      </c>
      <c r="G486" s="3" t="s">
        <v>32</v>
      </c>
      <c r="H486" s="3" t="s">
        <v>28</v>
      </c>
      <c r="I486" s="3">
        <v>1</v>
      </c>
      <c r="J486" s="3">
        <v>8640</v>
      </c>
      <c r="K486" s="3">
        <v>9600</v>
      </c>
      <c r="L486" s="3">
        <v>7</v>
      </c>
      <c r="M486">
        <f>Table1[[#This Row],[Qty]]*Table1[[#This Row],[Sales Price]]</f>
        <v>67200</v>
      </c>
      <c r="N486">
        <f>Table1[[#This Row],[Qty]]*Table1[[#This Row],[Cost]]</f>
        <v>60480</v>
      </c>
      <c r="O486">
        <f>Table1[[#This Row],[Revenue]]-Table1[[#This Row],[Total Cost]]</f>
        <v>6720</v>
      </c>
    </row>
    <row r="487" spans="1:15" x14ac:dyDescent="0.55000000000000004">
      <c r="A487" s="3">
        <v>486</v>
      </c>
      <c r="B487" s="4">
        <v>45210</v>
      </c>
      <c r="C487" s="4" t="str">
        <f>TEXT(Table1[[#This Row],[Date]],"YYYY")</f>
        <v>2023</v>
      </c>
      <c r="D487" s="4" t="str">
        <f>TEXT(Table1[[#This Row],[Date]],"MMM")</f>
        <v>Oct</v>
      </c>
      <c r="E487" s="5" t="s">
        <v>22</v>
      </c>
      <c r="F487" s="3" t="s">
        <v>18</v>
      </c>
      <c r="G487" s="3" t="s">
        <v>27</v>
      </c>
      <c r="H487" s="3" t="s">
        <v>28</v>
      </c>
      <c r="I487" s="3">
        <v>1</v>
      </c>
      <c r="J487" s="3">
        <v>8280</v>
      </c>
      <c r="K487" s="3">
        <v>9200</v>
      </c>
      <c r="L487" s="3">
        <v>4</v>
      </c>
      <c r="M487">
        <f>Table1[[#This Row],[Qty]]*Table1[[#This Row],[Sales Price]]</f>
        <v>36800</v>
      </c>
      <c r="N487">
        <f>Table1[[#This Row],[Qty]]*Table1[[#This Row],[Cost]]</f>
        <v>33120</v>
      </c>
      <c r="O487">
        <f>Table1[[#This Row],[Revenue]]-Table1[[#This Row],[Total Cost]]</f>
        <v>3680</v>
      </c>
    </row>
    <row r="488" spans="1:15" x14ac:dyDescent="0.55000000000000004">
      <c r="A488" s="3">
        <v>487</v>
      </c>
      <c r="B488" s="4">
        <v>45210</v>
      </c>
      <c r="C488" s="4" t="str">
        <f>TEXT(Table1[[#This Row],[Date]],"YYYY")</f>
        <v>2023</v>
      </c>
      <c r="D488" s="4" t="str">
        <f>TEXT(Table1[[#This Row],[Date]],"MMM")</f>
        <v>Oct</v>
      </c>
      <c r="E488" s="5" t="s">
        <v>58</v>
      </c>
      <c r="F488" s="3" t="s">
        <v>18</v>
      </c>
      <c r="G488" s="3" t="s">
        <v>30</v>
      </c>
      <c r="H488" s="3" t="s">
        <v>28</v>
      </c>
      <c r="I488" s="3">
        <v>1</v>
      </c>
      <c r="J488" s="3">
        <v>4950</v>
      </c>
      <c r="K488" s="3">
        <v>5500</v>
      </c>
      <c r="L488" s="3">
        <v>8</v>
      </c>
      <c r="M488">
        <f>Table1[[#This Row],[Qty]]*Table1[[#This Row],[Sales Price]]</f>
        <v>44000</v>
      </c>
      <c r="N488">
        <f>Table1[[#This Row],[Qty]]*Table1[[#This Row],[Cost]]</f>
        <v>39600</v>
      </c>
      <c r="O488">
        <f>Table1[[#This Row],[Revenue]]-Table1[[#This Row],[Total Cost]]</f>
        <v>4400</v>
      </c>
    </row>
    <row r="489" spans="1:15" x14ac:dyDescent="0.55000000000000004">
      <c r="A489" s="3">
        <v>488</v>
      </c>
      <c r="B489" s="4">
        <v>45210</v>
      </c>
      <c r="C489" s="4" t="str">
        <f>TEXT(Table1[[#This Row],[Date]],"YYYY")</f>
        <v>2023</v>
      </c>
      <c r="D489" s="4" t="str">
        <f>TEXT(Table1[[#This Row],[Date]],"MMM")</f>
        <v>Oct</v>
      </c>
      <c r="E489" s="5" t="s">
        <v>39</v>
      </c>
      <c r="F489" s="3" t="s">
        <v>18</v>
      </c>
      <c r="G489" s="3" t="s">
        <v>32</v>
      </c>
      <c r="H489" s="3" t="s">
        <v>28</v>
      </c>
      <c r="I489" s="3">
        <v>1</v>
      </c>
      <c r="J489" s="3">
        <v>3150</v>
      </c>
      <c r="K489" s="3">
        <v>3500</v>
      </c>
      <c r="L489" s="3">
        <v>8</v>
      </c>
      <c r="M489">
        <f>Table1[[#This Row],[Qty]]*Table1[[#This Row],[Sales Price]]</f>
        <v>28000</v>
      </c>
      <c r="N489">
        <f>Table1[[#This Row],[Qty]]*Table1[[#This Row],[Cost]]</f>
        <v>25200</v>
      </c>
      <c r="O489">
        <f>Table1[[#This Row],[Revenue]]-Table1[[#This Row],[Total Cost]]</f>
        <v>2800</v>
      </c>
    </row>
    <row r="490" spans="1:15" x14ac:dyDescent="0.55000000000000004">
      <c r="A490" s="3">
        <v>489</v>
      </c>
      <c r="B490" s="4">
        <v>45210</v>
      </c>
      <c r="C490" s="4" t="str">
        <f>TEXT(Table1[[#This Row],[Date]],"YYYY")</f>
        <v>2023</v>
      </c>
      <c r="D490" s="4" t="str">
        <f>TEXT(Table1[[#This Row],[Date]],"MMM")</f>
        <v>Oct</v>
      </c>
      <c r="E490" s="5" t="s">
        <v>22</v>
      </c>
      <c r="F490" s="3" t="s">
        <v>18</v>
      </c>
      <c r="G490" s="3" t="s">
        <v>34</v>
      </c>
      <c r="H490" s="3" t="s">
        <v>28</v>
      </c>
      <c r="I490" s="3">
        <v>1</v>
      </c>
      <c r="J490" s="3">
        <v>2700</v>
      </c>
      <c r="K490" s="3">
        <v>3000</v>
      </c>
      <c r="L490" s="3">
        <v>9</v>
      </c>
      <c r="M490">
        <f>Table1[[#This Row],[Qty]]*Table1[[#This Row],[Sales Price]]</f>
        <v>27000</v>
      </c>
      <c r="N490">
        <f>Table1[[#This Row],[Qty]]*Table1[[#This Row],[Cost]]</f>
        <v>24300</v>
      </c>
      <c r="O490">
        <f>Table1[[#This Row],[Revenue]]-Table1[[#This Row],[Total Cost]]</f>
        <v>2700</v>
      </c>
    </row>
    <row r="491" spans="1:15" x14ac:dyDescent="0.55000000000000004">
      <c r="A491" s="3">
        <v>490</v>
      </c>
      <c r="B491" s="4">
        <v>45210</v>
      </c>
      <c r="C491" s="4" t="str">
        <f>TEXT(Table1[[#This Row],[Date]],"YYYY")</f>
        <v>2023</v>
      </c>
      <c r="D491" s="4" t="str">
        <f>TEXT(Table1[[#This Row],[Date]],"MMM")</f>
        <v>Oct</v>
      </c>
      <c r="E491" s="5" t="s">
        <v>14</v>
      </c>
      <c r="F491" s="3" t="s">
        <v>18</v>
      </c>
      <c r="G491" s="3" t="s">
        <v>41</v>
      </c>
      <c r="H491" s="3" t="s">
        <v>28</v>
      </c>
      <c r="I491" s="3"/>
      <c r="J491" s="3">
        <v>4050</v>
      </c>
      <c r="K491" s="3">
        <v>4500</v>
      </c>
      <c r="L491" s="3">
        <v>2</v>
      </c>
      <c r="M491">
        <f>Table1[[#This Row],[Qty]]*Table1[[#This Row],[Sales Price]]</f>
        <v>9000</v>
      </c>
      <c r="N491">
        <f>Table1[[#This Row],[Qty]]*Table1[[#This Row],[Cost]]</f>
        <v>8100</v>
      </c>
      <c r="O491">
        <f>Table1[[#This Row],[Revenue]]-Table1[[#This Row],[Total Cost]]</f>
        <v>900</v>
      </c>
    </row>
    <row r="492" spans="1:15" x14ac:dyDescent="0.55000000000000004">
      <c r="A492" s="3">
        <v>491</v>
      </c>
      <c r="B492" s="4">
        <v>45210</v>
      </c>
      <c r="C492" s="4" t="str">
        <f>TEXT(Table1[[#This Row],[Date]],"YYYY")</f>
        <v>2023</v>
      </c>
      <c r="D492" s="4" t="str">
        <f>TEXT(Table1[[#This Row],[Date]],"MMM")</f>
        <v>Oct</v>
      </c>
      <c r="E492" s="5" t="s">
        <v>39</v>
      </c>
      <c r="F492" s="3" t="s">
        <v>18</v>
      </c>
      <c r="G492" s="3" t="s">
        <v>27</v>
      </c>
      <c r="H492" s="3" t="s">
        <v>28</v>
      </c>
      <c r="I492" s="3"/>
      <c r="J492" s="3">
        <v>53100</v>
      </c>
      <c r="K492" s="3">
        <v>59000</v>
      </c>
      <c r="L492" s="3">
        <v>1</v>
      </c>
      <c r="M492">
        <f>Table1[[#This Row],[Qty]]*Table1[[#This Row],[Sales Price]]</f>
        <v>59000</v>
      </c>
      <c r="N492">
        <f>Table1[[#This Row],[Qty]]*Table1[[#This Row],[Cost]]</f>
        <v>53100</v>
      </c>
      <c r="O492">
        <f>Table1[[#This Row],[Revenue]]-Table1[[#This Row],[Total Cost]]</f>
        <v>5900</v>
      </c>
    </row>
    <row r="493" spans="1:15" x14ac:dyDescent="0.55000000000000004">
      <c r="A493" s="3">
        <v>492</v>
      </c>
      <c r="B493" s="4">
        <v>45157</v>
      </c>
      <c r="C493" s="4" t="str">
        <f>TEXT(Table1[[#This Row],[Date]],"YYYY")</f>
        <v>2023</v>
      </c>
      <c r="D493" s="4" t="str">
        <f>TEXT(Table1[[#This Row],[Date]],"MMM")</f>
        <v>Aug</v>
      </c>
      <c r="E493" s="5" t="s">
        <v>22</v>
      </c>
      <c r="F493" s="3" t="s">
        <v>18</v>
      </c>
      <c r="G493" s="3" t="s">
        <v>32</v>
      </c>
      <c r="H493" s="3" t="s">
        <v>28</v>
      </c>
      <c r="I493" s="3">
        <v>1</v>
      </c>
      <c r="J493" s="3">
        <v>88200</v>
      </c>
      <c r="K493" s="3">
        <v>98000</v>
      </c>
      <c r="L493" s="3">
        <v>22</v>
      </c>
      <c r="M493">
        <f>Table1[[#This Row],[Qty]]*Table1[[#This Row],[Sales Price]]</f>
        <v>2156000</v>
      </c>
      <c r="N493">
        <f>Table1[[#This Row],[Qty]]*Table1[[#This Row],[Cost]]</f>
        <v>1940400</v>
      </c>
      <c r="O493">
        <f>Table1[[#This Row],[Revenue]]-Table1[[#This Row],[Total Cost]]</f>
        <v>215600</v>
      </c>
    </row>
    <row r="494" spans="1:15" x14ac:dyDescent="0.55000000000000004">
      <c r="A494" s="3">
        <v>493</v>
      </c>
      <c r="B494" s="4">
        <v>45158</v>
      </c>
      <c r="C494" s="4" t="str">
        <f>TEXT(Table1[[#This Row],[Date]],"YYYY")</f>
        <v>2023</v>
      </c>
      <c r="D494" s="4" t="str">
        <f>TEXT(Table1[[#This Row],[Date]],"MMM")</f>
        <v>Aug</v>
      </c>
      <c r="E494" s="5" t="s">
        <v>33</v>
      </c>
      <c r="F494" s="3" t="s">
        <v>18</v>
      </c>
      <c r="G494" s="3" t="s">
        <v>42</v>
      </c>
      <c r="H494" s="3" t="s">
        <v>43</v>
      </c>
      <c r="I494" s="3">
        <v>1</v>
      </c>
      <c r="J494" s="3">
        <v>38250</v>
      </c>
      <c r="K494" s="3">
        <v>42500</v>
      </c>
      <c r="L494" s="3">
        <v>8</v>
      </c>
      <c r="M494">
        <f>Table1[[#This Row],[Qty]]*Table1[[#This Row],[Sales Price]]</f>
        <v>340000</v>
      </c>
      <c r="N494">
        <f>Table1[[#This Row],[Qty]]*Table1[[#This Row],[Cost]]</f>
        <v>306000</v>
      </c>
      <c r="O494">
        <f>Table1[[#This Row],[Revenue]]-Table1[[#This Row],[Total Cost]]</f>
        <v>34000</v>
      </c>
    </row>
    <row r="495" spans="1:15" x14ac:dyDescent="0.55000000000000004">
      <c r="A495" s="3">
        <v>494</v>
      </c>
      <c r="B495" s="4">
        <v>45210</v>
      </c>
      <c r="C495" s="4" t="str">
        <f>TEXT(Table1[[#This Row],[Date]],"YYYY")</f>
        <v>2023</v>
      </c>
      <c r="D495" s="4" t="str">
        <f>TEXT(Table1[[#This Row],[Date]],"MMM")</f>
        <v>Oct</v>
      </c>
      <c r="E495" s="5" t="s">
        <v>31</v>
      </c>
      <c r="F495" s="3" t="s">
        <v>18</v>
      </c>
      <c r="G495" s="3" t="s">
        <v>44</v>
      </c>
      <c r="H495" s="3" t="s">
        <v>43</v>
      </c>
      <c r="I495" s="3">
        <v>1</v>
      </c>
      <c r="J495" s="3">
        <v>2700</v>
      </c>
      <c r="K495" s="3">
        <v>3000</v>
      </c>
      <c r="L495" s="3">
        <v>7</v>
      </c>
      <c r="M495">
        <f>Table1[[#This Row],[Qty]]*Table1[[#This Row],[Sales Price]]</f>
        <v>21000</v>
      </c>
      <c r="N495">
        <f>Table1[[#This Row],[Qty]]*Table1[[#This Row],[Cost]]</f>
        <v>18900</v>
      </c>
      <c r="O495">
        <f>Table1[[#This Row],[Revenue]]-Table1[[#This Row],[Total Cost]]</f>
        <v>2100</v>
      </c>
    </row>
    <row r="496" spans="1:15" x14ac:dyDescent="0.55000000000000004">
      <c r="A496" s="3">
        <v>495</v>
      </c>
      <c r="B496" s="4">
        <v>45210</v>
      </c>
      <c r="C496" s="4" t="str">
        <f>TEXT(Table1[[#This Row],[Date]],"YYYY")</f>
        <v>2023</v>
      </c>
      <c r="D496" s="4" t="str">
        <f>TEXT(Table1[[#This Row],[Date]],"MMM")</f>
        <v>Oct</v>
      </c>
      <c r="E496" s="5" t="s">
        <v>53</v>
      </c>
      <c r="F496" s="3" t="s">
        <v>18</v>
      </c>
      <c r="G496" s="3" t="s">
        <v>45</v>
      </c>
      <c r="H496" s="3" t="s">
        <v>43</v>
      </c>
      <c r="I496" s="3">
        <v>0</v>
      </c>
      <c r="J496" s="3">
        <v>23850</v>
      </c>
      <c r="K496" s="3">
        <v>26500</v>
      </c>
      <c r="L496" s="3">
        <v>56</v>
      </c>
      <c r="M496">
        <f>Table1[[#This Row],[Qty]]*Table1[[#This Row],[Sales Price]]</f>
        <v>1484000</v>
      </c>
      <c r="N496">
        <f>Table1[[#This Row],[Qty]]*Table1[[#This Row],[Cost]]</f>
        <v>1335600</v>
      </c>
      <c r="O496">
        <f>Table1[[#This Row],[Revenue]]-Table1[[#This Row],[Total Cost]]</f>
        <v>148400</v>
      </c>
    </row>
    <row r="497" spans="1:15" x14ac:dyDescent="0.55000000000000004">
      <c r="A497" s="3">
        <v>496</v>
      </c>
      <c r="B497" s="4">
        <v>45210</v>
      </c>
      <c r="C497" s="4" t="str">
        <f>TEXT(Table1[[#This Row],[Date]],"YYYY")</f>
        <v>2023</v>
      </c>
      <c r="D497" s="4" t="str">
        <f>TEXT(Table1[[#This Row],[Date]],"MMM")</f>
        <v>Oct</v>
      </c>
      <c r="E497" s="5" t="s">
        <v>50</v>
      </c>
      <c r="F497" s="3" t="s">
        <v>18</v>
      </c>
      <c r="G497" s="3" t="s">
        <v>47</v>
      </c>
      <c r="H497" s="3" t="s">
        <v>43</v>
      </c>
      <c r="I497" s="3">
        <v>0</v>
      </c>
      <c r="J497" s="3">
        <v>24750</v>
      </c>
      <c r="K497" s="3">
        <v>27500</v>
      </c>
      <c r="L497" s="3">
        <v>10</v>
      </c>
      <c r="M497">
        <f>Table1[[#This Row],[Qty]]*Table1[[#This Row],[Sales Price]]</f>
        <v>275000</v>
      </c>
      <c r="N497">
        <f>Table1[[#This Row],[Qty]]*Table1[[#This Row],[Cost]]</f>
        <v>247500</v>
      </c>
      <c r="O497">
        <f>Table1[[#This Row],[Revenue]]-Table1[[#This Row],[Total Cost]]</f>
        <v>27500</v>
      </c>
    </row>
    <row r="498" spans="1:15" x14ac:dyDescent="0.55000000000000004">
      <c r="A498" s="3">
        <v>497</v>
      </c>
      <c r="B498" s="4">
        <v>45210</v>
      </c>
      <c r="C498" s="4" t="str">
        <f>TEXT(Table1[[#This Row],[Date]],"YYYY")</f>
        <v>2023</v>
      </c>
      <c r="D498" s="4" t="str">
        <f>TEXT(Table1[[#This Row],[Date]],"MMM")</f>
        <v>Oct</v>
      </c>
      <c r="E498" s="5" t="s">
        <v>57</v>
      </c>
      <c r="F498" s="3" t="s">
        <v>18</v>
      </c>
      <c r="G498" s="3" t="s">
        <v>48</v>
      </c>
      <c r="H498" s="3" t="s">
        <v>43</v>
      </c>
      <c r="I498" s="3">
        <v>1</v>
      </c>
      <c r="J498" s="3">
        <v>44550</v>
      </c>
      <c r="K498" s="3">
        <v>49500</v>
      </c>
      <c r="L498" s="3">
        <v>9</v>
      </c>
      <c r="M498">
        <f>Table1[[#This Row],[Qty]]*Table1[[#This Row],[Sales Price]]</f>
        <v>445500</v>
      </c>
      <c r="N498">
        <f>Table1[[#This Row],[Qty]]*Table1[[#This Row],[Cost]]</f>
        <v>400950</v>
      </c>
      <c r="O498">
        <f>Table1[[#This Row],[Revenue]]-Table1[[#This Row],[Total Cost]]</f>
        <v>44550</v>
      </c>
    </row>
    <row r="499" spans="1:15" x14ac:dyDescent="0.55000000000000004">
      <c r="A499" s="3">
        <v>498</v>
      </c>
      <c r="B499" s="4">
        <v>45163</v>
      </c>
      <c r="C499" s="4" t="str">
        <f>TEXT(Table1[[#This Row],[Date]],"YYYY")</f>
        <v>2023</v>
      </c>
      <c r="D499" s="4" t="str">
        <f>TEXT(Table1[[#This Row],[Date]],"MMM")</f>
        <v>Aug</v>
      </c>
      <c r="E499" s="5" t="s">
        <v>39</v>
      </c>
      <c r="F499" s="3" t="s">
        <v>18</v>
      </c>
      <c r="G499" s="3" t="s">
        <v>42</v>
      </c>
      <c r="H499" s="3" t="s">
        <v>43</v>
      </c>
      <c r="I499" s="3"/>
      <c r="J499" s="3">
        <v>9000</v>
      </c>
      <c r="K499" s="3">
        <v>10000</v>
      </c>
      <c r="L499" s="3">
        <v>27</v>
      </c>
      <c r="M499">
        <f>Table1[[#This Row],[Qty]]*Table1[[#This Row],[Sales Price]]</f>
        <v>270000</v>
      </c>
      <c r="N499">
        <f>Table1[[#This Row],[Qty]]*Table1[[#This Row],[Cost]]</f>
        <v>243000</v>
      </c>
      <c r="O499">
        <f>Table1[[#This Row],[Revenue]]-Table1[[#This Row],[Total Cost]]</f>
        <v>27000</v>
      </c>
    </row>
    <row r="500" spans="1:15" x14ac:dyDescent="0.55000000000000004">
      <c r="A500" s="3">
        <v>499</v>
      </c>
      <c r="B500" s="4">
        <v>45164</v>
      </c>
      <c r="C500" s="4" t="str">
        <f>TEXT(Table1[[#This Row],[Date]],"YYYY")</f>
        <v>2023</v>
      </c>
      <c r="D500" s="4" t="str">
        <f>TEXT(Table1[[#This Row],[Date]],"MMM")</f>
        <v>Aug</v>
      </c>
      <c r="E500" s="5" t="s">
        <v>56</v>
      </c>
      <c r="F500" s="3" t="s">
        <v>18</v>
      </c>
      <c r="G500" s="3" t="s">
        <v>44</v>
      </c>
      <c r="H500" s="3" t="s">
        <v>43</v>
      </c>
      <c r="I500" s="3"/>
      <c r="J500" s="3">
        <v>8640</v>
      </c>
      <c r="K500" s="3">
        <v>9600</v>
      </c>
      <c r="L500" s="3">
        <v>15</v>
      </c>
      <c r="M500">
        <f>Table1[[#This Row],[Qty]]*Table1[[#This Row],[Sales Price]]</f>
        <v>144000</v>
      </c>
      <c r="N500">
        <f>Table1[[#This Row],[Qty]]*Table1[[#This Row],[Cost]]</f>
        <v>129600</v>
      </c>
      <c r="O500">
        <f>Table1[[#This Row],[Revenue]]-Table1[[#This Row],[Total Cost]]</f>
        <v>14400</v>
      </c>
    </row>
    <row r="501" spans="1:15" x14ac:dyDescent="0.55000000000000004">
      <c r="A501" s="3">
        <v>500</v>
      </c>
      <c r="B501" s="4">
        <v>45165</v>
      </c>
      <c r="C501" s="4" t="str">
        <f>TEXT(Table1[[#This Row],[Date]],"YYYY")</f>
        <v>2023</v>
      </c>
      <c r="D501" s="4" t="str">
        <f>TEXT(Table1[[#This Row],[Date]],"MMM")</f>
        <v>Aug</v>
      </c>
      <c r="E501" s="5" t="s">
        <v>58</v>
      </c>
      <c r="F501" s="3" t="s">
        <v>18</v>
      </c>
      <c r="G501" s="3" t="s">
        <v>45</v>
      </c>
      <c r="H501" s="3" t="s">
        <v>43</v>
      </c>
      <c r="I501" s="3">
        <v>1</v>
      </c>
      <c r="J501" s="3">
        <v>9000</v>
      </c>
      <c r="K501" s="3">
        <v>10000</v>
      </c>
      <c r="L501" s="3">
        <v>3</v>
      </c>
      <c r="M501">
        <f>Table1[[#This Row],[Qty]]*Table1[[#This Row],[Sales Price]]</f>
        <v>30000</v>
      </c>
      <c r="N501">
        <f>Table1[[#This Row],[Qty]]*Table1[[#This Row],[Cost]]</f>
        <v>27000</v>
      </c>
      <c r="O501">
        <f>Table1[[#This Row],[Revenue]]-Table1[[#This Row],[Total Cost]]</f>
        <v>3000</v>
      </c>
    </row>
    <row r="502" spans="1:15" x14ac:dyDescent="0.55000000000000004">
      <c r="A502" s="3">
        <v>501</v>
      </c>
      <c r="B502" s="4">
        <v>45166</v>
      </c>
      <c r="C502" s="4" t="str">
        <f>TEXT(Table1[[#This Row],[Date]],"YYYY")</f>
        <v>2023</v>
      </c>
      <c r="D502" s="4" t="str">
        <f>TEXT(Table1[[#This Row],[Date]],"MMM")</f>
        <v>Aug</v>
      </c>
      <c r="E502" s="5" t="s">
        <v>56</v>
      </c>
      <c r="F502" s="3" t="s">
        <v>18</v>
      </c>
      <c r="G502" s="3" t="s">
        <v>47</v>
      </c>
      <c r="H502" s="3" t="s">
        <v>43</v>
      </c>
      <c r="I502" s="3"/>
      <c r="J502" s="3">
        <v>3870</v>
      </c>
      <c r="K502" s="3">
        <v>4300</v>
      </c>
      <c r="L502" s="3">
        <v>9</v>
      </c>
      <c r="M502">
        <f>Table1[[#This Row],[Qty]]*Table1[[#This Row],[Sales Price]]</f>
        <v>38700</v>
      </c>
      <c r="N502">
        <f>Table1[[#This Row],[Qty]]*Table1[[#This Row],[Cost]]</f>
        <v>34830</v>
      </c>
      <c r="O502">
        <f>Table1[[#This Row],[Revenue]]-Table1[[#This Row],[Total Cost]]</f>
        <v>3870</v>
      </c>
    </row>
    <row r="503" spans="1:15" x14ac:dyDescent="0.55000000000000004">
      <c r="A503" s="3">
        <v>502</v>
      </c>
      <c r="B503" s="4">
        <v>45167</v>
      </c>
      <c r="C503" s="4" t="str">
        <f>TEXT(Table1[[#This Row],[Date]],"YYYY")</f>
        <v>2023</v>
      </c>
      <c r="D503" s="4" t="str">
        <f>TEXT(Table1[[#This Row],[Date]],"MMM")</f>
        <v>Aug</v>
      </c>
      <c r="E503" s="5" t="s">
        <v>22</v>
      </c>
      <c r="F503" s="3" t="s">
        <v>18</v>
      </c>
      <c r="G503" s="3" t="s">
        <v>48</v>
      </c>
      <c r="H503" s="3" t="s">
        <v>43</v>
      </c>
      <c r="I503" s="3"/>
      <c r="J503" s="3">
        <v>8280</v>
      </c>
      <c r="K503" s="3">
        <v>9200</v>
      </c>
      <c r="L503" s="3">
        <v>22</v>
      </c>
      <c r="M503">
        <f>Table1[[#This Row],[Qty]]*Table1[[#This Row],[Sales Price]]</f>
        <v>202400</v>
      </c>
      <c r="N503">
        <f>Table1[[#This Row],[Qty]]*Table1[[#This Row],[Cost]]</f>
        <v>182160</v>
      </c>
      <c r="O503">
        <f>Table1[[#This Row],[Revenue]]-Table1[[#This Row],[Total Cost]]</f>
        <v>20240</v>
      </c>
    </row>
    <row r="504" spans="1:15" x14ac:dyDescent="0.55000000000000004">
      <c r="A504" s="3">
        <v>503</v>
      </c>
      <c r="B504" s="4">
        <v>45168</v>
      </c>
      <c r="C504" s="4" t="str">
        <f>TEXT(Table1[[#This Row],[Date]],"YYYY")</f>
        <v>2023</v>
      </c>
      <c r="D504" s="4" t="str">
        <f>TEXT(Table1[[#This Row],[Date]],"MMM")</f>
        <v>Aug</v>
      </c>
      <c r="E504" s="5" t="s">
        <v>14</v>
      </c>
      <c r="F504" s="3" t="s">
        <v>18</v>
      </c>
      <c r="G504" s="3" t="s">
        <v>48</v>
      </c>
      <c r="H504" s="3" t="s">
        <v>43</v>
      </c>
      <c r="I504" s="3"/>
      <c r="J504" s="3">
        <v>4950</v>
      </c>
      <c r="K504" s="3">
        <v>5500</v>
      </c>
      <c r="L504" s="3">
        <v>16</v>
      </c>
      <c r="M504">
        <f>Table1[[#This Row],[Qty]]*Table1[[#This Row],[Sales Price]]</f>
        <v>88000</v>
      </c>
      <c r="N504">
        <f>Table1[[#This Row],[Qty]]*Table1[[#This Row],[Cost]]</f>
        <v>79200</v>
      </c>
      <c r="O504">
        <f>Table1[[#This Row],[Revenue]]-Table1[[#This Row],[Total Cost]]</f>
        <v>8800</v>
      </c>
    </row>
    <row r="505" spans="1:15" x14ac:dyDescent="0.55000000000000004">
      <c r="A505" s="3">
        <v>504</v>
      </c>
      <c r="B505" s="4">
        <v>45169</v>
      </c>
      <c r="C505" s="4" t="str">
        <f>TEXT(Table1[[#This Row],[Date]],"YYYY")</f>
        <v>2023</v>
      </c>
      <c r="D505" s="4" t="str">
        <f>TEXT(Table1[[#This Row],[Date]],"MMM")</f>
        <v>Aug</v>
      </c>
      <c r="E505" s="5" t="s">
        <v>22</v>
      </c>
      <c r="F505" s="3" t="s">
        <v>61</v>
      </c>
      <c r="G505" s="3" t="s">
        <v>42</v>
      </c>
      <c r="H505" s="3" t="s">
        <v>43</v>
      </c>
      <c r="I505" s="3">
        <v>1</v>
      </c>
      <c r="J505" s="3">
        <v>3150</v>
      </c>
      <c r="K505" s="3">
        <v>3500</v>
      </c>
      <c r="L505" s="3">
        <v>6</v>
      </c>
      <c r="M505">
        <f>Table1[[#This Row],[Qty]]*Table1[[#This Row],[Sales Price]]</f>
        <v>21000</v>
      </c>
      <c r="N505">
        <f>Table1[[#This Row],[Qty]]*Table1[[#This Row],[Cost]]</f>
        <v>18900</v>
      </c>
      <c r="O505">
        <f>Table1[[#This Row],[Revenue]]-Table1[[#This Row],[Total Cost]]</f>
        <v>2100</v>
      </c>
    </row>
    <row r="506" spans="1:15" x14ac:dyDescent="0.55000000000000004">
      <c r="A506" s="3">
        <v>505</v>
      </c>
      <c r="B506" s="4">
        <v>45170</v>
      </c>
      <c r="C506" s="4" t="str">
        <f>TEXT(Table1[[#This Row],[Date]],"YYYY")</f>
        <v>2023</v>
      </c>
      <c r="D506" s="4" t="str">
        <f>TEXT(Table1[[#This Row],[Date]],"MMM")</f>
        <v>Sep</v>
      </c>
      <c r="E506" s="5" t="s">
        <v>31</v>
      </c>
      <c r="F506" s="3" t="s">
        <v>18</v>
      </c>
      <c r="G506" s="3" t="s">
        <v>27</v>
      </c>
      <c r="H506" s="3" t="s">
        <v>28</v>
      </c>
      <c r="I506" s="3">
        <v>1</v>
      </c>
      <c r="J506" s="3">
        <v>2700</v>
      </c>
      <c r="K506" s="3">
        <v>3000</v>
      </c>
      <c r="L506" s="3">
        <v>3</v>
      </c>
      <c r="M506">
        <f>Table1[[#This Row],[Qty]]*Table1[[#This Row],[Sales Price]]</f>
        <v>9000</v>
      </c>
      <c r="N506">
        <f>Table1[[#This Row],[Qty]]*Table1[[#This Row],[Cost]]</f>
        <v>8100</v>
      </c>
      <c r="O506">
        <f>Table1[[#This Row],[Revenue]]-Table1[[#This Row],[Total Cost]]</f>
        <v>900</v>
      </c>
    </row>
    <row r="507" spans="1:15" x14ac:dyDescent="0.55000000000000004">
      <c r="A507" s="3">
        <v>506</v>
      </c>
      <c r="B507" s="4">
        <v>45171</v>
      </c>
      <c r="C507" s="4" t="str">
        <f>TEXT(Table1[[#This Row],[Date]],"YYYY")</f>
        <v>2023</v>
      </c>
      <c r="D507" s="4" t="str">
        <f>TEXT(Table1[[#This Row],[Date]],"MMM")</f>
        <v>Sep</v>
      </c>
      <c r="E507" s="5" t="s">
        <v>56</v>
      </c>
      <c r="F507" s="3" t="s">
        <v>15</v>
      </c>
      <c r="G507" s="3" t="s">
        <v>30</v>
      </c>
      <c r="H507" s="3" t="s">
        <v>28</v>
      </c>
      <c r="I507" s="3">
        <v>1</v>
      </c>
      <c r="J507" s="3">
        <v>4050</v>
      </c>
      <c r="K507" s="3">
        <v>4500</v>
      </c>
      <c r="L507" s="3">
        <v>5</v>
      </c>
      <c r="M507">
        <f>Table1[[#This Row],[Qty]]*Table1[[#This Row],[Sales Price]]</f>
        <v>22500</v>
      </c>
      <c r="N507">
        <f>Table1[[#This Row],[Qty]]*Table1[[#This Row],[Cost]]</f>
        <v>20250</v>
      </c>
      <c r="O507">
        <f>Table1[[#This Row],[Revenue]]-Table1[[#This Row],[Total Cost]]</f>
        <v>2250</v>
      </c>
    </row>
    <row r="508" spans="1:15" x14ac:dyDescent="0.55000000000000004">
      <c r="A508" s="3">
        <v>507</v>
      </c>
      <c r="B508" s="4">
        <v>45172</v>
      </c>
      <c r="C508" s="4" t="str">
        <f>TEXT(Table1[[#This Row],[Date]],"YYYY")</f>
        <v>2023</v>
      </c>
      <c r="D508" s="4" t="str">
        <f>TEXT(Table1[[#This Row],[Date]],"MMM")</f>
        <v>Sep</v>
      </c>
      <c r="E508" s="5" t="s">
        <v>39</v>
      </c>
      <c r="F508" s="3" t="s">
        <v>61</v>
      </c>
      <c r="G508" s="3" t="s">
        <v>32</v>
      </c>
      <c r="H508" s="3" t="s">
        <v>28</v>
      </c>
      <c r="I508" s="3">
        <v>1</v>
      </c>
      <c r="J508" s="3">
        <v>8280</v>
      </c>
      <c r="K508" s="3">
        <v>9200</v>
      </c>
      <c r="L508" s="3">
        <v>1</v>
      </c>
      <c r="M508">
        <f>Table1[[#This Row],[Qty]]*Table1[[#This Row],[Sales Price]]</f>
        <v>9200</v>
      </c>
      <c r="N508">
        <f>Table1[[#This Row],[Qty]]*Table1[[#This Row],[Cost]]</f>
        <v>8280</v>
      </c>
      <c r="O508">
        <f>Table1[[#This Row],[Revenue]]-Table1[[#This Row],[Total Cost]]</f>
        <v>920</v>
      </c>
    </row>
    <row r="509" spans="1:15" x14ac:dyDescent="0.55000000000000004">
      <c r="A509" s="3">
        <v>508</v>
      </c>
      <c r="B509" s="4">
        <v>45173</v>
      </c>
      <c r="C509" s="4" t="str">
        <f>TEXT(Table1[[#This Row],[Date]],"YYYY")</f>
        <v>2023</v>
      </c>
      <c r="D509" s="4" t="str">
        <f>TEXT(Table1[[#This Row],[Date]],"MMM")</f>
        <v>Sep</v>
      </c>
      <c r="E509" s="5" t="s">
        <v>33</v>
      </c>
      <c r="F509" s="3" t="s">
        <v>18</v>
      </c>
      <c r="G509" s="3" t="s">
        <v>34</v>
      </c>
      <c r="H509" s="3" t="s">
        <v>28</v>
      </c>
      <c r="I509" s="3">
        <v>1</v>
      </c>
      <c r="J509" s="3">
        <v>4950</v>
      </c>
      <c r="K509" s="3">
        <v>5500</v>
      </c>
      <c r="L509" s="3">
        <v>5</v>
      </c>
      <c r="M509">
        <f>Table1[[#This Row],[Qty]]*Table1[[#This Row],[Sales Price]]</f>
        <v>27500</v>
      </c>
      <c r="N509">
        <f>Table1[[#This Row],[Qty]]*Table1[[#This Row],[Cost]]</f>
        <v>24750</v>
      </c>
      <c r="O509">
        <f>Table1[[#This Row],[Revenue]]-Table1[[#This Row],[Total Cost]]</f>
        <v>2750</v>
      </c>
    </row>
    <row r="510" spans="1:15" x14ac:dyDescent="0.55000000000000004">
      <c r="A510" s="3">
        <v>509</v>
      </c>
      <c r="B510" s="4">
        <v>45174</v>
      </c>
      <c r="C510" s="4" t="str">
        <f>TEXT(Table1[[#This Row],[Date]],"YYYY")</f>
        <v>2023</v>
      </c>
      <c r="D510" s="4" t="str">
        <f>TEXT(Table1[[#This Row],[Date]],"MMM")</f>
        <v>Sep</v>
      </c>
      <c r="E510" s="5" t="s">
        <v>55</v>
      </c>
      <c r="F510" s="3" t="s">
        <v>15</v>
      </c>
      <c r="G510" s="3" t="s">
        <v>41</v>
      </c>
      <c r="H510" s="3" t="s">
        <v>28</v>
      </c>
      <c r="I510" s="3">
        <v>1</v>
      </c>
      <c r="J510" s="3">
        <v>3150</v>
      </c>
      <c r="K510" s="3">
        <v>3500</v>
      </c>
      <c r="L510" s="3">
        <v>7</v>
      </c>
      <c r="M510">
        <f>Table1[[#This Row],[Qty]]*Table1[[#This Row],[Sales Price]]</f>
        <v>24500</v>
      </c>
      <c r="N510">
        <f>Table1[[#This Row],[Qty]]*Table1[[#This Row],[Cost]]</f>
        <v>22050</v>
      </c>
      <c r="O510">
        <f>Table1[[#This Row],[Revenue]]-Table1[[#This Row],[Total Cost]]</f>
        <v>2450</v>
      </c>
    </row>
    <row r="511" spans="1:15" x14ac:dyDescent="0.55000000000000004">
      <c r="A511" s="3">
        <v>510</v>
      </c>
      <c r="B511" s="4">
        <v>45175</v>
      </c>
      <c r="C511" s="4" t="str">
        <f>TEXT(Table1[[#This Row],[Date]],"YYYY")</f>
        <v>2023</v>
      </c>
      <c r="D511" s="4" t="str">
        <f>TEXT(Table1[[#This Row],[Date]],"MMM")</f>
        <v>Sep</v>
      </c>
      <c r="E511" s="5" t="s">
        <v>24</v>
      </c>
      <c r="F511" s="3" t="s">
        <v>61</v>
      </c>
      <c r="G511" s="3" t="s">
        <v>27</v>
      </c>
      <c r="H511" s="3" t="s">
        <v>28</v>
      </c>
      <c r="I511" s="3">
        <v>1</v>
      </c>
      <c r="J511" s="3">
        <v>2700</v>
      </c>
      <c r="K511" s="3">
        <v>3000</v>
      </c>
      <c r="L511" s="3">
        <v>4</v>
      </c>
      <c r="M511">
        <f>Table1[[#This Row],[Qty]]*Table1[[#This Row],[Sales Price]]</f>
        <v>12000</v>
      </c>
      <c r="N511">
        <f>Table1[[#This Row],[Qty]]*Table1[[#This Row],[Cost]]</f>
        <v>10800</v>
      </c>
      <c r="O511">
        <f>Table1[[#This Row],[Revenue]]-Table1[[#This Row],[Total Cost]]</f>
        <v>1200</v>
      </c>
    </row>
    <row r="512" spans="1:15" x14ac:dyDescent="0.55000000000000004">
      <c r="A512" s="3">
        <v>511</v>
      </c>
      <c r="B512" s="4">
        <v>45176</v>
      </c>
      <c r="C512" s="4" t="str">
        <f>TEXT(Table1[[#This Row],[Date]],"YYYY")</f>
        <v>2023</v>
      </c>
      <c r="D512" s="4" t="str">
        <f>TEXT(Table1[[#This Row],[Date]],"MMM")</f>
        <v>Sep</v>
      </c>
      <c r="E512" s="5" t="s">
        <v>56</v>
      </c>
      <c r="F512" s="3" t="s">
        <v>18</v>
      </c>
      <c r="G512" s="3" t="s">
        <v>32</v>
      </c>
      <c r="H512" s="3" t="s">
        <v>28</v>
      </c>
      <c r="I512" s="3"/>
      <c r="J512" s="3">
        <v>4050</v>
      </c>
      <c r="K512" s="3">
        <v>4500</v>
      </c>
      <c r="L512" s="3">
        <v>8</v>
      </c>
      <c r="M512">
        <f>Table1[[#This Row],[Qty]]*Table1[[#This Row],[Sales Price]]</f>
        <v>36000</v>
      </c>
      <c r="N512">
        <f>Table1[[#This Row],[Qty]]*Table1[[#This Row],[Cost]]</f>
        <v>32400</v>
      </c>
      <c r="O512">
        <f>Table1[[#This Row],[Revenue]]-Table1[[#This Row],[Total Cost]]</f>
        <v>3600</v>
      </c>
    </row>
    <row r="513" spans="1:15" x14ac:dyDescent="0.55000000000000004">
      <c r="A513" s="3">
        <v>512</v>
      </c>
      <c r="B513" s="4">
        <v>45177</v>
      </c>
      <c r="C513" s="4" t="str">
        <f>TEXT(Table1[[#This Row],[Date]],"YYYY")</f>
        <v>2023</v>
      </c>
      <c r="D513" s="4" t="str">
        <f>TEXT(Table1[[#This Row],[Date]],"MMM")</f>
        <v>Sep</v>
      </c>
      <c r="E513" s="5" t="s">
        <v>24</v>
      </c>
      <c r="F513" s="3" t="s">
        <v>15</v>
      </c>
      <c r="G513" s="3" t="s">
        <v>27</v>
      </c>
      <c r="H513" s="3" t="s">
        <v>28</v>
      </c>
      <c r="I513" s="3"/>
      <c r="J513" s="3">
        <v>8280</v>
      </c>
      <c r="K513" s="3">
        <v>9200</v>
      </c>
      <c r="L513" s="3">
        <v>8</v>
      </c>
      <c r="M513">
        <f>Table1[[#This Row],[Qty]]*Table1[[#This Row],[Sales Price]]</f>
        <v>73600</v>
      </c>
      <c r="N513">
        <f>Table1[[#This Row],[Qty]]*Table1[[#This Row],[Cost]]</f>
        <v>66240</v>
      </c>
      <c r="O513">
        <f>Table1[[#This Row],[Revenue]]-Table1[[#This Row],[Total Cost]]</f>
        <v>7360</v>
      </c>
    </row>
    <row r="514" spans="1:15" x14ac:dyDescent="0.55000000000000004">
      <c r="A514" s="3">
        <v>513</v>
      </c>
      <c r="B514" s="4">
        <v>45178</v>
      </c>
      <c r="C514" s="4" t="str">
        <f>TEXT(Table1[[#This Row],[Date]],"YYYY")</f>
        <v>2023</v>
      </c>
      <c r="D514" s="4" t="str">
        <f>TEXT(Table1[[#This Row],[Date]],"MMM")</f>
        <v>Sep</v>
      </c>
      <c r="E514" s="5" t="s">
        <v>50</v>
      </c>
      <c r="F514" s="3" t="s">
        <v>61</v>
      </c>
      <c r="G514" s="3" t="s">
        <v>19</v>
      </c>
      <c r="H514" s="3" t="s">
        <v>17</v>
      </c>
      <c r="I514" s="3">
        <v>1</v>
      </c>
      <c r="J514" s="3">
        <v>4950</v>
      </c>
      <c r="K514" s="3">
        <v>5500</v>
      </c>
      <c r="L514" s="3">
        <v>9</v>
      </c>
      <c r="M514">
        <f>Table1[[#This Row],[Qty]]*Table1[[#This Row],[Sales Price]]</f>
        <v>49500</v>
      </c>
      <c r="N514">
        <f>Table1[[#This Row],[Qty]]*Table1[[#This Row],[Cost]]</f>
        <v>44550</v>
      </c>
      <c r="O514">
        <f>Table1[[#This Row],[Revenue]]-Table1[[#This Row],[Total Cost]]</f>
        <v>4950</v>
      </c>
    </row>
    <row r="515" spans="1:15" x14ac:dyDescent="0.55000000000000004">
      <c r="A515" s="3">
        <v>514</v>
      </c>
      <c r="B515" s="4">
        <v>45179</v>
      </c>
      <c r="C515" s="4" t="str">
        <f>TEXT(Table1[[#This Row],[Date]],"YYYY")</f>
        <v>2023</v>
      </c>
      <c r="D515" s="4" t="str">
        <f>TEXT(Table1[[#This Row],[Date]],"MMM")</f>
        <v>Sep</v>
      </c>
      <c r="E515" s="5" t="s">
        <v>22</v>
      </c>
      <c r="F515" s="3" t="s">
        <v>18</v>
      </c>
      <c r="G515" s="3" t="s">
        <v>21</v>
      </c>
      <c r="H515" s="3" t="s">
        <v>17</v>
      </c>
      <c r="I515" s="3">
        <v>1</v>
      </c>
      <c r="J515" s="3">
        <v>3150</v>
      </c>
      <c r="K515" s="3">
        <v>3500</v>
      </c>
      <c r="L515" s="3">
        <v>2</v>
      </c>
      <c r="M515">
        <f>Table1[[#This Row],[Qty]]*Table1[[#This Row],[Sales Price]]</f>
        <v>7000</v>
      </c>
      <c r="N515">
        <f>Table1[[#This Row],[Qty]]*Table1[[#This Row],[Cost]]</f>
        <v>6300</v>
      </c>
      <c r="O515">
        <f>Table1[[#This Row],[Revenue]]-Table1[[#This Row],[Total Cost]]</f>
        <v>700</v>
      </c>
    </row>
    <row r="516" spans="1:15" x14ac:dyDescent="0.55000000000000004">
      <c r="A516" s="3">
        <v>515</v>
      </c>
      <c r="B516" s="4">
        <v>45180</v>
      </c>
      <c r="C516" s="4" t="str">
        <f>TEXT(Table1[[#This Row],[Date]],"YYYY")</f>
        <v>2023</v>
      </c>
      <c r="D516" s="4" t="str">
        <f>TEXT(Table1[[#This Row],[Date]],"MMM")</f>
        <v>Sep</v>
      </c>
      <c r="E516" s="5" t="s">
        <v>56</v>
      </c>
      <c r="F516" s="3" t="s">
        <v>15</v>
      </c>
      <c r="G516" s="3" t="s">
        <v>23</v>
      </c>
      <c r="H516" s="3" t="s">
        <v>17</v>
      </c>
      <c r="I516" s="3">
        <v>1</v>
      </c>
      <c r="J516" s="3">
        <v>2700</v>
      </c>
      <c r="K516" s="3">
        <v>3000</v>
      </c>
      <c r="L516" s="3">
        <v>1</v>
      </c>
      <c r="M516">
        <f>Table1[[#This Row],[Qty]]*Table1[[#This Row],[Sales Price]]</f>
        <v>3000</v>
      </c>
      <c r="N516">
        <f>Table1[[#This Row],[Qty]]*Table1[[#This Row],[Cost]]</f>
        <v>2700</v>
      </c>
      <c r="O516">
        <f>Table1[[#This Row],[Revenue]]-Table1[[#This Row],[Total Cost]]</f>
        <v>300</v>
      </c>
    </row>
    <row r="517" spans="1:15" x14ac:dyDescent="0.55000000000000004">
      <c r="A517" s="3">
        <v>516</v>
      </c>
      <c r="B517" s="4">
        <v>45181</v>
      </c>
      <c r="C517" s="4" t="str">
        <f>TEXT(Table1[[#This Row],[Date]],"YYYY")</f>
        <v>2023</v>
      </c>
      <c r="D517" s="4" t="str">
        <f>TEXT(Table1[[#This Row],[Date]],"MMM")</f>
        <v>Sep</v>
      </c>
      <c r="E517" s="5" t="s">
        <v>40</v>
      </c>
      <c r="F517" s="3" t="s">
        <v>61</v>
      </c>
      <c r="G517" s="3" t="s">
        <v>25</v>
      </c>
      <c r="H517" s="3" t="s">
        <v>17</v>
      </c>
      <c r="I517" s="3">
        <v>0</v>
      </c>
      <c r="J517" s="3">
        <v>4050</v>
      </c>
      <c r="K517" s="3">
        <v>4500</v>
      </c>
      <c r="L517" s="3">
        <v>22</v>
      </c>
      <c r="M517">
        <f>Table1[[#This Row],[Qty]]*Table1[[#This Row],[Sales Price]]</f>
        <v>99000</v>
      </c>
      <c r="N517">
        <f>Table1[[#This Row],[Qty]]*Table1[[#This Row],[Cost]]</f>
        <v>89100</v>
      </c>
      <c r="O517">
        <f>Table1[[#This Row],[Revenue]]-Table1[[#This Row],[Total Cost]]</f>
        <v>9900</v>
      </c>
    </row>
    <row r="518" spans="1:15" x14ac:dyDescent="0.55000000000000004">
      <c r="A518" s="3">
        <v>517</v>
      </c>
      <c r="B518" s="4">
        <v>45182</v>
      </c>
      <c r="C518" s="4" t="str">
        <f>TEXT(Table1[[#This Row],[Date]],"YYYY")</f>
        <v>2023</v>
      </c>
      <c r="D518" s="4" t="str">
        <f>TEXT(Table1[[#This Row],[Date]],"MMM")</f>
        <v>Sep</v>
      </c>
      <c r="E518" s="5" t="s">
        <v>54</v>
      </c>
      <c r="F518" s="3" t="s">
        <v>18</v>
      </c>
      <c r="G518" s="3" t="s">
        <v>26</v>
      </c>
      <c r="H518" s="3" t="s">
        <v>17</v>
      </c>
      <c r="I518" s="3">
        <v>1</v>
      </c>
      <c r="J518" s="3">
        <v>8280</v>
      </c>
      <c r="K518" s="3">
        <v>9200</v>
      </c>
      <c r="L518" s="3">
        <v>8</v>
      </c>
      <c r="M518">
        <f>Table1[[#This Row],[Qty]]*Table1[[#This Row],[Sales Price]]</f>
        <v>73600</v>
      </c>
      <c r="N518">
        <f>Table1[[#This Row],[Qty]]*Table1[[#This Row],[Cost]]</f>
        <v>66240</v>
      </c>
      <c r="O518">
        <f>Table1[[#This Row],[Revenue]]-Table1[[#This Row],[Total Cost]]</f>
        <v>7360</v>
      </c>
    </row>
    <row r="519" spans="1:15" x14ac:dyDescent="0.55000000000000004">
      <c r="A519" s="3">
        <v>518</v>
      </c>
      <c r="B519" s="4">
        <v>45183</v>
      </c>
      <c r="C519" s="4" t="str">
        <f>TEXT(Table1[[#This Row],[Date]],"YYYY")</f>
        <v>2023</v>
      </c>
      <c r="D519" s="4" t="str">
        <f>TEXT(Table1[[#This Row],[Date]],"MMM")</f>
        <v>Sep</v>
      </c>
      <c r="E519" s="5" t="s">
        <v>31</v>
      </c>
      <c r="F519" s="3" t="s">
        <v>15</v>
      </c>
      <c r="G519" s="3" t="s">
        <v>27</v>
      </c>
      <c r="H519" s="3" t="s">
        <v>28</v>
      </c>
      <c r="I519" s="3">
        <v>0</v>
      </c>
      <c r="J519" s="3">
        <v>4950</v>
      </c>
      <c r="K519" s="3">
        <v>5500</v>
      </c>
      <c r="L519" s="3">
        <v>7</v>
      </c>
      <c r="M519">
        <f>Table1[[#This Row],[Qty]]*Table1[[#This Row],[Sales Price]]</f>
        <v>38500</v>
      </c>
      <c r="N519">
        <f>Table1[[#This Row],[Qty]]*Table1[[#This Row],[Cost]]</f>
        <v>34650</v>
      </c>
      <c r="O519">
        <f>Table1[[#This Row],[Revenue]]-Table1[[#This Row],[Total Cost]]</f>
        <v>3850</v>
      </c>
    </row>
    <row r="520" spans="1:15" x14ac:dyDescent="0.55000000000000004">
      <c r="A520" s="3">
        <v>519</v>
      </c>
      <c r="B520" s="4">
        <v>45184</v>
      </c>
      <c r="C520" s="4" t="str">
        <f>TEXT(Table1[[#This Row],[Date]],"YYYY")</f>
        <v>2023</v>
      </c>
      <c r="D520" s="4" t="str">
        <f>TEXT(Table1[[#This Row],[Date]],"MMM")</f>
        <v>Sep</v>
      </c>
      <c r="E520" s="5" t="s">
        <v>57</v>
      </c>
      <c r="F520" s="3" t="s">
        <v>61</v>
      </c>
      <c r="G520" s="3" t="s">
        <v>30</v>
      </c>
      <c r="H520" s="3" t="s">
        <v>28</v>
      </c>
      <c r="I520" s="3"/>
      <c r="J520" s="3">
        <v>3150</v>
      </c>
      <c r="K520" s="3">
        <v>3500</v>
      </c>
      <c r="L520" s="3">
        <v>56</v>
      </c>
      <c r="M520">
        <f>Table1[[#This Row],[Qty]]*Table1[[#This Row],[Sales Price]]</f>
        <v>196000</v>
      </c>
      <c r="N520">
        <f>Table1[[#This Row],[Qty]]*Table1[[#This Row],[Cost]]</f>
        <v>176400</v>
      </c>
      <c r="O520">
        <f>Table1[[#This Row],[Revenue]]-Table1[[#This Row],[Total Cost]]</f>
        <v>19600</v>
      </c>
    </row>
    <row r="521" spans="1:15" x14ac:dyDescent="0.55000000000000004">
      <c r="A521" s="3">
        <v>520</v>
      </c>
      <c r="B521" s="4">
        <v>45185</v>
      </c>
      <c r="C521" s="4" t="str">
        <f>TEXT(Table1[[#This Row],[Date]],"YYYY")</f>
        <v>2023</v>
      </c>
      <c r="D521" s="4" t="str">
        <f>TEXT(Table1[[#This Row],[Date]],"MMM")</f>
        <v>Sep</v>
      </c>
      <c r="E521" s="5" t="s">
        <v>39</v>
      </c>
      <c r="F521" s="3" t="s">
        <v>18</v>
      </c>
      <c r="G521" s="3" t="s">
        <v>32</v>
      </c>
      <c r="H521" s="3" t="s">
        <v>28</v>
      </c>
      <c r="I521" s="3"/>
      <c r="J521" s="3">
        <v>2700</v>
      </c>
      <c r="K521" s="3">
        <v>3000</v>
      </c>
      <c r="L521" s="3">
        <v>10</v>
      </c>
      <c r="M521">
        <f>Table1[[#This Row],[Qty]]*Table1[[#This Row],[Sales Price]]</f>
        <v>30000</v>
      </c>
      <c r="N521">
        <f>Table1[[#This Row],[Qty]]*Table1[[#This Row],[Cost]]</f>
        <v>27000</v>
      </c>
      <c r="O521">
        <f>Table1[[#This Row],[Revenue]]-Table1[[#This Row],[Total Cost]]</f>
        <v>3000</v>
      </c>
    </row>
    <row r="522" spans="1:15" x14ac:dyDescent="0.55000000000000004">
      <c r="A522" s="3">
        <v>521</v>
      </c>
      <c r="B522" s="4">
        <v>45186</v>
      </c>
      <c r="C522" s="4" t="str">
        <f>TEXT(Table1[[#This Row],[Date]],"YYYY")</f>
        <v>2023</v>
      </c>
      <c r="D522" s="4" t="str">
        <f>TEXT(Table1[[#This Row],[Date]],"MMM")</f>
        <v>Sep</v>
      </c>
      <c r="E522" s="5" t="s">
        <v>49</v>
      </c>
      <c r="F522" s="3" t="s">
        <v>15</v>
      </c>
      <c r="G522" s="3" t="s">
        <v>19</v>
      </c>
      <c r="H522" s="3" t="s">
        <v>17</v>
      </c>
      <c r="I522" s="3"/>
      <c r="J522" s="3">
        <v>4050</v>
      </c>
      <c r="K522" s="3">
        <v>4500</v>
      </c>
      <c r="L522" s="3">
        <v>9</v>
      </c>
      <c r="M522">
        <f>Table1[[#This Row],[Qty]]*Table1[[#This Row],[Sales Price]]</f>
        <v>40500</v>
      </c>
      <c r="N522">
        <f>Table1[[#This Row],[Qty]]*Table1[[#This Row],[Cost]]</f>
        <v>36450</v>
      </c>
      <c r="O522">
        <f>Table1[[#This Row],[Revenue]]-Table1[[#This Row],[Total Cost]]</f>
        <v>4050</v>
      </c>
    </row>
    <row r="523" spans="1:15" x14ac:dyDescent="0.55000000000000004">
      <c r="A523" s="3">
        <v>522</v>
      </c>
      <c r="B523" s="4">
        <v>45187</v>
      </c>
      <c r="C523" s="4" t="str">
        <f>TEXT(Table1[[#This Row],[Date]],"YYYY")</f>
        <v>2023</v>
      </c>
      <c r="D523" s="4" t="str">
        <f>TEXT(Table1[[#This Row],[Date]],"MMM")</f>
        <v>Sep</v>
      </c>
      <c r="E523" s="5" t="s">
        <v>14</v>
      </c>
      <c r="F523" s="3" t="s">
        <v>61</v>
      </c>
      <c r="G523" s="3" t="s">
        <v>21</v>
      </c>
      <c r="H523" s="3" t="s">
        <v>17</v>
      </c>
      <c r="I523" s="3">
        <v>1</v>
      </c>
      <c r="J523" s="3">
        <v>24750</v>
      </c>
      <c r="K523" s="3">
        <v>27500</v>
      </c>
      <c r="L523" s="3">
        <v>27</v>
      </c>
      <c r="M523">
        <f>Table1[[#This Row],[Qty]]*Table1[[#This Row],[Sales Price]]</f>
        <v>742500</v>
      </c>
      <c r="N523">
        <f>Table1[[#This Row],[Qty]]*Table1[[#This Row],[Cost]]</f>
        <v>668250</v>
      </c>
      <c r="O523">
        <f>Table1[[#This Row],[Revenue]]-Table1[[#This Row],[Total Cost]]</f>
        <v>74250</v>
      </c>
    </row>
    <row r="524" spans="1:15" x14ac:dyDescent="0.55000000000000004">
      <c r="A524" s="3">
        <v>523</v>
      </c>
      <c r="B524" s="4">
        <v>45188</v>
      </c>
      <c r="C524" s="4" t="str">
        <f>TEXT(Table1[[#This Row],[Date]],"YYYY")</f>
        <v>2023</v>
      </c>
      <c r="D524" s="4" t="str">
        <f>TEXT(Table1[[#This Row],[Date]],"MMM")</f>
        <v>Sep</v>
      </c>
      <c r="E524" s="5" t="s">
        <v>24</v>
      </c>
      <c r="F524" s="3" t="s">
        <v>18</v>
      </c>
      <c r="G524" s="3" t="s">
        <v>23</v>
      </c>
      <c r="H524" s="3" t="s">
        <v>17</v>
      </c>
      <c r="I524" s="3">
        <v>1</v>
      </c>
      <c r="J524" s="3">
        <v>44550</v>
      </c>
      <c r="K524" s="3">
        <v>49500</v>
      </c>
      <c r="L524" s="3">
        <v>15</v>
      </c>
      <c r="M524">
        <f>Table1[[#This Row],[Qty]]*Table1[[#This Row],[Sales Price]]</f>
        <v>742500</v>
      </c>
      <c r="N524">
        <f>Table1[[#This Row],[Qty]]*Table1[[#This Row],[Cost]]</f>
        <v>668250</v>
      </c>
      <c r="O524">
        <f>Table1[[#This Row],[Revenue]]-Table1[[#This Row],[Total Cost]]</f>
        <v>74250</v>
      </c>
    </row>
    <row r="525" spans="1:15" x14ac:dyDescent="0.55000000000000004">
      <c r="A525" s="3">
        <v>524</v>
      </c>
      <c r="B525" s="4">
        <v>45189</v>
      </c>
      <c r="C525" s="4" t="str">
        <f>TEXT(Table1[[#This Row],[Date]],"YYYY")</f>
        <v>2023</v>
      </c>
      <c r="D525" s="4" t="str">
        <f>TEXT(Table1[[#This Row],[Date]],"MMM")</f>
        <v>Sep</v>
      </c>
      <c r="E525" s="5" t="s">
        <v>65</v>
      </c>
      <c r="F525" s="3" t="s">
        <v>61</v>
      </c>
      <c r="G525" s="3" t="s">
        <v>25</v>
      </c>
      <c r="H525" s="3" t="s">
        <v>17</v>
      </c>
      <c r="I525" s="3">
        <v>0</v>
      </c>
      <c r="J525" s="3">
        <v>9000</v>
      </c>
      <c r="K525" s="3">
        <v>10000</v>
      </c>
      <c r="L525" s="3">
        <v>3</v>
      </c>
      <c r="M525">
        <f>Table1[[#This Row],[Qty]]*Table1[[#This Row],[Sales Price]]</f>
        <v>30000</v>
      </c>
      <c r="N525">
        <f>Table1[[#This Row],[Qty]]*Table1[[#This Row],[Cost]]</f>
        <v>27000</v>
      </c>
      <c r="O525">
        <f>Table1[[#This Row],[Revenue]]-Table1[[#This Row],[Total Cost]]</f>
        <v>3000</v>
      </c>
    </row>
    <row r="526" spans="1:15" x14ac:dyDescent="0.55000000000000004">
      <c r="A526" s="3">
        <v>525</v>
      </c>
      <c r="B526" s="4">
        <v>45190</v>
      </c>
      <c r="C526" s="4" t="str">
        <f>TEXT(Table1[[#This Row],[Date]],"YYYY")</f>
        <v>2023</v>
      </c>
      <c r="D526" s="4" t="str">
        <f>TEXT(Table1[[#This Row],[Date]],"MMM")</f>
        <v>Sep</v>
      </c>
      <c r="E526" s="5" t="s">
        <v>56</v>
      </c>
      <c r="F526" s="3" t="s">
        <v>18</v>
      </c>
      <c r="G526" s="3" t="s">
        <v>26</v>
      </c>
      <c r="H526" s="3" t="s">
        <v>17</v>
      </c>
      <c r="I526" s="3">
        <v>1</v>
      </c>
      <c r="J526" s="3">
        <v>8640</v>
      </c>
      <c r="K526" s="3">
        <v>9600</v>
      </c>
      <c r="L526" s="3">
        <v>9</v>
      </c>
      <c r="M526">
        <f>Table1[[#This Row],[Qty]]*Table1[[#This Row],[Sales Price]]</f>
        <v>86400</v>
      </c>
      <c r="N526">
        <f>Table1[[#This Row],[Qty]]*Table1[[#This Row],[Cost]]</f>
        <v>77760</v>
      </c>
      <c r="O526">
        <f>Table1[[#This Row],[Revenue]]-Table1[[#This Row],[Total Cost]]</f>
        <v>8640</v>
      </c>
    </row>
    <row r="527" spans="1:15" x14ac:dyDescent="0.55000000000000004">
      <c r="A527" s="3">
        <v>526</v>
      </c>
      <c r="B527" s="4">
        <v>45191</v>
      </c>
      <c r="C527" s="4" t="str">
        <f>TEXT(Table1[[#This Row],[Date]],"YYYY")</f>
        <v>2023</v>
      </c>
      <c r="D527" s="4" t="str">
        <f>TEXT(Table1[[#This Row],[Date]],"MMM")</f>
        <v>Sep</v>
      </c>
      <c r="E527" s="5" t="s">
        <v>22</v>
      </c>
      <c r="F527" s="3" t="s">
        <v>61</v>
      </c>
      <c r="G527" s="3" t="s">
        <v>27</v>
      </c>
      <c r="H527" s="3" t="s">
        <v>28</v>
      </c>
      <c r="I527" s="3">
        <v>1</v>
      </c>
      <c r="J527" s="3">
        <v>9000</v>
      </c>
      <c r="K527" s="3">
        <v>10000</v>
      </c>
      <c r="L527" s="3">
        <v>22</v>
      </c>
      <c r="M527">
        <f>Table1[[#This Row],[Qty]]*Table1[[#This Row],[Sales Price]]</f>
        <v>220000</v>
      </c>
      <c r="N527">
        <f>Table1[[#This Row],[Qty]]*Table1[[#This Row],[Cost]]</f>
        <v>198000</v>
      </c>
      <c r="O527">
        <f>Table1[[#This Row],[Revenue]]-Table1[[#This Row],[Total Cost]]</f>
        <v>22000</v>
      </c>
    </row>
    <row r="528" spans="1:15" x14ac:dyDescent="0.55000000000000004">
      <c r="A528" s="3">
        <v>527</v>
      </c>
      <c r="B528" s="4">
        <v>45192</v>
      </c>
      <c r="C528" s="4" t="str">
        <f>TEXT(Table1[[#This Row],[Date]],"YYYY")</f>
        <v>2023</v>
      </c>
      <c r="D528" s="4" t="str">
        <f>TEXT(Table1[[#This Row],[Date]],"MMM")</f>
        <v>Sep</v>
      </c>
      <c r="E528" s="5" t="s">
        <v>22</v>
      </c>
      <c r="F528" s="3" t="s">
        <v>18</v>
      </c>
      <c r="G528" s="3" t="s">
        <v>30</v>
      </c>
      <c r="H528" s="3" t="s">
        <v>28</v>
      </c>
      <c r="I528" s="3">
        <v>1</v>
      </c>
      <c r="J528" s="3">
        <v>3870</v>
      </c>
      <c r="K528" s="3">
        <v>4300</v>
      </c>
      <c r="L528" s="3">
        <v>16</v>
      </c>
      <c r="M528">
        <f>Table1[[#This Row],[Qty]]*Table1[[#This Row],[Sales Price]]</f>
        <v>68800</v>
      </c>
      <c r="N528">
        <f>Table1[[#This Row],[Qty]]*Table1[[#This Row],[Cost]]</f>
        <v>61920</v>
      </c>
      <c r="O528">
        <f>Table1[[#This Row],[Revenue]]-Table1[[#This Row],[Total Cost]]</f>
        <v>6880</v>
      </c>
    </row>
    <row r="529" spans="1:15" x14ac:dyDescent="0.55000000000000004">
      <c r="A529" s="3">
        <v>528</v>
      </c>
      <c r="B529" s="4">
        <v>45193</v>
      </c>
      <c r="C529" s="4" t="str">
        <f>TEXT(Table1[[#This Row],[Date]],"YYYY")</f>
        <v>2023</v>
      </c>
      <c r="D529" s="4" t="str">
        <f>TEXT(Table1[[#This Row],[Date]],"MMM")</f>
        <v>Sep</v>
      </c>
      <c r="E529" s="5" t="s">
        <v>33</v>
      </c>
      <c r="F529" s="3" t="s">
        <v>61</v>
      </c>
      <c r="G529" s="3" t="s">
        <v>32</v>
      </c>
      <c r="H529" s="3" t="s">
        <v>28</v>
      </c>
      <c r="I529" s="3">
        <v>1</v>
      </c>
      <c r="J529" s="3">
        <v>45450</v>
      </c>
      <c r="K529" s="3">
        <v>50500</v>
      </c>
      <c r="L529" s="3">
        <v>6</v>
      </c>
      <c r="M529">
        <f>Table1[[#This Row],[Qty]]*Table1[[#This Row],[Sales Price]]</f>
        <v>303000</v>
      </c>
      <c r="N529">
        <f>Table1[[#This Row],[Qty]]*Table1[[#This Row],[Cost]]</f>
        <v>272700</v>
      </c>
      <c r="O529">
        <f>Table1[[#This Row],[Revenue]]-Table1[[#This Row],[Total Cost]]</f>
        <v>30300</v>
      </c>
    </row>
    <row r="530" spans="1:15" x14ac:dyDescent="0.55000000000000004">
      <c r="A530" s="3">
        <v>529</v>
      </c>
      <c r="B530" s="4">
        <v>45194</v>
      </c>
      <c r="C530" s="4" t="str">
        <f>TEXT(Table1[[#This Row],[Date]],"YYYY")</f>
        <v>2023</v>
      </c>
      <c r="D530" s="4" t="str">
        <f>TEXT(Table1[[#This Row],[Date]],"MMM")</f>
        <v>Sep</v>
      </c>
      <c r="E530" s="5" t="s">
        <v>39</v>
      </c>
      <c r="F530" s="3" t="s">
        <v>18</v>
      </c>
      <c r="G530" s="3" t="s">
        <v>19</v>
      </c>
      <c r="H530" s="3" t="s">
        <v>17</v>
      </c>
      <c r="I530" s="3"/>
      <c r="J530" s="3">
        <v>18225</v>
      </c>
      <c r="K530" s="3">
        <v>20250</v>
      </c>
      <c r="L530" s="3">
        <v>3</v>
      </c>
      <c r="M530">
        <f>Table1[[#This Row],[Qty]]*Table1[[#This Row],[Sales Price]]</f>
        <v>60750</v>
      </c>
      <c r="N530">
        <f>Table1[[#This Row],[Qty]]*Table1[[#This Row],[Cost]]</f>
        <v>54675</v>
      </c>
      <c r="O530">
        <f>Table1[[#This Row],[Revenue]]-Table1[[#This Row],[Total Cost]]</f>
        <v>6075</v>
      </c>
    </row>
    <row r="531" spans="1:15" x14ac:dyDescent="0.55000000000000004">
      <c r="A531" s="3">
        <v>530</v>
      </c>
      <c r="B531" s="4">
        <v>45195</v>
      </c>
      <c r="C531" s="4" t="str">
        <f>TEXT(Table1[[#This Row],[Date]],"YYYY")</f>
        <v>2023</v>
      </c>
      <c r="D531" s="4" t="str">
        <f>TEXT(Table1[[#This Row],[Date]],"MMM")</f>
        <v>Sep</v>
      </c>
      <c r="E531" s="5" t="s">
        <v>39</v>
      </c>
      <c r="F531" s="3" t="s">
        <v>61</v>
      </c>
      <c r="G531" s="3" t="s">
        <v>21</v>
      </c>
      <c r="H531" s="3" t="s">
        <v>17</v>
      </c>
      <c r="I531" s="3"/>
      <c r="J531" s="3">
        <v>1800</v>
      </c>
      <c r="K531" s="3">
        <v>2000</v>
      </c>
      <c r="L531" s="3">
        <v>5</v>
      </c>
      <c r="M531">
        <f>Table1[[#This Row],[Qty]]*Table1[[#This Row],[Sales Price]]</f>
        <v>10000</v>
      </c>
      <c r="N531">
        <f>Table1[[#This Row],[Qty]]*Table1[[#This Row],[Cost]]</f>
        <v>9000</v>
      </c>
      <c r="O531">
        <f>Table1[[#This Row],[Revenue]]-Table1[[#This Row],[Total Cost]]</f>
        <v>1000</v>
      </c>
    </row>
    <row r="532" spans="1:15" x14ac:dyDescent="0.55000000000000004">
      <c r="A532" s="3">
        <v>531</v>
      </c>
      <c r="B532" s="4">
        <v>45196</v>
      </c>
      <c r="C532" s="4" t="str">
        <f>TEXT(Table1[[#This Row],[Date]],"YYYY")</f>
        <v>2023</v>
      </c>
      <c r="D532" s="4" t="str">
        <f>TEXT(Table1[[#This Row],[Date]],"MMM")</f>
        <v>Sep</v>
      </c>
      <c r="E532" s="5" t="s">
        <v>22</v>
      </c>
      <c r="F532" s="3" t="s">
        <v>18</v>
      </c>
      <c r="G532" s="3" t="s">
        <v>23</v>
      </c>
      <c r="H532" s="3" t="s">
        <v>17</v>
      </c>
      <c r="I532" s="3">
        <v>1</v>
      </c>
      <c r="J532" s="3">
        <v>48600</v>
      </c>
      <c r="K532" s="3">
        <v>54000</v>
      </c>
      <c r="L532" s="3">
        <v>1</v>
      </c>
      <c r="M532">
        <f>Table1[[#This Row],[Qty]]*Table1[[#This Row],[Sales Price]]</f>
        <v>54000</v>
      </c>
      <c r="N532">
        <f>Table1[[#This Row],[Qty]]*Table1[[#This Row],[Cost]]</f>
        <v>48600</v>
      </c>
      <c r="O532">
        <f>Table1[[#This Row],[Revenue]]-Table1[[#This Row],[Total Cost]]</f>
        <v>5400</v>
      </c>
    </row>
    <row r="533" spans="1:15" x14ac:dyDescent="0.55000000000000004">
      <c r="A533" s="3">
        <v>532</v>
      </c>
      <c r="B533" s="4">
        <v>45197</v>
      </c>
      <c r="C533" s="4" t="str">
        <f>TEXT(Table1[[#This Row],[Date]],"YYYY")</f>
        <v>2023</v>
      </c>
      <c r="D533" s="4" t="str">
        <f>TEXT(Table1[[#This Row],[Date]],"MMM")</f>
        <v>Sep</v>
      </c>
      <c r="E533" s="5" t="s">
        <v>46</v>
      </c>
      <c r="F533" s="3" t="s">
        <v>61</v>
      </c>
      <c r="G533" s="3" t="s">
        <v>25</v>
      </c>
      <c r="H533" s="3" t="s">
        <v>17</v>
      </c>
      <c r="I533" s="3">
        <v>1</v>
      </c>
      <c r="J533" s="3">
        <v>72900</v>
      </c>
      <c r="K533" s="3">
        <v>81000</v>
      </c>
      <c r="L533" s="3">
        <v>5</v>
      </c>
      <c r="M533">
        <f>Table1[[#This Row],[Qty]]*Table1[[#This Row],[Sales Price]]</f>
        <v>405000</v>
      </c>
      <c r="N533">
        <f>Table1[[#This Row],[Qty]]*Table1[[#This Row],[Cost]]</f>
        <v>364500</v>
      </c>
      <c r="O533">
        <f>Table1[[#This Row],[Revenue]]-Table1[[#This Row],[Total Cost]]</f>
        <v>40500</v>
      </c>
    </row>
    <row r="534" spans="1:15" x14ac:dyDescent="0.55000000000000004">
      <c r="A534" s="3">
        <v>533</v>
      </c>
      <c r="B534" s="4">
        <v>45198</v>
      </c>
      <c r="C534" s="4" t="str">
        <f>TEXT(Table1[[#This Row],[Date]],"YYYY")</f>
        <v>2023</v>
      </c>
      <c r="D534" s="4" t="str">
        <f>TEXT(Table1[[#This Row],[Date]],"MMM")</f>
        <v>Sep</v>
      </c>
      <c r="E534" s="5" t="s">
        <v>52</v>
      </c>
      <c r="F534" s="3" t="s">
        <v>18</v>
      </c>
      <c r="G534" s="3" t="s">
        <v>26</v>
      </c>
      <c r="H534" s="3" t="s">
        <v>17</v>
      </c>
      <c r="I534" s="3">
        <v>1</v>
      </c>
      <c r="J534" s="3">
        <v>9450</v>
      </c>
      <c r="K534" s="3">
        <v>10500</v>
      </c>
      <c r="L534" s="3">
        <v>7</v>
      </c>
      <c r="M534">
        <f>Table1[[#This Row],[Qty]]*Table1[[#This Row],[Sales Price]]</f>
        <v>73500</v>
      </c>
      <c r="N534">
        <f>Table1[[#This Row],[Qty]]*Table1[[#This Row],[Cost]]</f>
        <v>66150</v>
      </c>
      <c r="O534">
        <f>Table1[[#This Row],[Revenue]]-Table1[[#This Row],[Total Cost]]</f>
        <v>7350</v>
      </c>
    </row>
    <row r="535" spans="1:15" x14ac:dyDescent="0.55000000000000004">
      <c r="A535" s="3">
        <v>534</v>
      </c>
      <c r="B535" s="4">
        <v>45199</v>
      </c>
      <c r="C535" s="4" t="str">
        <f>TEXT(Table1[[#This Row],[Date]],"YYYY")</f>
        <v>2023</v>
      </c>
      <c r="D535" s="4" t="str">
        <f>TEXT(Table1[[#This Row],[Date]],"MMM")</f>
        <v>Sep</v>
      </c>
      <c r="E535" s="5" t="s">
        <v>33</v>
      </c>
      <c r="F535" s="3" t="s">
        <v>61</v>
      </c>
      <c r="G535" s="3" t="s">
        <v>27</v>
      </c>
      <c r="H535" s="3" t="s">
        <v>28</v>
      </c>
      <c r="I535" s="3">
        <v>1</v>
      </c>
      <c r="J535" s="3">
        <v>36000</v>
      </c>
      <c r="K535" s="3">
        <v>40000</v>
      </c>
      <c r="L535" s="3">
        <v>4</v>
      </c>
      <c r="M535">
        <f>Table1[[#This Row],[Qty]]*Table1[[#This Row],[Sales Price]]</f>
        <v>160000</v>
      </c>
      <c r="N535">
        <f>Table1[[#This Row],[Qty]]*Table1[[#This Row],[Cost]]</f>
        <v>144000</v>
      </c>
      <c r="O535">
        <f>Table1[[#This Row],[Revenue]]-Table1[[#This Row],[Total Cost]]</f>
        <v>16000</v>
      </c>
    </row>
    <row r="536" spans="1:15" x14ac:dyDescent="0.55000000000000004">
      <c r="A536" s="3">
        <v>535</v>
      </c>
      <c r="B536" s="4">
        <v>45200</v>
      </c>
      <c r="C536" s="4" t="str">
        <f>TEXT(Table1[[#This Row],[Date]],"YYYY")</f>
        <v>2023</v>
      </c>
      <c r="D536" s="4" t="str">
        <f>TEXT(Table1[[#This Row],[Date]],"MMM")</f>
        <v>Oct</v>
      </c>
      <c r="E536" s="5" t="s">
        <v>39</v>
      </c>
      <c r="F536" s="3" t="s">
        <v>18</v>
      </c>
      <c r="G536" s="3" t="s">
        <v>30</v>
      </c>
      <c r="H536" s="3" t="s">
        <v>28</v>
      </c>
      <c r="I536" s="3">
        <v>1</v>
      </c>
      <c r="J536" s="3">
        <v>24300</v>
      </c>
      <c r="K536" s="3">
        <v>27000</v>
      </c>
      <c r="L536" s="3">
        <v>8</v>
      </c>
      <c r="M536">
        <f>Table1[[#This Row],[Qty]]*Table1[[#This Row],[Sales Price]]</f>
        <v>216000</v>
      </c>
      <c r="N536">
        <f>Table1[[#This Row],[Qty]]*Table1[[#This Row],[Cost]]</f>
        <v>194400</v>
      </c>
      <c r="O536">
        <f>Table1[[#This Row],[Revenue]]-Table1[[#This Row],[Total Cost]]</f>
        <v>21600</v>
      </c>
    </row>
    <row r="537" spans="1:15" x14ac:dyDescent="0.55000000000000004">
      <c r="A537" s="3">
        <v>536</v>
      </c>
      <c r="B537" s="4">
        <v>45201</v>
      </c>
      <c r="C537" s="4" t="str">
        <f>TEXT(Table1[[#This Row],[Date]],"YYYY")</f>
        <v>2023</v>
      </c>
      <c r="D537" s="4" t="str">
        <f>TEXT(Table1[[#This Row],[Date]],"MMM")</f>
        <v>Oct</v>
      </c>
      <c r="E537" s="5" t="s">
        <v>57</v>
      </c>
      <c r="F537" s="3" t="s">
        <v>61</v>
      </c>
      <c r="G537" s="3" t="s">
        <v>32</v>
      </c>
      <c r="H537" s="3" t="s">
        <v>28</v>
      </c>
      <c r="I537" s="3">
        <v>1</v>
      </c>
      <c r="J537" s="3">
        <v>9180</v>
      </c>
      <c r="K537" s="3">
        <v>10200</v>
      </c>
      <c r="L537" s="3">
        <v>8</v>
      </c>
      <c r="M537">
        <f>Table1[[#This Row],[Qty]]*Table1[[#This Row],[Sales Price]]</f>
        <v>81600</v>
      </c>
      <c r="N537">
        <f>Table1[[#This Row],[Qty]]*Table1[[#This Row],[Cost]]</f>
        <v>73440</v>
      </c>
      <c r="O537">
        <f>Table1[[#This Row],[Revenue]]-Table1[[#This Row],[Total Cost]]</f>
        <v>8160</v>
      </c>
    </row>
    <row r="538" spans="1:15" x14ac:dyDescent="0.55000000000000004">
      <c r="A538" s="3">
        <v>537</v>
      </c>
      <c r="B538" s="4">
        <v>45202</v>
      </c>
      <c r="C538" s="4" t="str">
        <f>TEXT(Table1[[#This Row],[Date]],"YYYY")</f>
        <v>2023</v>
      </c>
      <c r="D538" s="4" t="str">
        <f>TEXT(Table1[[#This Row],[Date]],"MMM")</f>
        <v>Oct</v>
      </c>
      <c r="E538" s="5" t="s">
        <v>14</v>
      </c>
      <c r="F538" s="3" t="s">
        <v>18</v>
      </c>
      <c r="G538" s="3" t="s">
        <v>19</v>
      </c>
      <c r="H538" s="3" t="s">
        <v>17</v>
      </c>
      <c r="I538" s="3"/>
      <c r="J538" s="3">
        <v>8640</v>
      </c>
      <c r="K538" s="3">
        <v>9600</v>
      </c>
      <c r="L538" s="3">
        <v>9</v>
      </c>
      <c r="M538">
        <f>Table1[[#This Row],[Qty]]*Table1[[#This Row],[Sales Price]]</f>
        <v>86400</v>
      </c>
      <c r="N538">
        <f>Table1[[#This Row],[Qty]]*Table1[[#This Row],[Cost]]</f>
        <v>77760</v>
      </c>
      <c r="O538">
        <f>Table1[[#This Row],[Revenue]]-Table1[[#This Row],[Total Cost]]</f>
        <v>8640</v>
      </c>
    </row>
    <row r="539" spans="1:15" x14ac:dyDescent="0.55000000000000004">
      <c r="A539" s="3">
        <v>538</v>
      </c>
      <c r="B539" s="4">
        <v>45203</v>
      </c>
      <c r="C539" s="4" t="str">
        <f>TEXT(Table1[[#This Row],[Date]],"YYYY")</f>
        <v>2023</v>
      </c>
      <c r="D539" s="4" t="str">
        <f>TEXT(Table1[[#This Row],[Date]],"MMM")</f>
        <v>Oct</v>
      </c>
      <c r="E539" s="5" t="s">
        <v>40</v>
      </c>
      <c r="F539" s="3" t="s">
        <v>61</v>
      </c>
      <c r="G539" s="3" t="s">
        <v>21</v>
      </c>
      <c r="H539" s="3" t="s">
        <v>17</v>
      </c>
      <c r="I539" s="3"/>
      <c r="J539" s="3">
        <v>8280</v>
      </c>
      <c r="K539" s="3">
        <v>9200</v>
      </c>
      <c r="L539" s="3">
        <v>2</v>
      </c>
      <c r="M539">
        <f>Table1[[#This Row],[Qty]]*Table1[[#This Row],[Sales Price]]</f>
        <v>18400</v>
      </c>
      <c r="N539">
        <f>Table1[[#This Row],[Qty]]*Table1[[#This Row],[Cost]]</f>
        <v>16560</v>
      </c>
      <c r="O539">
        <f>Table1[[#This Row],[Revenue]]-Table1[[#This Row],[Total Cost]]</f>
        <v>1840</v>
      </c>
    </row>
    <row r="540" spans="1:15" x14ac:dyDescent="0.55000000000000004">
      <c r="A540" s="3">
        <v>539</v>
      </c>
      <c r="B540" s="4">
        <v>45204</v>
      </c>
      <c r="C540" s="4" t="str">
        <f>TEXT(Table1[[#This Row],[Date]],"YYYY")</f>
        <v>2023</v>
      </c>
      <c r="D540" s="4" t="str">
        <f>TEXT(Table1[[#This Row],[Date]],"MMM")</f>
        <v>Oct</v>
      </c>
      <c r="E540" s="5" t="s">
        <v>14</v>
      </c>
      <c r="F540" s="3" t="s">
        <v>18</v>
      </c>
      <c r="G540" s="3" t="s">
        <v>23</v>
      </c>
      <c r="H540" s="3" t="s">
        <v>17</v>
      </c>
      <c r="I540" s="3"/>
      <c r="J540" s="3">
        <v>4950</v>
      </c>
      <c r="K540" s="3">
        <v>5500</v>
      </c>
      <c r="L540" s="3">
        <v>1</v>
      </c>
      <c r="M540">
        <f>Table1[[#This Row],[Qty]]*Table1[[#This Row],[Sales Price]]</f>
        <v>5500</v>
      </c>
      <c r="N540">
        <f>Table1[[#This Row],[Qty]]*Table1[[#This Row],[Cost]]</f>
        <v>4950</v>
      </c>
      <c r="O540">
        <f>Table1[[#This Row],[Revenue]]-Table1[[#This Row],[Total Cost]]</f>
        <v>550</v>
      </c>
    </row>
    <row r="541" spans="1:15" x14ac:dyDescent="0.55000000000000004">
      <c r="A541" s="3">
        <v>540</v>
      </c>
      <c r="B541" s="4">
        <v>45205</v>
      </c>
      <c r="C541" s="4" t="str">
        <f>TEXT(Table1[[#This Row],[Date]],"YYYY")</f>
        <v>2023</v>
      </c>
      <c r="D541" s="4" t="str">
        <f>TEXT(Table1[[#This Row],[Date]],"MMM")</f>
        <v>Oct</v>
      </c>
      <c r="E541" s="5" t="s">
        <v>14</v>
      </c>
      <c r="F541" s="3" t="s">
        <v>61</v>
      </c>
      <c r="G541" s="3" t="s">
        <v>25</v>
      </c>
      <c r="H541" s="3" t="s">
        <v>17</v>
      </c>
      <c r="I541" s="3">
        <v>1</v>
      </c>
      <c r="J541" s="3">
        <v>3150</v>
      </c>
      <c r="K541" s="3">
        <v>3500</v>
      </c>
      <c r="L541" s="3">
        <v>22</v>
      </c>
      <c r="M541">
        <f>Table1[[#This Row],[Qty]]*Table1[[#This Row],[Sales Price]]</f>
        <v>77000</v>
      </c>
      <c r="N541">
        <f>Table1[[#This Row],[Qty]]*Table1[[#This Row],[Cost]]</f>
        <v>69300</v>
      </c>
      <c r="O541">
        <f>Table1[[#This Row],[Revenue]]-Table1[[#This Row],[Total Cost]]</f>
        <v>7700</v>
      </c>
    </row>
    <row r="542" spans="1:15" x14ac:dyDescent="0.55000000000000004">
      <c r="A542" s="3">
        <v>541</v>
      </c>
      <c r="B542" s="4">
        <v>45206</v>
      </c>
      <c r="C542" s="4" t="str">
        <f>TEXT(Table1[[#This Row],[Date]],"YYYY")</f>
        <v>2023</v>
      </c>
      <c r="D542" s="4" t="str">
        <f>TEXT(Table1[[#This Row],[Date]],"MMM")</f>
        <v>Oct</v>
      </c>
      <c r="E542" s="5" t="s">
        <v>40</v>
      </c>
      <c r="F542" s="3" t="s">
        <v>18</v>
      </c>
      <c r="G542" s="3" t="s">
        <v>26</v>
      </c>
      <c r="H542" s="3" t="s">
        <v>17</v>
      </c>
      <c r="I542" s="3">
        <v>1</v>
      </c>
      <c r="J542" s="3">
        <v>2700</v>
      </c>
      <c r="K542" s="3">
        <v>3000</v>
      </c>
      <c r="L542" s="3">
        <v>8</v>
      </c>
      <c r="M542">
        <f>Table1[[#This Row],[Qty]]*Table1[[#This Row],[Sales Price]]</f>
        <v>24000</v>
      </c>
      <c r="N542">
        <f>Table1[[#This Row],[Qty]]*Table1[[#This Row],[Cost]]</f>
        <v>21600</v>
      </c>
      <c r="O542">
        <f>Table1[[#This Row],[Revenue]]-Table1[[#This Row],[Total Cost]]</f>
        <v>2400</v>
      </c>
    </row>
    <row r="543" spans="1:15" x14ac:dyDescent="0.55000000000000004">
      <c r="A543" s="3">
        <v>542</v>
      </c>
      <c r="B543" s="4">
        <v>45207</v>
      </c>
      <c r="C543" s="4" t="str">
        <f>TEXT(Table1[[#This Row],[Date]],"YYYY")</f>
        <v>2023</v>
      </c>
      <c r="D543" s="4" t="str">
        <f>TEXT(Table1[[#This Row],[Date]],"MMM")</f>
        <v>Oct</v>
      </c>
      <c r="E543" s="5" t="s">
        <v>22</v>
      </c>
      <c r="F543" s="3" t="s">
        <v>61</v>
      </c>
      <c r="G543" s="3" t="s">
        <v>27</v>
      </c>
      <c r="H543" s="3" t="s">
        <v>28</v>
      </c>
      <c r="I543" s="3">
        <v>1</v>
      </c>
      <c r="J543" s="3">
        <v>4050</v>
      </c>
      <c r="K543" s="3">
        <v>4500</v>
      </c>
      <c r="L543" s="3">
        <v>7</v>
      </c>
      <c r="M543">
        <f>Table1[[#This Row],[Qty]]*Table1[[#This Row],[Sales Price]]</f>
        <v>31500</v>
      </c>
      <c r="N543">
        <f>Table1[[#This Row],[Qty]]*Table1[[#This Row],[Cost]]</f>
        <v>28350</v>
      </c>
      <c r="O543">
        <f>Table1[[#This Row],[Revenue]]-Table1[[#This Row],[Total Cost]]</f>
        <v>3150</v>
      </c>
    </row>
    <row r="544" spans="1:15" x14ac:dyDescent="0.55000000000000004">
      <c r="A544" s="3">
        <v>543</v>
      </c>
      <c r="B544" s="4">
        <v>45208</v>
      </c>
      <c r="C544" s="4" t="str">
        <f>TEXT(Table1[[#This Row],[Date]],"YYYY")</f>
        <v>2023</v>
      </c>
      <c r="D544" s="4" t="str">
        <f>TEXT(Table1[[#This Row],[Date]],"MMM")</f>
        <v>Oct</v>
      </c>
      <c r="E544" s="5" t="s">
        <v>40</v>
      </c>
      <c r="F544" s="3" t="s">
        <v>18</v>
      </c>
      <c r="G544" s="3" t="s">
        <v>30</v>
      </c>
      <c r="H544" s="3" t="s">
        <v>28</v>
      </c>
      <c r="I544" s="3">
        <v>0</v>
      </c>
      <c r="J544" s="3">
        <v>53100</v>
      </c>
      <c r="K544" s="3">
        <v>59000</v>
      </c>
      <c r="L544" s="3">
        <v>56</v>
      </c>
      <c r="M544">
        <f>Table1[[#This Row],[Qty]]*Table1[[#This Row],[Sales Price]]</f>
        <v>3304000</v>
      </c>
      <c r="N544">
        <f>Table1[[#This Row],[Qty]]*Table1[[#This Row],[Cost]]</f>
        <v>2973600</v>
      </c>
      <c r="O544">
        <f>Table1[[#This Row],[Revenue]]-Table1[[#This Row],[Total Cost]]</f>
        <v>330400</v>
      </c>
    </row>
    <row r="545" spans="1:15" x14ac:dyDescent="0.55000000000000004">
      <c r="A545" s="3">
        <v>544</v>
      </c>
      <c r="B545" s="4">
        <v>45209</v>
      </c>
      <c r="C545" s="4" t="str">
        <f>TEXT(Table1[[#This Row],[Date]],"YYYY")</f>
        <v>2023</v>
      </c>
      <c r="D545" s="4" t="str">
        <f>TEXT(Table1[[#This Row],[Date]],"MMM")</f>
        <v>Oct</v>
      </c>
      <c r="E545" s="5" t="s">
        <v>39</v>
      </c>
      <c r="F545" s="3" t="s">
        <v>61</v>
      </c>
      <c r="G545" s="3" t="s">
        <v>32</v>
      </c>
      <c r="H545" s="3" t="s">
        <v>28</v>
      </c>
      <c r="I545" s="3">
        <v>0</v>
      </c>
      <c r="J545" s="3">
        <v>88200</v>
      </c>
      <c r="K545" s="3">
        <v>98000</v>
      </c>
      <c r="L545" s="3">
        <v>10</v>
      </c>
      <c r="M545">
        <f>Table1[[#This Row],[Qty]]*Table1[[#This Row],[Sales Price]]</f>
        <v>980000</v>
      </c>
      <c r="N545">
        <f>Table1[[#This Row],[Qty]]*Table1[[#This Row],[Cost]]</f>
        <v>882000</v>
      </c>
      <c r="O545">
        <f>Table1[[#This Row],[Revenue]]-Table1[[#This Row],[Total Cost]]</f>
        <v>98000</v>
      </c>
    </row>
    <row r="546" spans="1:15" x14ac:dyDescent="0.55000000000000004">
      <c r="A546" s="3">
        <v>545</v>
      </c>
      <c r="B546" s="4">
        <v>45210</v>
      </c>
      <c r="C546" s="4" t="str">
        <f>TEXT(Table1[[#This Row],[Date]],"YYYY")</f>
        <v>2023</v>
      </c>
      <c r="D546" s="4" t="str">
        <f>TEXT(Table1[[#This Row],[Date]],"MMM")</f>
        <v>Oct</v>
      </c>
      <c r="E546" s="5" t="s">
        <v>56</v>
      </c>
      <c r="F546" s="3" t="s">
        <v>18</v>
      </c>
      <c r="G546" s="3" t="s">
        <v>19</v>
      </c>
      <c r="H546" s="3" t="s">
        <v>17</v>
      </c>
      <c r="I546" s="3">
        <v>0</v>
      </c>
      <c r="J546" s="3">
        <v>38250</v>
      </c>
      <c r="K546" s="3">
        <v>42500</v>
      </c>
      <c r="L546" s="3">
        <v>9</v>
      </c>
      <c r="M546">
        <f>Table1[[#This Row],[Qty]]*Table1[[#This Row],[Sales Price]]</f>
        <v>382500</v>
      </c>
      <c r="N546">
        <f>Table1[[#This Row],[Qty]]*Table1[[#This Row],[Cost]]</f>
        <v>344250</v>
      </c>
      <c r="O546">
        <f>Table1[[#This Row],[Revenue]]-Table1[[#This Row],[Total Cost]]</f>
        <v>38250</v>
      </c>
    </row>
    <row r="547" spans="1:15" x14ac:dyDescent="0.55000000000000004">
      <c r="A547" s="3">
        <v>546</v>
      </c>
      <c r="B547" s="4">
        <v>45211</v>
      </c>
      <c r="C547" s="4" t="str">
        <f>TEXT(Table1[[#This Row],[Date]],"YYYY")</f>
        <v>2023</v>
      </c>
      <c r="D547" s="4" t="str">
        <f>TEXT(Table1[[#This Row],[Date]],"MMM")</f>
        <v>Oct</v>
      </c>
      <c r="E547" s="5" t="s">
        <v>24</v>
      </c>
      <c r="F547" s="3" t="s">
        <v>61</v>
      </c>
      <c r="G547" s="3" t="s">
        <v>21</v>
      </c>
      <c r="H547" s="3" t="s">
        <v>17</v>
      </c>
      <c r="I547" s="3">
        <v>1</v>
      </c>
      <c r="J547" s="3">
        <v>2700</v>
      </c>
      <c r="K547" s="3">
        <v>3000</v>
      </c>
      <c r="L547" s="3">
        <v>27</v>
      </c>
      <c r="M547">
        <f>Table1[[#This Row],[Qty]]*Table1[[#This Row],[Sales Price]]</f>
        <v>81000</v>
      </c>
      <c r="N547">
        <f>Table1[[#This Row],[Qty]]*Table1[[#This Row],[Cost]]</f>
        <v>72900</v>
      </c>
      <c r="O547">
        <f>Table1[[#This Row],[Revenue]]-Table1[[#This Row],[Total Cost]]</f>
        <v>8100</v>
      </c>
    </row>
    <row r="548" spans="1:15" x14ac:dyDescent="0.55000000000000004">
      <c r="A548" s="3">
        <v>547</v>
      </c>
      <c r="B548" s="4">
        <v>45212</v>
      </c>
      <c r="C548" s="4" t="str">
        <f>TEXT(Table1[[#This Row],[Date]],"YYYY")</f>
        <v>2023</v>
      </c>
      <c r="D548" s="4" t="str">
        <f>TEXT(Table1[[#This Row],[Date]],"MMM")</f>
        <v>Oct</v>
      </c>
      <c r="E548" s="5" t="s">
        <v>33</v>
      </c>
      <c r="F548" s="3" t="s">
        <v>18</v>
      </c>
      <c r="G548" s="3" t="s">
        <v>23</v>
      </c>
      <c r="H548" s="3" t="s">
        <v>17</v>
      </c>
      <c r="I548" s="3"/>
      <c r="J548" s="3">
        <v>23850</v>
      </c>
      <c r="K548" s="3">
        <v>26500</v>
      </c>
      <c r="L548" s="3">
        <v>15</v>
      </c>
      <c r="M548">
        <f>Table1[[#This Row],[Qty]]*Table1[[#This Row],[Sales Price]]</f>
        <v>397500</v>
      </c>
      <c r="N548">
        <f>Table1[[#This Row],[Qty]]*Table1[[#This Row],[Cost]]</f>
        <v>357750</v>
      </c>
      <c r="O548">
        <f>Table1[[#This Row],[Revenue]]-Table1[[#This Row],[Total Cost]]</f>
        <v>39750</v>
      </c>
    </row>
    <row r="549" spans="1:15" x14ac:dyDescent="0.55000000000000004">
      <c r="A549" s="3">
        <v>548</v>
      </c>
      <c r="B549" s="4">
        <v>45213</v>
      </c>
      <c r="C549" s="4" t="str">
        <f>TEXT(Table1[[#This Row],[Date]],"YYYY")</f>
        <v>2023</v>
      </c>
      <c r="D549" s="4" t="str">
        <f>TEXT(Table1[[#This Row],[Date]],"MMM")</f>
        <v>Oct</v>
      </c>
      <c r="E549" s="5" t="s">
        <v>58</v>
      </c>
      <c r="F549" s="3" t="s">
        <v>61</v>
      </c>
      <c r="G549" s="3" t="s">
        <v>25</v>
      </c>
      <c r="H549" s="3" t="s">
        <v>17</v>
      </c>
      <c r="I549" s="3"/>
      <c r="J549" s="3">
        <v>24750</v>
      </c>
      <c r="K549" s="3">
        <v>27500</v>
      </c>
      <c r="L549" s="3">
        <v>3</v>
      </c>
      <c r="M549">
        <f>Table1[[#This Row],[Qty]]*Table1[[#This Row],[Sales Price]]</f>
        <v>82500</v>
      </c>
      <c r="N549">
        <f>Table1[[#This Row],[Qty]]*Table1[[#This Row],[Cost]]</f>
        <v>74250</v>
      </c>
      <c r="O549">
        <f>Table1[[#This Row],[Revenue]]-Table1[[#This Row],[Total Cost]]</f>
        <v>8250</v>
      </c>
    </row>
    <row r="550" spans="1:15" x14ac:dyDescent="0.55000000000000004">
      <c r="A550" s="3">
        <v>549</v>
      </c>
      <c r="B550" s="4">
        <v>45214</v>
      </c>
      <c r="C550" s="4" t="str">
        <f>TEXT(Table1[[#This Row],[Date]],"YYYY")</f>
        <v>2023</v>
      </c>
      <c r="D550" s="4" t="str">
        <f>TEXT(Table1[[#This Row],[Date]],"MMM")</f>
        <v>Oct</v>
      </c>
      <c r="E550" s="5" t="s">
        <v>54</v>
      </c>
      <c r="F550" s="3" t="s">
        <v>18</v>
      </c>
      <c r="G550" s="3" t="s">
        <v>26</v>
      </c>
      <c r="H550" s="3" t="s">
        <v>17</v>
      </c>
      <c r="I550" s="3">
        <v>1</v>
      </c>
      <c r="J550" s="3">
        <v>44550</v>
      </c>
      <c r="K550" s="3">
        <v>49500</v>
      </c>
      <c r="L550" s="3">
        <v>9</v>
      </c>
      <c r="M550">
        <f>Table1[[#This Row],[Qty]]*Table1[[#This Row],[Sales Price]]</f>
        <v>445500</v>
      </c>
      <c r="N550">
        <f>Table1[[#This Row],[Qty]]*Table1[[#This Row],[Cost]]</f>
        <v>400950</v>
      </c>
      <c r="O550">
        <f>Table1[[#This Row],[Revenue]]-Table1[[#This Row],[Total Cost]]</f>
        <v>44550</v>
      </c>
    </row>
    <row r="551" spans="1:15" x14ac:dyDescent="0.55000000000000004">
      <c r="A551" s="3">
        <v>550</v>
      </c>
      <c r="B551" s="4">
        <v>45215</v>
      </c>
      <c r="C551" s="4" t="str">
        <f>TEXT(Table1[[#This Row],[Date]],"YYYY")</f>
        <v>2023</v>
      </c>
      <c r="D551" s="4" t="str">
        <f>TEXT(Table1[[#This Row],[Date]],"MMM")</f>
        <v>Oct</v>
      </c>
      <c r="E551" s="5" t="s">
        <v>24</v>
      </c>
      <c r="F551" s="3" t="s">
        <v>61</v>
      </c>
      <c r="G551" s="3" t="s">
        <v>27</v>
      </c>
      <c r="H551" s="3" t="s">
        <v>28</v>
      </c>
      <c r="I551" s="3">
        <v>1</v>
      </c>
      <c r="J551" s="3">
        <v>9000</v>
      </c>
      <c r="K551" s="3">
        <v>10000</v>
      </c>
      <c r="L551" s="3">
        <v>22</v>
      </c>
      <c r="M551">
        <f>Table1[[#This Row],[Qty]]*Table1[[#This Row],[Sales Price]]</f>
        <v>220000</v>
      </c>
      <c r="N551">
        <f>Table1[[#This Row],[Qty]]*Table1[[#This Row],[Cost]]</f>
        <v>198000</v>
      </c>
      <c r="O551">
        <f>Table1[[#This Row],[Revenue]]-Table1[[#This Row],[Total Cost]]</f>
        <v>22000</v>
      </c>
    </row>
    <row r="552" spans="1:15" x14ac:dyDescent="0.55000000000000004">
      <c r="A552" s="3">
        <v>551</v>
      </c>
      <c r="B552" s="4">
        <v>45216</v>
      </c>
      <c r="C552" s="4" t="str">
        <f>TEXT(Table1[[#This Row],[Date]],"YYYY")</f>
        <v>2023</v>
      </c>
      <c r="D552" s="4" t="str">
        <f>TEXT(Table1[[#This Row],[Date]],"MMM")</f>
        <v>Oct</v>
      </c>
      <c r="E552" s="5" t="s">
        <v>56</v>
      </c>
      <c r="F552" s="3" t="s">
        <v>18</v>
      </c>
      <c r="G552" s="3" t="s">
        <v>30</v>
      </c>
      <c r="H552" s="3" t="s">
        <v>28</v>
      </c>
      <c r="I552" s="3">
        <v>0</v>
      </c>
      <c r="J552" s="3">
        <v>8640</v>
      </c>
      <c r="K552" s="3">
        <v>9600</v>
      </c>
      <c r="L552" s="3">
        <v>16</v>
      </c>
      <c r="M552">
        <f>Table1[[#This Row],[Qty]]*Table1[[#This Row],[Sales Price]]</f>
        <v>153600</v>
      </c>
      <c r="N552">
        <f>Table1[[#This Row],[Qty]]*Table1[[#This Row],[Cost]]</f>
        <v>138240</v>
      </c>
      <c r="O552">
        <f>Table1[[#This Row],[Revenue]]-Table1[[#This Row],[Total Cost]]</f>
        <v>15360</v>
      </c>
    </row>
    <row r="553" spans="1:15" x14ac:dyDescent="0.55000000000000004">
      <c r="A553" s="3">
        <v>552</v>
      </c>
      <c r="B553" s="4">
        <v>45217</v>
      </c>
      <c r="C553" s="4" t="str">
        <f>TEXT(Table1[[#This Row],[Date]],"YYYY")</f>
        <v>2023</v>
      </c>
      <c r="D553" s="4" t="str">
        <f>TEXT(Table1[[#This Row],[Date]],"MMM")</f>
        <v>Oct</v>
      </c>
      <c r="E553" s="5" t="s">
        <v>29</v>
      </c>
      <c r="F553" s="3" t="s">
        <v>61</v>
      </c>
      <c r="G553" s="3" t="s">
        <v>32</v>
      </c>
      <c r="H553" s="3" t="s">
        <v>28</v>
      </c>
      <c r="I553" s="3">
        <v>1</v>
      </c>
      <c r="J553" s="3">
        <v>9000</v>
      </c>
      <c r="K553" s="3">
        <v>10000</v>
      </c>
      <c r="L553" s="3">
        <v>6</v>
      </c>
      <c r="M553">
        <f>Table1[[#This Row],[Qty]]*Table1[[#This Row],[Sales Price]]</f>
        <v>60000</v>
      </c>
      <c r="N553">
        <f>Table1[[#This Row],[Qty]]*Table1[[#This Row],[Cost]]</f>
        <v>54000</v>
      </c>
      <c r="O553">
        <f>Table1[[#This Row],[Revenue]]-Table1[[#This Row],[Total Cost]]</f>
        <v>6000</v>
      </c>
    </row>
    <row r="554" spans="1:15" x14ac:dyDescent="0.55000000000000004">
      <c r="A554" s="3">
        <v>553</v>
      </c>
      <c r="B554" s="4">
        <v>45218</v>
      </c>
      <c r="C554" s="4" t="str">
        <f>TEXT(Table1[[#This Row],[Date]],"YYYY")</f>
        <v>2023</v>
      </c>
      <c r="D554" s="4" t="str">
        <f>TEXT(Table1[[#This Row],[Date]],"MMM")</f>
        <v>Oct</v>
      </c>
      <c r="E554" s="5" t="s">
        <v>39</v>
      </c>
      <c r="F554" s="3" t="s">
        <v>18</v>
      </c>
      <c r="G554" s="3" t="s">
        <v>19</v>
      </c>
      <c r="H554" s="3" t="s">
        <v>17</v>
      </c>
      <c r="I554" s="3">
        <v>1</v>
      </c>
      <c r="J554" s="3">
        <v>3870</v>
      </c>
      <c r="K554" s="3">
        <v>4300</v>
      </c>
      <c r="L554" s="3">
        <v>3</v>
      </c>
      <c r="M554">
        <f>Table1[[#This Row],[Qty]]*Table1[[#This Row],[Sales Price]]</f>
        <v>12900</v>
      </c>
      <c r="N554">
        <f>Table1[[#This Row],[Qty]]*Table1[[#This Row],[Cost]]</f>
        <v>11610</v>
      </c>
      <c r="O554">
        <f>Table1[[#This Row],[Revenue]]-Table1[[#This Row],[Total Cost]]</f>
        <v>1290</v>
      </c>
    </row>
    <row r="555" spans="1:15" x14ac:dyDescent="0.55000000000000004">
      <c r="A555" s="3">
        <v>554</v>
      </c>
      <c r="B555" s="4">
        <v>45219</v>
      </c>
      <c r="C555" s="4" t="str">
        <f>TEXT(Table1[[#This Row],[Date]],"YYYY")</f>
        <v>2023</v>
      </c>
      <c r="D555" s="4" t="str">
        <f>TEXT(Table1[[#This Row],[Date]],"MMM")</f>
        <v>Oct</v>
      </c>
      <c r="E555" s="5" t="s">
        <v>24</v>
      </c>
      <c r="F555" s="3" t="s">
        <v>61</v>
      </c>
      <c r="G555" s="3" t="s">
        <v>21</v>
      </c>
      <c r="H555" s="3" t="s">
        <v>17</v>
      </c>
      <c r="I555" s="3">
        <v>1</v>
      </c>
      <c r="J555" s="3">
        <v>45450</v>
      </c>
      <c r="K555" s="3">
        <v>50500</v>
      </c>
      <c r="L555" s="3">
        <v>5</v>
      </c>
      <c r="M555">
        <f>Table1[[#This Row],[Qty]]*Table1[[#This Row],[Sales Price]]</f>
        <v>252500</v>
      </c>
      <c r="N555">
        <f>Table1[[#This Row],[Qty]]*Table1[[#This Row],[Cost]]</f>
        <v>227250</v>
      </c>
      <c r="O555">
        <f>Table1[[#This Row],[Revenue]]-Table1[[#This Row],[Total Cost]]</f>
        <v>25250</v>
      </c>
    </row>
    <row r="556" spans="1:15" x14ac:dyDescent="0.55000000000000004">
      <c r="A556" s="3">
        <v>555</v>
      </c>
      <c r="B556" s="4">
        <v>45220</v>
      </c>
      <c r="C556" s="4" t="str">
        <f>TEXT(Table1[[#This Row],[Date]],"YYYY")</f>
        <v>2023</v>
      </c>
      <c r="D556" s="4" t="str">
        <f>TEXT(Table1[[#This Row],[Date]],"MMM")</f>
        <v>Oct</v>
      </c>
      <c r="E556" s="5" t="s">
        <v>22</v>
      </c>
      <c r="F556" s="3" t="s">
        <v>18</v>
      </c>
      <c r="G556" s="3" t="s">
        <v>23</v>
      </c>
      <c r="H556" s="3" t="s">
        <v>17</v>
      </c>
      <c r="I556" s="3"/>
      <c r="J556" s="3">
        <v>18225</v>
      </c>
      <c r="K556" s="3">
        <v>20250</v>
      </c>
      <c r="L556" s="3">
        <v>1</v>
      </c>
      <c r="M556">
        <f>Table1[[#This Row],[Qty]]*Table1[[#This Row],[Sales Price]]</f>
        <v>20250</v>
      </c>
      <c r="N556">
        <f>Table1[[#This Row],[Qty]]*Table1[[#This Row],[Cost]]</f>
        <v>18225</v>
      </c>
      <c r="O556">
        <f>Table1[[#This Row],[Revenue]]-Table1[[#This Row],[Total Cost]]</f>
        <v>2025</v>
      </c>
    </row>
    <row r="557" spans="1:15" x14ac:dyDescent="0.55000000000000004">
      <c r="A557" s="3">
        <v>556</v>
      </c>
      <c r="B557" s="4">
        <v>45221</v>
      </c>
      <c r="C557" s="4" t="str">
        <f>TEXT(Table1[[#This Row],[Date]],"YYYY")</f>
        <v>2023</v>
      </c>
      <c r="D557" s="4" t="str">
        <f>TEXT(Table1[[#This Row],[Date]],"MMM")</f>
        <v>Oct</v>
      </c>
      <c r="E557" s="5" t="s">
        <v>58</v>
      </c>
      <c r="F557" s="3" t="s">
        <v>61</v>
      </c>
      <c r="G557" s="3" t="s">
        <v>25</v>
      </c>
      <c r="H557" s="3" t="s">
        <v>17</v>
      </c>
      <c r="I557" s="3"/>
      <c r="J557" s="3">
        <v>1800</v>
      </c>
      <c r="K557" s="3">
        <v>2000</v>
      </c>
      <c r="L557" s="3">
        <v>5</v>
      </c>
      <c r="M557">
        <f>Table1[[#This Row],[Qty]]*Table1[[#This Row],[Sales Price]]</f>
        <v>10000</v>
      </c>
      <c r="N557">
        <f>Table1[[#This Row],[Qty]]*Table1[[#This Row],[Cost]]</f>
        <v>9000</v>
      </c>
      <c r="O557">
        <f>Table1[[#This Row],[Revenue]]-Table1[[#This Row],[Total Cost]]</f>
        <v>1000</v>
      </c>
    </row>
    <row r="558" spans="1:15" x14ac:dyDescent="0.55000000000000004">
      <c r="A558" s="3">
        <v>557</v>
      </c>
      <c r="B558" s="4">
        <v>45222</v>
      </c>
      <c r="C558" s="4" t="str">
        <f>TEXT(Table1[[#This Row],[Date]],"YYYY")</f>
        <v>2023</v>
      </c>
      <c r="D558" s="4" t="str">
        <f>TEXT(Table1[[#This Row],[Date]],"MMM")</f>
        <v>Oct</v>
      </c>
      <c r="E558" s="5" t="s">
        <v>50</v>
      </c>
      <c r="F558" s="3" t="s">
        <v>18</v>
      </c>
      <c r="G558" s="3" t="s">
        <v>26</v>
      </c>
      <c r="H558" s="3" t="s">
        <v>17</v>
      </c>
      <c r="I558" s="3"/>
      <c r="J558" s="3">
        <v>48600</v>
      </c>
      <c r="K558" s="3">
        <v>54000</v>
      </c>
      <c r="L558" s="3">
        <v>7</v>
      </c>
      <c r="M558">
        <f>Table1[[#This Row],[Qty]]*Table1[[#This Row],[Sales Price]]</f>
        <v>378000</v>
      </c>
      <c r="N558">
        <f>Table1[[#This Row],[Qty]]*Table1[[#This Row],[Cost]]</f>
        <v>340200</v>
      </c>
      <c r="O558">
        <f>Table1[[#This Row],[Revenue]]-Table1[[#This Row],[Total Cost]]</f>
        <v>37800</v>
      </c>
    </row>
    <row r="559" spans="1:15" x14ac:dyDescent="0.55000000000000004">
      <c r="A559" s="3">
        <v>558</v>
      </c>
      <c r="B559" s="4">
        <v>45223</v>
      </c>
      <c r="C559" s="4" t="str">
        <f>TEXT(Table1[[#This Row],[Date]],"YYYY")</f>
        <v>2023</v>
      </c>
      <c r="D559" s="4" t="str">
        <f>TEXT(Table1[[#This Row],[Date]],"MMM")</f>
        <v>Oct</v>
      </c>
      <c r="E559" s="5" t="s">
        <v>22</v>
      </c>
      <c r="F559" s="3" t="s">
        <v>61</v>
      </c>
      <c r="G559" s="3" t="s">
        <v>27</v>
      </c>
      <c r="H559" s="3" t="s">
        <v>28</v>
      </c>
      <c r="I559" s="3">
        <v>1</v>
      </c>
      <c r="J559" s="3">
        <v>72900</v>
      </c>
      <c r="K559" s="3">
        <v>81000</v>
      </c>
      <c r="L559" s="3">
        <v>4</v>
      </c>
      <c r="M559">
        <f>Table1[[#This Row],[Qty]]*Table1[[#This Row],[Sales Price]]</f>
        <v>324000</v>
      </c>
      <c r="N559">
        <f>Table1[[#This Row],[Qty]]*Table1[[#This Row],[Cost]]</f>
        <v>291600</v>
      </c>
      <c r="O559">
        <f>Table1[[#This Row],[Revenue]]-Table1[[#This Row],[Total Cost]]</f>
        <v>32400</v>
      </c>
    </row>
    <row r="560" spans="1:15" x14ac:dyDescent="0.55000000000000004">
      <c r="A560" s="3">
        <v>559</v>
      </c>
      <c r="B560" s="4">
        <v>45224</v>
      </c>
      <c r="C560" s="4" t="str">
        <f>TEXT(Table1[[#This Row],[Date]],"YYYY")</f>
        <v>2023</v>
      </c>
      <c r="D560" s="4" t="str">
        <f>TEXT(Table1[[#This Row],[Date]],"MMM")</f>
        <v>Oct</v>
      </c>
      <c r="E560" s="5" t="s">
        <v>40</v>
      </c>
      <c r="F560" s="3" t="s">
        <v>18</v>
      </c>
      <c r="G560" s="3" t="s">
        <v>30</v>
      </c>
      <c r="H560" s="3" t="s">
        <v>28</v>
      </c>
      <c r="I560" s="3">
        <v>1</v>
      </c>
      <c r="J560" s="3">
        <v>9450</v>
      </c>
      <c r="K560" s="3">
        <v>10500</v>
      </c>
      <c r="L560" s="3">
        <v>8</v>
      </c>
      <c r="M560">
        <f>Table1[[#This Row],[Qty]]*Table1[[#This Row],[Sales Price]]</f>
        <v>84000</v>
      </c>
      <c r="N560">
        <f>Table1[[#This Row],[Qty]]*Table1[[#This Row],[Cost]]</f>
        <v>75600</v>
      </c>
      <c r="O560">
        <f>Table1[[#This Row],[Revenue]]-Table1[[#This Row],[Total Cost]]</f>
        <v>8400</v>
      </c>
    </row>
    <row r="561" spans="1:15" x14ac:dyDescent="0.55000000000000004">
      <c r="A561" s="3">
        <v>560</v>
      </c>
      <c r="B561" s="4">
        <v>45225</v>
      </c>
      <c r="C561" s="4" t="str">
        <f>TEXT(Table1[[#This Row],[Date]],"YYYY")</f>
        <v>2023</v>
      </c>
      <c r="D561" s="4" t="str">
        <f>TEXT(Table1[[#This Row],[Date]],"MMM")</f>
        <v>Oct</v>
      </c>
      <c r="E561" s="5" t="s">
        <v>57</v>
      </c>
      <c r="F561" s="3" t="s">
        <v>61</v>
      </c>
      <c r="G561" s="3" t="s">
        <v>32</v>
      </c>
      <c r="H561" s="3" t="s">
        <v>28</v>
      </c>
      <c r="I561" s="3">
        <v>1</v>
      </c>
      <c r="J561" s="3">
        <v>36000</v>
      </c>
      <c r="K561" s="3">
        <v>40000</v>
      </c>
      <c r="L561" s="3">
        <v>8</v>
      </c>
      <c r="M561">
        <f>Table1[[#This Row],[Qty]]*Table1[[#This Row],[Sales Price]]</f>
        <v>320000</v>
      </c>
      <c r="N561">
        <f>Table1[[#This Row],[Qty]]*Table1[[#This Row],[Cost]]</f>
        <v>288000</v>
      </c>
      <c r="O561">
        <f>Table1[[#This Row],[Revenue]]-Table1[[#This Row],[Total Cost]]</f>
        <v>32000</v>
      </c>
    </row>
    <row r="562" spans="1:15" x14ac:dyDescent="0.55000000000000004">
      <c r="A562" s="3">
        <v>561</v>
      </c>
      <c r="B562" s="4">
        <v>45226</v>
      </c>
      <c r="C562" s="4" t="str">
        <f>TEXT(Table1[[#This Row],[Date]],"YYYY")</f>
        <v>2023</v>
      </c>
      <c r="D562" s="4" t="str">
        <f>TEXT(Table1[[#This Row],[Date]],"MMM")</f>
        <v>Oct</v>
      </c>
      <c r="E562" s="5" t="s">
        <v>14</v>
      </c>
      <c r="F562" s="3" t="s">
        <v>18</v>
      </c>
      <c r="G562" s="3" t="s">
        <v>19</v>
      </c>
      <c r="H562" s="3" t="s">
        <v>17</v>
      </c>
      <c r="I562" s="3">
        <v>1</v>
      </c>
      <c r="J562" s="3">
        <v>24300</v>
      </c>
      <c r="K562" s="3">
        <v>27000</v>
      </c>
      <c r="L562" s="3">
        <v>9</v>
      </c>
      <c r="M562">
        <f>Table1[[#This Row],[Qty]]*Table1[[#This Row],[Sales Price]]</f>
        <v>243000</v>
      </c>
      <c r="N562">
        <f>Table1[[#This Row],[Qty]]*Table1[[#This Row],[Cost]]</f>
        <v>218700</v>
      </c>
      <c r="O562">
        <f>Table1[[#This Row],[Revenue]]-Table1[[#This Row],[Total Cost]]</f>
        <v>24300</v>
      </c>
    </row>
    <row r="563" spans="1:15" x14ac:dyDescent="0.55000000000000004">
      <c r="A563" s="3">
        <v>562</v>
      </c>
      <c r="B563" s="4">
        <v>45227</v>
      </c>
      <c r="C563" s="4" t="str">
        <f>TEXT(Table1[[#This Row],[Date]],"YYYY")</f>
        <v>2023</v>
      </c>
      <c r="D563" s="4" t="str">
        <f>TEXT(Table1[[#This Row],[Date]],"MMM")</f>
        <v>Oct</v>
      </c>
      <c r="E563" s="5" t="s">
        <v>31</v>
      </c>
      <c r="F563" s="3" t="s">
        <v>61</v>
      </c>
      <c r="G563" s="3" t="s">
        <v>21</v>
      </c>
      <c r="H563" s="3" t="s">
        <v>17</v>
      </c>
      <c r="I563" s="3">
        <v>1</v>
      </c>
      <c r="J563" s="3">
        <v>9180</v>
      </c>
      <c r="K563" s="3">
        <v>10200</v>
      </c>
      <c r="L563" s="3">
        <v>2</v>
      </c>
      <c r="M563">
        <f>Table1[[#This Row],[Qty]]*Table1[[#This Row],[Sales Price]]</f>
        <v>20400</v>
      </c>
      <c r="N563">
        <f>Table1[[#This Row],[Qty]]*Table1[[#This Row],[Cost]]</f>
        <v>18360</v>
      </c>
      <c r="O563">
        <f>Table1[[#This Row],[Revenue]]-Table1[[#This Row],[Total Cost]]</f>
        <v>2040</v>
      </c>
    </row>
    <row r="564" spans="1:15" x14ac:dyDescent="0.55000000000000004">
      <c r="A564" s="3">
        <v>563</v>
      </c>
      <c r="B564" s="4">
        <v>45228</v>
      </c>
      <c r="C564" s="4" t="str">
        <f>TEXT(Table1[[#This Row],[Date]],"YYYY")</f>
        <v>2023</v>
      </c>
      <c r="D564" s="4" t="str">
        <f>TEXT(Table1[[#This Row],[Date]],"MMM")</f>
        <v>Oct</v>
      </c>
      <c r="E564" s="5" t="s">
        <v>35</v>
      </c>
      <c r="F564" s="3" t="s">
        <v>18</v>
      </c>
      <c r="G564" s="3" t="s">
        <v>23</v>
      </c>
      <c r="H564" s="3" t="s">
        <v>17</v>
      </c>
      <c r="I564" s="3">
        <v>1</v>
      </c>
      <c r="J564" s="3">
        <v>8640</v>
      </c>
      <c r="K564" s="3">
        <v>9600</v>
      </c>
      <c r="L564" s="3">
        <v>1</v>
      </c>
      <c r="M564">
        <f>Table1[[#This Row],[Qty]]*Table1[[#This Row],[Sales Price]]</f>
        <v>9600</v>
      </c>
      <c r="N564">
        <f>Table1[[#This Row],[Qty]]*Table1[[#This Row],[Cost]]</f>
        <v>8640</v>
      </c>
      <c r="O564">
        <f>Table1[[#This Row],[Revenue]]-Table1[[#This Row],[Total Cost]]</f>
        <v>960</v>
      </c>
    </row>
    <row r="565" spans="1:15" x14ac:dyDescent="0.55000000000000004">
      <c r="A565" s="3">
        <v>564</v>
      </c>
      <c r="B565" s="4">
        <v>45229</v>
      </c>
      <c r="C565" s="4" t="str">
        <f>TEXT(Table1[[#This Row],[Date]],"YYYY")</f>
        <v>2023</v>
      </c>
      <c r="D565" s="4" t="str">
        <f>TEXT(Table1[[#This Row],[Date]],"MMM")</f>
        <v>Oct</v>
      </c>
      <c r="E565" s="5" t="s">
        <v>39</v>
      </c>
      <c r="F565" s="3" t="s">
        <v>61</v>
      </c>
      <c r="G565" s="3" t="s">
        <v>25</v>
      </c>
      <c r="H565" s="3" t="s">
        <v>17</v>
      </c>
      <c r="I565" s="3">
        <v>1</v>
      </c>
      <c r="J565" s="3">
        <v>8280</v>
      </c>
      <c r="K565" s="3">
        <v>9200</v>
      </c>
      <c r="L565" s="3">
        <v>22</v>
      </c>
      <c r="M565">
        <f>Table1[[#This Row],[Qty]]*Table1[[#This Row],[Sales Price]]</f>
        <v>202400</v>
      </c>
      <c r="N565">
        <f>Table1[[#This Row],[Qty]]*Table1[[#This Row],[Cost]]</f>
        <v>182160</v>
      </c>
      <c r="O565">
        <f>Table1[[#This Row],[Revenue]]-Table1[[#This Row],[Total Cost]]</f>
        <v>20240</v>
      </c>
    </row>
    <row r="566" spans="1:15" x14ac:dyDescent="0.55000000000000004">
      <c r="A566" s="3">
        <v>565</v>
      </c>
      <c r="B566" s="4">
        <v>45230</v>
      </c>
      <c r="C566" s="4" t="str">
        <f>TEXT(Table1[[#This Row],[Date]],"YYYY")</f>
        <v>2023</v>
      </c>
      <c r="D566" s="4" t="str">
        <f>TEXT(Table1[[#This Row],[Date]],"MMM")</f>
        <v>Oct</v>
      </c>
      <c r="E566" s="5" t="s">
        <v>35</v>
      </c>
      <c r="F566" s="3" t="s">
        <v>18</v>
      </c>
      <c r="G566" s="3" t="s">
        <v>26</v>
      </c>
      <c r="H566" s="3" t="s">
        <v>17</v>
      </c>
      <c r="I566" s="3"/>
      <c r="J566" s="3">
        <v>4950</v>
      </c>
      <c r="K566" s="3">
        <v>5500</v>
      </c>
      <c r="L566" s="3">
        <v>8</v>
      </c>
      <c r="M566">
        <f>Table1[[#This Row],[Qty]]*Table1[[#This Row],[Sales Price]]</f>
        <v>44000</v>
      </c>
      <c r="N566">
        <f>Table1[[#This Row],[Qty]]*Table1[[#This Row],[Cost]]</f>
        <v>39600</v>
      </c>
      <c r="O566">
        <f>Table1[[#This Row],[Revenue]]-Table1[[#This Row],[Total Cost]]</f>
        <v>4400</v>
      </c>
    </row>
    <row r="567" spans="1:15" x14ac:dyDescent="0.55000000000000004">
      <c r="A567" s="3">
        <v>566</v>
      </c>
      <c r="B567" s="4">
        <v>45231</v>
      </c>
      <c r="C567" s="4" t="str">
        <f>TEXT(Table1[[#This Row],[Date]],"YYYY")</f>
        <v>2023</v>
      </c>
      <c r="D567" s="4" t="str">
        <f>TEXT(Table1[[#This Row],[Date]],"MMM")</f>
        <v>Nov</v>
      </c>
      <c r="E567" s="5" t="s">
        <v>40</v>
      </c>
      <c r="F567" s="3" t="s">
        <v>61</v>
      </c>
      <c r="G567" s="3" t="s">
        <v>27</v>
      </c>
      <c r="H567" s="3" t="s">
        <v>28</v>
      </c>
      <c r="I567" s="3"/>
      <c r="J567" s="3">
        <v>3150</v>
      </c>
      <c r="K567" s="3">
        <v>3500</v>
      </c>
      <c r="L567" s="3">
        <v>7</v>
      </c>
      <c r="M567">
        <f>Table1[[#This Row],[Qty]]*Table1[[#This Row],[Sales Price]]</f>
        <v>24500</v>
      </c>
      <c r="N567">
        <f>Table1[[#This Row],[Qty]]*Table1[[#This Row],[Cost]]</f>
        <v>22050</v>
      </c>
      <c r="O567">
        <f>Table1[[#This Row],[Revenue]]-Table1[[#This Row],[Total Cost]]</f>
        <v>2450</v>
      </c>
    </row>
    <row r="568" spans="1:15" x14ac:dyDescent="0.55000000000000004">
      <c r="A568" s="3">
        <v>567</v>
      </c>
      <c r="B568" s="4">
        <v>45232</v>
      </c>
      <c r="C568" s="4" t="str">
        <f>TEXT(Table1[[#This Row],[Date]],"YYYY")</f>
        <v>2023</v>
      </c>
      <c r="D568" s="4" t="str">
        <f>TEXT(Table1[[#This Row],[Date]],"MMM")</f>
        <v>Nov</v>
      </c>
      <c r="E568" s="5" t="s">
        <v>40</v>
      </c>
      <c r="F568" s="3" t="s">
        <v>18</v>
      </c>
      <c r="G568" s="3" t="s">
        <v>30</v>
      </c>
      <c r="H568" s="3" t="s">
        <v>28</v>
      </c>
      <c r="I568" s="3">
        <v>1</v>
      </c>
      <c r="J568" s="3">
        <v>2700</v>
      </c>
      <c r="K568" s="3">
        <v>3000</v>
      </c>
      <c r="L568" s="3">
        <v>56</v>
      </c>
      <c r="M568">
        <f>Table1[[#This Row],[Qty]]*Table1[[#This Row],[Sales Price]]</f>
        <v>168000</v>
      </c>
      <c r="N568">
        <f>Table1[[#This Row],[Qty]]*Table1[[#This Row],[Cost]]</f>
        <v>151200</v>
      </c>
      <c r="O568">
        <f>Table1[[#This Row],[Revenue]]-Table1[[#This Row],[Total Cost]]</f>
        <v>16800</v>
      </c>
    </row>
    <row r="569" spans="1:15" x14ac:dyDescent="0.55000000000000004">
      <c r="A569" s="3">
        <v>568</v>
      </c>
      <c r="B569" s="4">
        <v>45233</v>
      </c>
      <c r="C569" s="4" t="str">
        <f>TEXT(Table1[[#This Row],[Date]],"YYYY")</f>
        <v>2023</v>
      </c>
      <c r="D569" s="4" t="str">
        <f>TEXT(Table1[[#This Row],[Date]],"MMM")</f>
        <v>Nov</v>
      </c>
      <c r="E569" s="5" t="s">
        <v>39</v>
      </c>
      <c r="F569" s="3" t="s">
        <v>61</v>
      </c>
      <c r="G569" s="3" t="s">
        <v>32</v>
      </c>
      <c r="H569" s="3" t="s">
        <v>28</v>
      </c>
      <c r="I569" s="3">
        <v>1</v>
      </c>
      <c r="J569" s="3">
        <v>4050</v>
      </c>
      <c r="K569" s="3">
        <v>4500</v>
      </c>
      <c r="L569" s="3">
        <v>10</v>
      </c>
      <c r="M569">
        <f>Table1[[#This Row],[Qty]]*Table1[[#This Row],[Sales Price]]</f>
        <v>45000</v>
      </c>
      <c r="N569">
        <f>Table1[[#This Row],[Qty]]*Table1[[#This Row],[Cost]]</f>
        <v>40500</v>
      </c>
      <c r="O569">
        <f>Table1[[#This Row],[Revenue]]-Table1[[#This Row],[Total Cost]]</f>
        <v>4500</v>
      </c>
    </row>
    <row r="570" spans="1:15" x14ac:dyDescent="0.55000000000000004">
      <c r="A570" s="3">
        <v>569</v>
      </c>
      <c r="B570" s="4">
        <v>45234</v>
      </c>
      <c r="C570" s="4" t="str">
        <f>TEXT(Table1[[#This Row],[Date]],"YYYY")</f>
        <v>2023</v>
      </c>
      <c r="D570" s="4" t="str">
        <f>TEXT(Table1[[#This Row],[Date]],"MMM")</f>
        <v>Nov</v>
      </c>
      <c r="E570" s="5" t="s">
        <v>22</v>
      </c>
      <c r="F570" s="3" t="s">
        <v>18</v>
      </c>
      <c r="G570" s="3" t="s">
        <v>19</v>
      </c>
      <c r="H570" s="3" t="s">
        <v>17</v>
      </c>
      <c r="I570" s="3">
        <v>1</v>
      </c>
      <c r="J570" s="3">
        <v>53100</v>
      </c>
      <c r="K570" s="3">
        <v>59000</v>
      </c>
      <c r="L570" s="3">
        <v>9</v>
      </c>
      <c r="M570">
        <f>Table1[[#This Row],[Qty]]*Table1[[#This Row],[Sales Price]]</f>
        <v>531000</v>
      </c>
      <c r="N570">
        <f>Table1[[#This Row],[Qty]]*Table1[[#This Row],[Cost]]</f>
        <v>477900</v>
      </c>
      <c r="O570">
        <f>Table1[[#This Row],[Revenue]]-Table1[[#This Row],[Total Cost]]</f>
        <v>53100</v>
      </c>
    </row>
    <row r="571" spans="1:15" x14ac:dyDescent="0.55000000000000004">
      <c r="A571" s="3">
        <v>570</v>
      </c>
      <c r="B571" s="4">
        <v>45235</v>
      </c>
      <c r="C571" s="4" t="str">
        <f>TEXT(Table1[[#This Row],[Date]],"YYYY")</f>
        <v>2023</v>
      </c>
      <c r="D571" s="4" t="str">
        <f>TEXT(Table1[[#This Row],[Date]],"MMM")</f>
        <v>Nov</v>
      </c>
      <c r="E571" s="5" t="s">
        <v>57</v>
      </c>
      <c r="F571" s="3" t="s">
        <v>61</v>
      </c>
      <c r="G571" s="3" t="s">
        <v>21</v>
      </c>
      <c r="H571" s="3" t="s">
        <v>17</v>
      </c>
      <c r="I571" s="3">
        <v>0</v>
      </c>
      <c r="J571" s="3">
        <v>88200</v>
      </c>
      <c r="K571" s="3">
        <v>98000</v>
      </c>
      <c r="L571" s="3">
        <v>27</v>
      </c>
      <c r="M571">
        <f>Table1[[#This Row],[Qty]]*Table1[[#This Row],[Sales Price]]</f>
        <v>2646000</v>
      </c>
      <c r="N571">
        <f>Table1[[#This Row],[Qty]]*Table1[[#This Row],[Cost]]</f>
        <v>2381400</v>
      </c>
      <c r="O571">
        <f>Table1[[#This Row],[Revenue]]-Table1[[#This Row],[Total Cost]]</f>
        <v>264600</v>
      </c>
    </row>
    <row r="572" spans="1:15" x14ac:dyDescent="0.55000000000000004">
      <c r="A572" s="3">
        <v>571</v>
      </c>
      <c r="B572" s="4">
        <v>45236</v>
      </c>
      <c r="C572" s="4" t="str">
        <f>TEXT(Table1[[#This Row],[Date]],"YYYY")</f>
        <v>2023</v>
      </c>
      <c r="D572" s="4" t="str">
        <f>TEXT(Table1[[#This Row],[Date]],"MMM")</f>
        <v>Nov</v>
      </c>
      <c r="E572" s="5" t="s">
        <v>22</v>
      </c>
      <c r="F572" s="3" t="s">
        <v>18</v>
      </c>
      <c r="G572" s="3" t="s">
        <v>23</v>
      </c>
      <c r="H572" s="3" t="s">
        <v>17</v>
      </c>
      <c r="I572" s="3">
        <v>0</v>
      </c>
      <c r="J572" s="3">
        <v>8640</v>
      </c>
      <c r="K572" s="3">
        <v>9600</v>
      </c>
      <c r="L572" s="3">
        <v>15</v>
      </c>
      <c r="M572">
        <f>Table1[[#This Row],[Qty]]*Table1[[#This Row],[Sales Price]]</f>
        <v>144000</v>
      </c>
      <c r="N572">
        <f>Table1[[#This Row],[Qty]]*Table1[[#This Row],[Cost]]</f>
        <v>129600</v>
      </c>
      <c r="O572">
        <f>Table1[[#This Row],[Revenue]]-Table1[[#This Row],[Total Cost]]</f>
        <v>14400</v>
      </c>
    </row>
    <row r="573" spans="1:15" x14ac:dyDescent="0.55000000000000004">
      <c r="A573" s="3">
        <v>572</v>
      </c>
      <c r="B573" s="4">
        <v>45237</v>
      </c>
      <c r="C573" s="4" t="str">
        <f>TEXT(Table1[[#This Row],[Date]],"YYYY")</f>
        <v>2023</v>
      </c>
      <c r="D573" s="4" t="str">
        <f>TEXT(Table1[[#This Row],[Date]],"MMM")</f>
        <v>Nov</v>
      </c>
      <c r="E573" s="5" t="s">
        <v>50</v>
      </c>
      <c r="F573" s="3" t="s">
        <v>61</v>
      </c>
      <c r="G573" s="3" t="s">
        <v>25</v>
      </c>
      <c r="H573" s="3" t="s">
        <v>17</v>
      </c>
      <c r="I573" s="3">
        <v>1</v>
      </c>
      <c r="J573" s="3">
        <v>8280</v>
      </c>
      <c r="K573" s="3">
        <v>9200</v>
      </c>
      <c r="L573" s="3">
        <v>3</v>
      </c>
      <c r="M573">
        <f>Table1[[#This Row],[Qty]]*Table1[[#This Row],[Sales Price]]</f>
        <v>27600</v>
      </c>
      <c r="N573">
        <f>Table1[[#This Row],[Qty]]*Table1[[#This Row],[Cost]]</f>
        <v>24840</v>
      </c>
      <c r="O573">
        <f>Table1[[#This Row],[Revenue]]-Table1[[#This Row],[Total Cost]]</f>
        <v>2760</v>
      </c>
    </row>
    <row r="574" spans="1:15" x14ac:dyDescent="0.55000000000000004">
      <c r="A574" s="3">
        <v>573</v>
      </c>
      <c r="B574" s="4">
        <v>45238</v>
      </c>
      <c r="C574" s="4" t="str">
        <f>TEXT(Table1[[#This Row],[Date]],"YYYY")</f>
        <v>2023</v>
      </c>
      <c r="D574" s="4" t="str">
        <f>TEXT(Table1[[#This Row],[Date]],"MMM")</f>
        <v>Nov</v>
      </c>
      <c r="E574" s="5" t="s">
        <v>39</v>
      </c>
      <c r="F574" s="3" t="s">
        <v>18</v>
      </c>
      <c r="G574" s="3" t="s">
        <v>26</v>
      </c>
      <c r="H574" s="3" t="s">
        <v>17</v>
      </c>
      <c r="I574" s="3"/>
      <c r="J574" s="3">
        <v>4950</v>
      </c>
      <c r="K574" s="3">
        <v>5500</v>
      </c>
      <c r="L574" s="3">
        <v>9</v>
      </c>
      <c r="M574">
        <f>Table1[[#This Row],[Qty]]*Table1[[#This Row],[Sales Price]]</f>
        <v>49500</v>
      </c>
      <c r="N574">
        <f>Table1[[#This Row],[Qty]]*Table1[[#This Row],[Cost]]</f>
        <v>44550</v>
      </c>
      <c r="O574">
        <f>Table1[[#This Row],[Revenue]]-Table1[[#This Row],[Total Cost]]</f>
        <v>4950</v>
      </c>
    </row>
    <row r="575" spans="1:15" x14ac:dyDescent="0.55000000000000004">
      <c r="A575" s="3">
        <v>574</v>
      </c>
      <c r="B575" s="4">
        <v>45239</v>
      </c>
      <c r="C575" s="4" t="str">
        <f>TEXT(Table1[[#This Row],[Date]],"YYYY")</f>
        <v>2023</v>
      </c>
      <c r="D575" s="4" t="str">
        <f>TEXT(Table1[[#This Row],[Date]],"MMM")</f>
        <v>Nov</v>
      </c>
      <c r="E575" s="5" t="s">
        <v>14</v>
      </c>
      <c r="F575" s="3" t="s">
        <v>61</v>
      </c>
      <c r="G575" s="3" t="s">
        <v>27</v>
      </c>
      <c r="H575" s="3" t="s">
        <v>28</v>
      </c>
      <c r="I575" s="3"/>
      <c r="J575" s="3">
        <v>3150</v>
      </c>
      <c r="K575" s="3">
        <v>3500</v>
      </c>
      <c r="L575" s="3">
        <v>22</v>
      </c>
      <c r="M575">
        <f>Table1[[#This Row],[Qty]]*Table1[[#This Row],[Sales Price]]</f>
        <v>77000</v>
      </c>
      <c r="N575">
        <f>Table1[[#This Row],[Qty]]*Table1[[#This Row],[Cost]]</f>
        <v>69300</v>
      </c>
      <c r="O575">
        <f>Table1[[#This Row],[Revenue]]-Table1[[#This Row],[Total Cost]]</f>
        <v>7700</v>
      </c>
    </row>
    <row r="576" spans="1:15" x14ac:dyDescent="0.55000000000000004">
      <c r="A576" s="3">
        <v>575</v>
      </c>
      <c r="B576" s="4">
        <v>45240</v>
      </c>
      <c r="C576" s="4" t="str">
        <f>TEXT(Table1[[#This Row],[Date]],"YYYY")</f>
        <v>2023</v>
      </c>
      <c r="D576" s="4" t="str">
        <f>TEXT(Table1[[#This Row],[Date]],"MMM")</f>
        <v>Nov</v>
      </c>
      <c r="E576" s="5" t="s">
        <v>63</v>
      </c>
      <c r="F576" s="3" t="s">
        <v>18</v>
      </c>
      <c r="G576" s="3" t="s">
        <v>30</v>
      </c>
      <c r="H576" s="3" t="s">
        <v>28</v>
      </c>
      <c r="I576" s="3">
        <v>1</v>
      </c>
      <c r="J576" s="3">
        <v>2700</v>
      </c>
      <c r="K576" s="3">
        <v>3000</v>
      </c>
      <c r="L576" s="3">
        <v>16</v>
      </c>
      <c r="M576">
        <f>Table1[[#This Row],[Qty]]*Table1[[#This Row],[Sales Price]]</f>
        <v>48000</v>
      </c>
      <c r="N576">
        <f>Table1[[#This Row],[Qty]]*Table1[[#This Row],[Cost]]</f>
        <v>43200</v>
      </c>
      <c r="O576">
        <f>Table1[[#This Row],[Revenue]]-Table1[[#This Row],[Total Cost]]</f>
        <v>4800</v>
      </c>
    </row>
    <row r="577" spans="1:15" x14ac:dyDescent="0.55000000000000004">
      <c r="A577" s="3">
        <v>576</v>
      </c>
      <c r="B577" s="4">
        <v>45241</v>
      </c>
      <c r="C577" s="4" t="str">
        <f>TEXT(Table1[[#This Row],[Date]],"YYYY")</f>
        <v>2023</v>
      </c>
      <c r="D577" s="4" t="str">
        <f>TEXT(Table1[[#This Row],[Date]],"MMM")</f>
        <v>Nov</v>
      </c>
      <c r="E577" s="5" t="s">
        <v>50</v>
      </c>
      <c r="F577" s="3" t="s">
        <v>61</v>
      </c>
      <c r="G577" s="3" t="s">
        <v>32</v>
      </c>
      <c r="H577" s="3" t="s">
        <v>28</v>
      </c>
      <c r="I577" s="3"/>
      <c r="J577" s="3">
        <v>4050</v>
      </c>
      <c r="K577" s="3">
        <v>4500</v>
      </c>
      <c r="L577" s="3">
        <v>6</v>
      </c>
      <c r="M577">
        <f>Table1[[#This Row],[Qty]]*Table1[[#This Row],[Sales Price]]</f>
        <v>27000</v>
      </c>
      <c r="N577">
        <f>Table1[[#This Row],[Qty]]*Table1[[#This Row],[Cost]]</f>
        <v>24300</v>
      </c>
      <c r="O577">
        <f>Table1[[#This Row],[Revenue]]-Table1[[#This Row],[Total Cost]]</f>
        <v>2700</v>
      </c>
    </row>
    <row r="578" spans="1:15" x14ac:dyDescent="0.55000000000000004">
      <c r="A578" s="3">
        <v>577</v>
      </c>
      <c r="B578" s="4">
        <v>45242</v>
      </c>
      <c r="C578" s="4" t="str">
        <f>TEXT(Table1[[#This Row],[Date]],"YYYY")</f>
        <v>2023</v>
      </c>
      <c r="D578" s="4" t="str">
        <f>TEXT(Table1[[#This Row],[Date]],"MMM")</f>
        <v>Nov</v>
      </c>
      <c r="E578" s="5" t="s">
        <v>22</v>
      </c>
      <c r="F578" s="3" t="s">
        <v>18</v>
      </c>
      <c r="G578" s="3" t="s">
        <v>19</v>
      </c>
      <c r="H578" s="3" t="s">
        <v>17</v>
      </c>
      <c r="I578" s="3"/>
      <c r="J578" s="3">
        <v>53100</v>
      </c>
      <c r="K578" s="3">
        <v>59000</v>
      </c>
      <c r="L578" s="3">
        <v>3</v>
      </c>
      <c r="M578">
        <f>Table1[[#This Row],[Qty]]*Table1[[#This Row],[Sales Price]]</f>
        <v>177000</v>
      </c>
      <c r="N578">
        <f>Table1[[#This Row],[Qty]]*Table1[[#This Row],[Cost]]</f>
        <v>159300</v>
      </c>
      <c r="O578">
        <f>Table1[[#This Row],[Revenue]]-Table1[[#This Row],[Total Cost]]</f>
        <v>17700</v>
      </c>
    </row>
    <row r="579" spans="1:15" x14ac:dyDescent="0.55000000000000004">
      <c r="A579" s="3">
        <v>578</v>
      </c>
      <c r="B579" s="4">
        <v>45243</v>
      </c>
      <c r="C579" s="4" t="str">
        <f>TEXT(Table1[[#This Row],[Date]],"YYYY")</f>
        <v>2023</v>
      </c>
      <c r="D579" s="4" t="str">
        <f>TEXT(Table1[[#This Row],[Date]],"MMM")</f>
        <v>Nov</v>
      </c>
      <c r="E579" s="5" t="s">
        <v>24</v>
      </c>
      <c r="F579" s="3" t="s">
        <v>15</v>
      </c>
      <c r="G579" s="3" t="s">
        <v>21</v>
      </c>
      <c r="H579" s="3" t="s">
        <v>17</v>
      </c>
      <c r="I579" s="3"/>
      <c r="J579" s="3">
        <v>88200</v>
      </c>
      <c r="K579" s="3">
        <v>98000</v>
      </c>
      <c r="L579" s="3">
        <v>5</v>
      </c>
      <c r="M579">
        <f>Table1[[#This Row],[Qty]]*Table1[[#This Row],[Sales Price]]</f>
        <v>490000</v>
      </c>
      <c r="N579">
        <f>Table1[[#This Row],[Qty]]*Table1[[#This Row],[Cost]]</f>
        <v>441000</v>
      </c>
      <c r="O579">
        <f>Table1[[#This Row],[Revenue]]-Table1[[#This Row],[Total Cost]]</f>
        <v>49000</v>
      </c>
    </row>
    <row r="580" spans="1:15" x14ac:dyDescent="0.55000000000000004">
      <c r="A580" s="3">
        <v>579</v>
      </c>
      <c r="B580" s="4">
        <v>45244</v>
      </c>
      <c r="C580" s="4" t="str">
        <f>TEXT(Table1[[#This Row],[Date]],"YYYY")</f>
        <v>2023</v>
      </c>
      <c r="D580" s="4" t="str">
        <f>TEXT(Table1[[#This Row],[Date]],"MMM")</f>
        <v>Nov</v>
      </c>
      <c r="E580" s="5" t="s">
        <v>31</v>
      </c>
      <c r="F580" s="3" t="s">
        <v>18</v>
      </c>
      <c r="G580" s="3" t="s">
        <v>23</v>
      </c>
      <c r="H580" s="3" t="s">
        <v>17</v>
      </c>
      <c r="I580" s="3">
        <v>1</v>
      </c>
      <c r="J580" s="3">
        <v>38250</v>
      </c>
      <c r="K580" s="3">
        <v>42500</v>
      </c>
      <c r="L580" s="3">
        <v>1</v>
      </c>
      <c r="M580">
        <f>Table1[[#This Row],[Qty]]*Table1[[#This Row],[Sales Price]]</f>
        <v>42500</v>
      </c>
      <c r="N580">
        <f>Table1[[#This Row],[Qty]]*Table1[[#This Row],[Cost]]</f>
        <v>38250</v>
      </c>
      <c r="O580">
        <f>Table1[[#This Row],[Revenue]]-Table1[[#This Row],[Total Cost]]</f>
        <v>4250</v>
      </c>
    </row>
    <row r="581" spans="1:15" x14ac:dyDescent="0.55000000000000004">
      <c r="A581" s="3">
        <v>580</v>
      </c>
      <c r="B581" s="4">
        <v>45245</v>
      </c>
      <c r="C581" s="4" t="str">
        <f>TEXT(Table1[[#This Row],[Date]],"YYYY")</f>
        <v>2023</v>
      </c>
      <c r="D581" s="4" t="str">
        <f>TEXT(Table1[[#This Row],[Date]],"MMM")</f>
        <v>Nov</v>
      </c>
      <c r="E581" s="5" t="s">
        <v>39</v>
      </c>
      <c r="F581" s="3" t="s">
        <v>15</v>
      </c>
      <c r="G581" s="3" t="s">
        <v>25</v>
      </c>
      <c r="H581" s="3" t="s">
        <v>17</v>
      </c>
      <c r="I581" s="3">
        <v>1</v>
      </c>
      <c r="J581" s="3">
        <v>2700</v>
      </c>
      <c r="K581" s="3">
        <v>3000</v>
      </c>
      <c r="L581" s="3">
        <v>5</v>
      </c>
      <c r="M581">
        <f>Table1[[#This Row],[Qty]]*Table1[[#This Row],[Sales Price]]</f>
        <v>15000</v>
      </c>
      <c r="N581">
        <f>Table1[[#This Row],[Qty]]*Table1[[#This Row],[Cost]]</f>
        <v>13500</v>
      </c>
      <c r="O581">
        <f>Table1[[#This Row],[Revenue]]-Table1[[#This Row],[Total Cost]]</f>
        <v>1500</v>
      </c>
    </row>
    <row r="582" spans="1:15" x14ac:dyDescent="0.55000000000000004">
      <c r="A582" s="3">
        <v>581</v>
      </c>
      <c r="B582" s="4">
        <v>45246</v>
      </c>
      <c r="C582" s="4" t="str">
        <f>TEXT(Table1[[#This Row],[Date]],"YYYY")</f>
        <v>2023</v>
      </c>
      <c r="D582" s="4" t="str">
        <f>TEXT(Table1[[#This Row],[Date]],"MMM")</f>
        <v>Nov</v>
      </c>
      <c r="E582" s="5" t="s">
        <v>50</v>
      </c>
      <c r="F582" s="3" t="s">
        <v>18</v>
      </c>
      <c r="G582" s="3" t="s">
        <v>26</v>
      </c>
      <c r="H582" s="3" t="s">
        <v>17</v>
      </c>
      <c r="I582" s="3">
        <v>1</v>
      </c>
      <c r="J582" s="3">
        <v>23850</v>
      </c>
      <c r="K582" s="3">
        <v>26500</v>
      </c>
      <c r="L582" s="3">
        <v>7</v>
      </c>
      <c r="M582">
        <f>Table1[[#This Row],[Qty]]*Table1[[#This Row],[Sales Price]]</f>
        <v>185500</v>
      </c>
      <c r="N582">
        <f>Table1[[#This Row],[Qty]]*Table1[[#This Row],[Cost]]</f>
        <v>166950</v>
      </c>
      <c r="O582">
        <f>Table1[[#This Row],[Revenue]]-Table1[[#This Row],[Total Cost]]</f>
        <v>18550</v>
      </c>
    </row>
    <row r="583" spans="1:15" x14ac:dyDescent="0.55000000000000004">
      <c r="A583" s="3">
        <v>582</v>
      </c>
      <c r="B583" s="4">
        <v>45247</v>
      </c>
      <c r="C583" s="4" t="str">
        <f>TEXT(Table1[[#This Row],[Date]],"YYYY")</f>
        <v>2023</v>
      </c>
      <c r="D583" s="4" t="str">
        <f>TEXT(Table1[[#This Row],[Date]],"MMM")</f>
        <v>Nov</v>
      </c>
      <c r="E583" s="5" t="s">
        <v>40</v>
      </c>
      <c r="F583" s="3" t="s">
        <v>15</v>
      </c>
      <c r="G583" s="3" t="s">
        <v>27</v>
      </c>
      <c r="H583" s="3" t="s">
        <v>28</v>
      </c>
      <c r="I583" s="3">
        <v>1</v>
      </c>
      <c r="J583" s="3">
        <v>24750</v>
      </c>
      <c r="K583" s="3">
        <v>27500</v>
      </c>
      <c r="L583" s="3">
        <v>4</v>
      </c>
      <c r="M583">
        <f>Table1[[#This Row],[Qty]]*Table1[[#This Row],[Sales Price]]</f>
        <v>110000</v>
      </c>
      <c r="N583">
        <f>Table1[[#This Row],[Qty]]*Table1[[#This Row],[Cost]]</f>
        <v>99000</v>
      </c>
      <c r="O583">
        <f>Table1[[#This Row],[Revenue]]-Table1[[#This Row],[Total Cost]]</f>
        <v>11000</v>
      </c>
    </row>
    <row r="584" spans="1:15" x14ac:dyDescent="0.55000000000000004">
      <c r="A584" s="3">
        <v>583</v>
      </c>
      <c r="B584" s="4">
        <v>45248</v>
      </c>
      <c r="C584" s="4" t="str">
        <f>TEXT(Table1[[#This Row],[Date]],"YYYY")</f>
        <v>2023</v>
      </c>
      <c r="D584" s="4" t="str">
        <f>TEXT(Table1[[#This Row],[Date]],"MMM")</f>
        <v>Nov</v>
      </c>
      <c r="E584" s="5" t="s">
        <v>31</v>
      </c>
      <c r="F584" s="3" t="s">
        <v>18</v>
      </c>
      <c r="G584" s="3" t="s">
        <v>30</v>
      </c>
      <c r="H584" s="3" t="s">
        <v>28</v>
      </c>
      <c r="I584" s="3">
        <v>1</v>
      </c>
      <c r="J584" s="3">
        <v>44550</v>
      </c>
      <c r="K584" s="3">
        <v>49500</v>
      </c>
      <c r="L584" s="3">
        <v>8</v>
      </c>
      <c r="M584">
        <f>Table1[[#This Row],[Qty]]*Table1[[#This Row],[Sales Price]]</f>
        <v>396000</v>
      </c>
      <c r="N584">
        <f>Table1[[#This Row],[Qty]]*Table1[[#This Row],[Cost]]</f>
        <v>356400</v>
      </c>
      <c r="O584">
        <f>Table1[[#This Row],[Revenue]]-Table1[[#This Row],[Total Cost]]</f>
        <v>39600</v>
      </c>
    </row>
    <row r="585" spans="1:15" x14ac:dyDescent="0.55000000000000004">
      <c r="A585" s="3">
        <v>584</v>
      </c>
      <c r="B585" s="4">
        <v>45249</v>
      </c>
      <c r="C585" s="4" t="str">
        <f>TEXT(Table1[[#This Row],[Date]],"YYYY")</f>
        <v>2023</v>
      </c>
      <c r="D585" s="4" t="str">
        <f>TEXT(Table1[[#This Row],[Date]],"MMM")</f>
        <v>Nov</v>
      </c>
      <c r="E585" s="5" t="s">
        <v>58</v>
      </c>
      <c r="F585" s="3" t="s">
        <v>15</v>
      </c>
      <c r="G585" s="3" t="s">
        <v>32</v>
      </c>
      <c r="H585" s="3" t="s">
        <v>28</v>
      </c>
      <c r="I585" s="3">
        <v>1</v>
      </c>
      <c r="J585" s="3">
        <v>9000</v>
      </c>
      <c r="K585" s="3">
        <v>10000</v>
      </c>
      <c r="L585" s="3">
        <v>8</v>
      </c>
      <c r="M585">
        <f>Table1[[#This Row],[Qty]]*Table1[[#This Row],[Sales Price]]</f>
        <v>80000</v>
      </c>
      <c r="N585">
        <f>Table1[[#This Row],[Qty]]*Table1[[#This Row],[Cost]]</f>
        <v>72000</v>
      </c>
      <c r="O585">
        <f>Table1[[#This Row],[Revenue]]-Table1[[#This Row],[Total Cost]]</f>
        <v>8000</v>
      </c>
    </row>
    <row r="586" spans="1:15" x14ac:dyDescent="0.55000000000000004">
      <c r="A586" s="3">
        <v>585</v>
      </c>
      <c r="B586" s="4">
        <v>45250</v>
      </c>
      <c r="C586" s="4" t="str">
        <f>TEXT(Table1[[#This Row],[Date]],"YYYY")</f>
        <v>2023</v>
      </c>
      <c r="D586" s="4" t="str">
        <f>TEXT(Table1[[#This Row],[Date]],"MMM")</f>
        <v>Nov</v>
      </c>
      <c r="E586" s="5" t="s">
        <v>54</v>
      </c>
      <c r="F586" s="3" t="s">
        <v>18</v>
      </c>
      <c r="G586" s="3" t="s">
        <v>19</v>
      </c>
      <c r="H586" s="3" t="s">
        <v>17</v>
      </c>
      <c r="I586" s="3">
        <v>1</v>
      </c>
      <c r="J586" s="3">
        <v>8640</v>
      </c>
      <c r="K586" s="3">
        <v>9600</v>
      </c>
      <c r="L586" s="3">
        <v>9</v>
      </c>
      <c r="M586">
        <f>Table1[[#This Row],[Qty]]*Table1[[#This Row],[Sales Price]]</f>
        <v>86400</v>
      </c>
      <c r="N586">
        <f>Table1[[#This Row],[Qty]]*Table1[[#This Row],[Cost]]</f>
        <v>77760</v>
      </c>
      <c r="O586">
        <f>Table1[[#This Row],[Revenue]]-Table1[[#This Row],[Total Cost]]</f>
        <v>8640</v>
      </c>
    </row>
    <row r="587" spans="1:15" x14ac:dyDescent="0.55000000000000004">
      <c r="A587" s="3">
        <v>586</v>
      </c>
      <c r="B587" s="4">
        <v>45251</v>
      </c>
      <c r="C587" s="4" t="str">
        <f>TEXT(Table1[[#This Row],[Date]],"YYYY")</f>
        <v>2023</v>
      </c>
      <c r="D587" s="4" t="str">
        <f>TEXT(Table1[[#This Row],[Date]],"MMM")</f>
        <v>Nov</v>
      </c>
      <c r="E587" s="5" t="s">
        <v>22</v>
      </c>
      <c r="F587" s="3" t="s">
        <v>15</v>
      </c>
      <c r="G587" s="3" t="s">
        <v>21</v>
      </c>
      <c r="H587" s="3" t="s">
        <v>17</v>
      </c>
      <c r="I587" s="3"/>
      <c r="J587" s="3">
        <v>9000</v>
      </c>
      <c r="K587" s="3">
        <v>10000</v>
      </c>
      <c r="L587" s="3">
        <v>2</v>
      </c>
      <c r="M587">
        <f>Table1[[#This Row],[Qty]]*Table1[[#This Row],[Sales Price]]</f>
        <v>20000</v>
      </c>
      <c r="N587">
        <f>Table1[[#This Row],[Qty]]*Table1[[#This Row],[Cost]]</f>
        <v>18000</v>
      </c>
      <c r="O587">
        <f>Table1[[#This Row],[Revenue]]-Table1[[#This Row],[Total Cost]]</f>
        <v>2000</v>
      </c>
    </row>
    <row r="588" spans="1:15" x14ac:dyDescent="0.55000000000000004">
      <c r="A588" s="3">
        <v>587</v>
      </c>
      <c r="B588" s="4">
        <v>45252</v>
      </c>
      <c r="C588" s="4" t="str">
        <f>TEXT(Table1[[#This Row],[Date]],"YYYY")</f>
        <v>2023</v>
      </c>
      <c r="D588" s="4" t="str">
        <f>TEXT(Table1[[#This Row],[Date]],"MMM")</f>
        <v>Nov</v>
      </c>
      <c r="E588" s="5" t="s">
        <v>22</v>
      </c>
      <c r="F588" s="3" t="s">
        <v>18</v>
      </c>
      <c r="G588" s="3" t="s">
        <v>23</v>
      </c>
      <c r="H588" s="3" t="s">
        <v>17</v>
      </c>
      <c r="I588" s="3"/>
      <c r="J588" s="3">
        <v>3870</v>
      </c>
      <c r="K588" s="3">
        <v>4300</v>
      </c>
      <c r="L588" s="3">
        <v>1</v>
      </c>
      <c r="M588">
        <f>Table1[[#This Row],[Qty]]*Table1[[#This Row],[Sales Price]]</f>
        <v>4300</v>
      </c>
      <c r="N588">
        <f>Table1[[#This Row],[Qty]]*Table1[[#This Row],[Cost]]</f>
        <v>3870</v>
      </c>
      <c r="O588">
        <f>Table1[[#This Row],[Revenue]]-Table1[[#This Row],[Total Cost]]</f>
        <v>430</v>
      </c>
    </row>
    <row r="589" spans="1:15" x14ac:dyDescent="0.55000000000000004">
      <c r="A589" s="3">
        <v>588</v>
      </c>
      <c r="B589" s="4">
        <v>45253</v>
      </c>
      <c r="C589" s="4" t="str">
        <f>TEXT(Table1[[#This Row],[Date]],"YYYY")</f>
        <v>2023</v>
      </c>
      <c r="D589" s="4" t="str">
        <f>TEXT(Table1[[#This Row],[Date]],"MMM")</f>
        <v>Nov</v>
      </c>
      <c r="E589" s="5" t="s">
        <v>56</v>
      </c>
      <c r="F589" s="3" t="s">
        <v>15</v>
      </c>
      <c r="G589" s="3" t="s">
        <v>25</v>
      </c>
      <c r="H589" s="3" t="s">
        <v>17</v>
      </c>
      <c r="I589" s="3">
        <v>1</v>
      </c>
      <c r="J589" s="3">
        <v>8640</v>
      </c>
      <c r="K589" s="3">
        <v>9600</v>
      </c>
      <c r="L589" s="3">
        <v>22</v>
      </c>
      <c r="M589">
        <f>Table1[[#This Row],[Qty]]*Table1[[#This Row],[Sales Price]]</f>
        <v>211200</v>
      </c>
      <c r="N589">
        <f>Table1[[#This Row],[Qty]]*Table1[[#This Row],[Cost]]</f>
        <v>190080</v>
      </c>
      <c r="O589">
        <f>Table1[[#This Row],[Revenue]]-Table1[[#This Row],[Total Cost]]</f>
        <v>21120</v>
      </c>
    </row>
    <row r="590" spans="1:15" x14ac:dyDescent="0.55000000000000004">
      <c r="A590" s="3">
        <v>589</v>
      </c>
      <c r="B590" s="4">
        <v>45254</v>
      </c>
      <c r="C590" s="4" t="str">
        <f>TEXT(Table1[[#This Row],[Date]],"YYYY")</f>
        <v>2023</v>
      </c>
      <c r="D590" s="4" t="str">
        <f>TEXT(Table1[[#This Row],[Date]],"MMM")</f>
        <v>Nov</v>
      </c>
      <c r="E590" s="5" t="s">
        <v>22</v>
      </c>
      <c r="F590" s="3" t="s">
        <v>18</v>
      </c>
      <c r="G590" s="3" t="s">
        <v>26</v>
      </c>
      <c r="H590" s="3" t="s">
        <v>17</v>
      </c>
      <c r="I590" s="3">
        <v>1</v>
      </c>
      <c r="J590" s="3">
        <v>8280</v>
      </c>
      <c r="K590" s="3">
        <v>9200</v>
      </c>
      <c r="L590" s="3">
        <v>8</v>
      </c>
      <c r="M590">
        <f>Table1[[#This Row],[Qty]]*Table1[[#This Row],[Sales Price]]</f>
        <v>73600</v>
      </c>
      <c r="N590">
        <f>Table1[[#This Row],[Qty]]*Table1[[#This Row],[Cost]]</f>
        <v>66240</v>
      </c>
      <c r="O590">
        <f>Table1[[#This Row],[Revenue]]-Table1[[#This Row],[Total Cost]]</f>
        <v>7360</v>
      </c>
    </row>
    <row r="591" spans="1:15" x14ac:dyDescent="0.55000000000000004">
      <c r="A591" s="3">
        <v>590</v>
      </c>
      <c r="B591" s="4">
        <v>45255</v>
      </c>
      <c r="C591" s="4" t="str">
        <f>TEXT(Table1[[#This Row],[Date]],"YYYY")</f>
        <v>2023</v>
      </c>
      <c r="D591" s="4" t="str">
        <f>TEXT(Table1[[#This Row],[Date]],"MMM")</f>
        <v>Nov</v>
      </c>
      <c r="E591" s="5" t="s">
        <v>31</v>
      </c>
      <c r="F591" s="3" t="s">
        <v>15</v>
      </c>
      <c r="G591" s="3" t="s">
        <v>27</v>
      </c>
      <c r="H591" s="3" t="s">
        <v>28</v>
      </c>
      <c r="I591" s="3">
        <v>1</v>
      </c>
      <c r="J591" s="3">
        <v>4950</v>
      </c>
      <c r="K591" s="3">
        <v>5500</v>
      </c>
      <c r="L591" s="3">
        <v>7</v>
      </c>
      <c r="M591">
        <f>Table1[[#This Row],[Qty]]*Table1[[#This Row],[Sales Price]]</f>
        <v>38500</v>
      </c>
      <c r="N591">
        <f>Table1[[#This Row],[Qty]]*Table1[[#This Row],[Cost]]</f>
        <v>34650</v>
      </c>
      <c r="O591">
        <f>Table1[[#This Row],[Revenue]]-Table1[[#This Row],[Total Cost]]</f>
        <v>3850</v>
      </c>
    </row>
    <row r="592" spans="1:15" x14ac:dyDescent="0.55000000000000004">
      <c r="A592" s="3">
        <v>591</v>
      </c>
      <c r="B592" s="4">
        <v>45256</v>
      </c>
      <c r="C592" s="4" t="str">
        <f>TEXT(Table1[[#This Row],[Date]],"YYYY")</f>
        <v>2023</v>
      </c>
      <c r="D592" s="4" t="str">
        <f>TEXT(Table1[[#This Row],[Date]],"MMM")</f>
        <v>Nov</v>
      </c>
      <c r="E592" s="5" t="s">
        <v>31</v>
      </c>
      <c r="F592" s="3" t="s">
        <v>18</v>
      </c>
      <c r="G592" s="3" t="s">
        <v>30</v>
      </c>
      <c r="H592" s="3" t="s">
        <v>28</v>
      </c>
      <c r="I592" s="3">
        <v>0</v>
      </c>
      <c r="J592" s="3">
        <v>3150</v>
      </c>
      <c r="K592" s="3">
        <v>3500</v>
      </c>
      <c r="L592" s="3">
        <v>56</v>
      </c>
      <c r="M592">
        <f>Table1[[#This Row],[Qty]]*Table1[[#This Row],[Sales Price]]</f>
        <v>196000</v>
      </c>
      <c r="N592">
        <f>Table1[[#This Row],[Qty]]*Table1[[#This Row],[Cost]]</f>
        <v>176400</v>
      </c>
      <c r="O592">
        <f>Table1[[#This Row],[Revenue]]-Table1[[#This Row],[Total Cost]]</f>
        <v>19600</v>
      </c>
    </row>
    <row r="593" spans="1:15" x14ac:dyDescent="0.55000000000000004">
      <c r="A593" s="3">
        <v>592</v>
      </c>
      <c r="B593" s="4">
        <v>45257</v>
      </c>
      <c r="C593" s="4" t="str">
        <f>TEXT(Table1[[#This Row],[Date]],"YYYY")</f>
        <v>2023</v>
      </c>
      <c r="D593" s="4" t="str">
        <f>TEXT(Table1[[#This Row],[Date]],"MMM")</f>
        <v>Nov</v>
      </c>
      <c r="E593" s="5" t="s">
        <v>40</v>
      </c>
      <c r="F593" s="3" t="s">
        <v>15</v>
      </c>
      <c r="G593" s="3" t="s">
        <v>32</v>
      </c>
      <c r="H593" s="3" t="s">
        <v>28</v>
      </c>
      <c r="I593" s="3">
        <v>1</v>
      </c>
      <c r="J593" s="3">
        <v>2700</v>
      </c>
      <c r="K593" s="3">
        <v>3000</v>
      </c>
      <c r="L593" s="3">
        <v>10</v>
      </c>
      <c r="M593">
        <f>Table1[[#This Row],[Qty]]*Table1[[#This Row],[Sales Price]]</f>
        <v>30000</v>
      </c>
      <c r="N593">
        <f>Table1[[#This Row],[Qty]]*Table1[[#This Row],[Cost]]</f>
        <v>27000</v>
      </c>
      <c r="O593">
        <f>Table1[[#This Row],[Revenue]]-Table1[[#This Row],[Total Cost]]</f>
        <v>3000</v>
      </c>
    </row>
    <row r="594" spans="1:15" x14ac:dyDescent="0.55000000000000004">
      <c r="A594" s="3">
        <v>593</v>
      </c>
      <c r="B594" s="4">
        <v>45258</v>
      </c>
      <c r="C594" s="4" t="str">
        <f>TEXT(Table1[[#This Row],[Date]],"YYYY")</f>
        <v>2023</v>
      </c>
      <c r="D594" s="4" t="str">
        <f>TEXT(Table1[[#This Row],[Date]],"MMM")</f>
        <v>Nov</v>
      </c>
      <c r="E594" s="5" t="s">
        <v>31</v>
      </c>
      <c r="F594" s="3" t="s">
        <v>18</v>
      </c>
      <c r="G594" s="3" t="s">
        <v>44</v>
      </c>
      <c r="H594" s="3" t="s">
        <v>43</v>
      </c>
      <c r="I594" s="3">
        <v>0</v>
      </c>
      <c r="J594" s="3">
        <v>4050</v>
      </c>
      <c r="K594" s="3">
        <v>4500</v>
      </c>
      <c r="L594" s="3">
        <v>9</v>
      </c>
      <c r="M594">
        <f>Table1[[#This Row],[Qty]]*Table1[[#This Row],[Sales Price]]</f>
        <v>40500</v>
      </c>
      <c r="N594">
        <f>Table1[[#This Row],[Qty]]*Table1[[#This Row],[Cost]]</f>
        <v>36450</v>
      </c>
      <c r="O594">
        <f>Table1[[#This Row],[Revenue]]-Table1[[#This Row],[Total Cost]]</f>
        <v>4050</v>
      </c>
    </row>
    <row r="595" spans="1:15" x14ac:dyDescent="0.55000000000000004">
      <c r="A595" s="3">
        <v>594</v>
      </c>
      <c r="B595" s="4">
        <v>45259</v>
      </c>
      <c r="C595" s="4" t="str">
        <f>TEXT(Table1[[#This Row],[Date]],"YYYY")</f>
        <v>2023</v>
      </c>
      <c r="D595" s="4" t="str">
        <f>TEXT(Table1[[#This Row],[Date]],"MMM")</f>
        <v>Nov</v>
      </c>
      <c r="E595" s="5" t="s">
        <v>24</v>
      </c>
      <c r="F595" s="3" t="s">
        <v>15</v>
      </c>
      <c r="G595" s="3" t="s">
        <v>45</v>
      </c>
      <c r="H595" s="3" t="s">
        <v>43</v>
      </c>
      <c r="I595" s="3"/>
      <c r="J595" s="3">
        <v>53100</v>
      </c>
      <c r="K595" s="3">
        <v>59000</v>
      </c>
      <c r="L595" s="3">
        <v>27</v>
      </c>
      <c r="M595">
        <f>Table1[[#This Row],[Qty]]*Table1[[#This Row],[Sales Price]]</f>
        <v>1593000</v>
      </c>
      <c r="N595">
        <f>Table1[[#This Row],[Qty]]*Table1[[#This Row],[Cost]]</f>
        <v>1433700</v>
      </c>
      <c r="O595">
        <f>Table1[[#This Row],[Revenue]]-Table1[[#This Row],[Total Cost]]</f>
        <v>159300</v>
      </c>
    </row>
    <row r="596" spans="1:15" x14ac:dyDescent="0.55000000000000004">
      <c r="A596" s="3">
        <v>595</v>
      </c>
      <c r="B596" s="4">
        <v>45260</v>
      </c>
      <c r="C596" s="4" t="str">
        <f>TEXT(Table1[[#This Row],[Date]],"YYYY")</f>
        <v>2023</v>
      </c>
      <c r="D596" s="4" t="str">
        <f>TEXT(Table1[[#This Row],[Date]],"MMM")</f>
        <v>Nov</v>
      </c>
      <c r="E596" s="5" t="s">
        <v>56</v>
      </c>
      <c r="F596" s="3" t="s">
        <v>18</v>
      </c>
      <c r="G596" s="3" t="s">
        <v>47</v>
      </c>
      <c r="H596" s="3" t="s">
        <v>43</v>
      </c>
      <c r="I596" s="3"/>
      <c r="J596" s="3">
        <v>88200</v>
      </c>
      <c r="K596" s="3">
        <v>98000</v>
      </c>
      <c r="L596" s="3">
        <v>15</v>
      </c>
      <c r="M596">
        <f>Table1[[#This Row],[Qty]]*Table1[[#This Row],[Sales Price]]</f>
        <v>1470000</v>
      </c>
      <c r="N596">
        <f>Table1[[#This Row],[Qty]]*Table1[[#This Row],[Cost]]</f>
        <v>1323000</v>
      </c>
      <c r="O596">
        <f>Table1[[#This Row],[Revenue]]-Table1[[#This Row],[Total Cost]]</f>
        <v>147000</v>
      </c>
    </row>
    <row r="597" spans="1:15" x14ac:dyDescent="0.55000000000000004">
      <c r="A597" s="3">
        <v>596</v>
      </c>
      <c r="B597" s="4">
        <v>45261</v>
      </c>
      <c r="C597" s="4" t="str">
        <f>TEXT(Table1[[#This Row],[Date]],"YYYY")</f>
        <v>2023</v>
      </c>
      <c r="D597" s="4" t="str">
        <f>TEXT(Table1[[#This Row],[Date]],"MMM")</f>
        <v>Dec</v>
      </c>
      <c r="E597" s="5" t="s">
        <v>31</v>
      </c>
      <c r="F597" s="3" t="s">
        <v>15</v>
      </c>
      <c r="G597" s="3" t="s">
        <v>44</v>
      </c>
      <c r="H597" s="3" t="s">
        <v>43</v>
      </c>
      <c r="I597" s="3"/>
      <c r="J597" s="3">
        <v>38250</v>
      </c>
      <c r="K597" s="3">
        <v>42500</v>
      </c>
      <c r="L597" s="3">
        <v>3</v>
      </c>
      <c r="M597">
        <f>Table1[[#This Row],[Qty]]*Table1[[#This Row],[Sales Price]]</f>
        <v>127500</v>
      </c>
      <c r="N597">
        <f>Table1[[#This Row],[Qty]]*Table1[[#This Row],[Cost]]</f>
        <v>114750</v>
      </c>
      <c r="O597">
        <f>Table1[[#This Row],[Revenue]]-Table1[[#This Row],[Total Cost]]</f>
        <v>12750</v>
      </c>
    </row>
    <row r="598" spans="1:15" x14ac:dyDescent="0.55000000000000004">
      <c r="A598" s="3">
        <v>597</v>
      </c>
      <c r="B598" s="4">
        <v>45262</v>
      </c>
      <c r="C598" s="4" t="str">
        <f>TEXT(Table1[[#This Row],[Date]],"YYYY")</f>
        <v>2023</v>
      </c>
      <c r="D598" s="4" t="str">
        <f>TEXT(Table1[[#This Row],[Date]],"MMM")</f>
        <v>Dec</v>
      </c>
      <c r="E598" s="5" t="s">
        <v>35</v>
      </c>
      <c r="F598" s="3" t="s">
        <v>18</v>
      </c>
      <c r="G598" s="3" t="s">
        <v>45</v>
      </c>
      <c r="H598" s="3" t="s">
        <v>43</v>
      </c>
      <c r="I598" s="3">
        <v>1</v>
      </c>
      <c r="J598" s="3">
        <v>2700</v>
      </c>
      <c r="K598" s="3">
        <v>3000</v>
      </c>
      <c r="L598" s="3">
        <v>9</v>
      </c>
      <c r="M598">
        <f>Table1[[#This Row],[Qty]]*Table1[[#This Row],[Sales Price]]</f>
        <v>27000</v>
      </c>
      <c r="N598">
        <f>Table1[[#This Row],[Qty]]*Table1[[#This Row],[Cost]]</f>
        <v>24300</v>
      </c>
      <c r="O598">
        <f>Table1[[#This Row],[Revenue]]-Table1[[#This Row],[Total Cost]]</f>
        <v>2700</v>
      </c>
    </row>
    <row r="599" spans="1:15" x14ac:dyDescent="0.55000000000000004">
      <c r="A599" s="3">
        <v>598</v>
      </c>
      <c r="B599" s="4">
        <v>45263</v>
      </c>
      <c r="C599" s="4" t="str">
        <f>TEXT(Table1[[#This Row],[Date]],"YYYY")</f>
        <v>2023</v>
      </c>
      <c r="D599" s="4" t="str">
        <f>TEXT(Table1[[#This Row],[Date]],"MMM")</f>
        <v>Dec</v>
      </c>
      <c r="E599" s="5" t="s">
        <v>22</v>
      </c>
      <c r="F599" s="3" t="s">
        <v>15</v>
      </c>
      <c r="G599" s="3" t="s">
        <v>47</v>
      </c>
      <c r="H599" s="3" t="s">
        <v>43</v>
      </c>
      <c r="I599" s="3">
        <v>1</v>
      </c>
      <c r="J599" s="3">
        <v>23850</v>
      </c>
      <c r="K599" s="3">
        <v>26500</v>
      </c>
      <c r="L599" s="3">
        <v>22</v>
      </c>
      <c r="M599">
        <f>Table1[[#This Row],[Qty]]*Table1[[#This Row],[Sales Price]]</f>
        <v>583000</v>
      </c>
      <c r="N599">
        <f>Table1[[#This Row],[Qty]]*Table1[[#This Row],[Cost]]</f>
        <v>524700</v>
      </c>
      <c r="O599">
        <f>Table1[[#This Row],[Revenue]]-Table1[[#This Row],[Total Cost]]</f>
        <v>58300</v>
      </c>
    </row>
    <row r="600" spans="1:15" x14ac:dyDescent="0.55000000000000004">
      <c r="A600" s="3">
        <v>599</v>
      </c>
      <c r="B600" s="4">
        <v>45264</v>
      </c>
      <c r="C600" s="4" t="str">
        <f>TEXT(Table1[[#This Row],[Date]],"YYYY")</f>
        <v>2023</v>
      </c>
      <c r="D600" s="4" t="str">
        <f>TEXT(Table1[[#This Row],[Date]],"MMM")</f>
        <v>Dec</v>
      </c>
      <c r="E600" s="5" t="s">
        <v>66</v>
      </c>
      <c r="F600" s="3" t="s">
        <v>18</v>
      </c>
      <c r="G600" s="3" t="s">
        <v>44</v>
      </c>
      <c r="H600" s="3" t="s">
        <v>43</v>
      </c>
      <c r="I600" s="3">
        <v>0</v>
      </c>
      <c r="J600" s="3">
        <v>24750</v>
      </c>
      <c r="K600" s="3">
        <v>27500</v>
      </c>
      <c r="L600" s="3">
        <v>16</v>
      </c>
      <c r="M600">
        <f>Table1[[#This Row],[Qty]]*Table1[[#This Row],[Sales Price]]</f>
        <v>440000</v>
      </c>
      <c r="N600">
        <f>Table1[[#This Row],[Qty]]*Table1[[#This Row],[Cost]]</f>
        <v>396000</v>
      </c>
      <c r="O600">
        <f>Table1[[#This Row],[Revenue]]-Table1[[#This Row],[Total Cost]]</f>
        <v>44000</v>
      </c>
    </row>
    <row r="601" spans="1:15" x14ac:dyDescent="0.55000000000000004">
      <c r="A601" s="3">
        <v>600</v>
      </c>
      <c r="B601" s="4">
        <v>45265</v>
      </c>
      <c r="C601" s="4" t="str">
        <f>TEXT(Table1[[#This Row],[Date]],"YYYY")</f>
        <v>2023</v>
      </c>
      <c r="D601" s="4" t="str">
        <f>TEXT(Table1[[#This Row],[Date]],"MMM")</f>
        <v>Dec</v>
      </c>
      <c r="E601" s="5" t="s">
        <v>31</v>
      </c>
      <c r="F601" s="3" t="s">
        <v>15</v>
      </c>
      <c r="G601" s="3" t="s">
        <v>45</v>
      </c>
      <c r="H601" s="3" t="s">
        <v>43</v>
      </c>
      <c r="I601" s="3">
        <v>1</v>
      </c>
      <c r="J601" s="3">
        <v>44550</v>
      </c>
      <c r="K601" s="3">
        <v>49500</v>
      </c>
      <c r="L601" s="3">
        <v>6</v>
      </c>
      <c r="M601">
        <f>Table1[[#This Row],[Qty]]*Table1[[#This Row],[Sales Price]]</f>
        <v>297000</v>
      </c>
      <c r="N601">
        <f>Table1[[#This Row],[Qty]]*Table1[[#This Row],[Cost]]</f>
        <v>267300</v>
      </c>
      <c r="O601">
        <f>Table1[[#This Row],[Revenue]]-Table1[[#This Row],[Total Cost]]</f>
        <v>29700</v>
      </c>
    </row>
    <row r="602" spans="1:15" x14ac:dyDescent="0.55000000000000004">
      <c r="A602" s="3">
        <v>601</v>
      </c>
      <c r="B602" s="4">
        <v>45266</v>
      </c>
      <c r="C602" s="4" t="str">
        <f>TEXT(Table1[[#This Row],[Date]],"YYYY")</f>
        <v>2023</v>
      </c>
      <c r="D602" s="4" t="str">
        <f>TEXT(Table1[[#This Row],[Date]],"MMM")</f>
        <v>Dec</v>
      </c>
      <c r="E602" s="5" t="s">
        <v>22</v>
      </c>
      <c r="F602" s="3" t="s">
        <v>18</v>
      </c>
      <c r="G602" s="3" t="s">
        <v>47</v>
      </c>
      <c r="H602" s="3" t="s">
        <v>43</v>
      </c>
      <c r="I602" s="3">
        <v>1</v>
      </c>
      <c r="J602" s="3">
        <v>9000</v>
      </c>
      <c r="K602" s="3">
        <v>10000</v>
      </c>
      <c r="L602" s="3">
        <v>3</v>
      </c>
      <c r="M602">
        <f>Table1[[#This Row],[Qty]]*Table1[[#This Row],[Sales Price]]</f>
        <v>30000</v>
      </c>
      <c r="N602">
        <f>Table1[[#This Row],[Qty]]*Table1[[#This Row],[Cost]]</f>
        <v>27000</v>
      </c>
      <c r="O602">
        <f>Table1[[#This Row],[Revenue]]-Table1[[#This Row],[Total Cost]]</f>
        <v>3000</v>
      </c>
    </row>
    <row r="603" spans="1:15" x14ac:dyDescent="0.55000000000000004">
      <c r="A603" s="3">
        <v>602</v>
      </c>
      <c r="B603" s="4">
        <v>45267</v>
      </c>
      <c r="C603" s="4" t="str">
        <f>TEXT(Table1[[#This Row],[Date]],"YYYY")</f>
        <v>2023</v>
      </c>
      <c r="D603" s="4" t="str">
        <f>TEXT(Table1[[#This Row],[Date]],"MMM")</f>
        <v>Dec</v>
      </c>
      <c r="E603" s="5" t="s">
        <v>67</v>
      </c>
      <c r="F603" s="3" t="s">
        <v>15</v>
      </c>
      <c r="G603" s="3" t="s">
        <v>44</v>
      </c>
      <c r="H603" s="3" t="s">
        <v>43</v>
      </c>
      <c r="I603" s="3">
        <v>1</v>
      </c>
      <c r="J603" s="3">
        <v>8640</v>
      </c>
      <c r="K603" s="3">
        <v>9600</v>
      </c>
      <c r="L603" s="3">
        <v>5</v>
      </c>
      <c r="M603">
        <f>Table1[[#This Row],[Qty]]*Table1[[#This Row],[Sales Price]]</f>
        <v>48000</v>
      </c>
      <c r="N603">
        <f>Table1[[#This Row],[Qty]]*Table1[[#This Row],[Cost]]</f>
        <v>43200</v>
      </c>
      <c r="O603">
        <f>Table1[[#This Row],[Revenue]]-Table1[[#This Row],[Total Cost]]</f>
        <v>4800</v>
      </c>
    </row>
    <row r="604" spans="1:15" x14ac:dyDescent="0.55000000000000004">
      <c r="A604" s="3">
        <v>603</v>
      </c>
      <c r="B604" s="4">
        <v>45268</v>
      </c>
      <c r="C604" s="4" t="str">
        <f>TEXT(Table1[[#This Row],[Date]],"YYYY")</f>
        <v>2023</v>
      </c>
      <c r="D604" s="4" t="str">
        <f>TEXT(Table1[[#This Row],[Date]],"MMM")</f>
        <v>Dec</v>
      </c>
      <c r="E604" s="5" t="s">
        <v>59</v>
      </c>
      <c r="F604" s="3" t="s">
        <v>18</v>
      </c>
      <c r="G604" s="3" t="s">
        <v>45</v>
      </c>
      <c r="H604" s="3" t="s">
        <v>43</v>
      </c>
      <c r="I604" s="3">
        <v>1</v>
      </c>
      <c r="J604" s="3">
        <v>9000</v>
      </c>
      <c r="K604" s="3">
        <v>10000</v>
      </c>
      <c r="L604" s="3">
        <v>1</v>
      </c>
      <c r="M604">
        <f>Table1[[#This Row],[Qty]]*Table1[[#This Row],[Sales Price]]</f>
        <v>10000</v>
      </c>
      <c r="N604">
        <f>Table1[[#This Row],[Qty]]*Table1[[#This Row],[Cost]]</f>
        <v>9000</v>
      </c>
      <c r="O604">
        <f>Table1[[#This Row],[Revenue]]-Table1[[#This Row],[Total Cost]]</f>
        <v>1000</v>
      </c>
    </row>
    <row r="605" spans="1:15" x14ac:dyDescent="0.55000000000000004">
      <c r="A605" s="3">
        <v>604</v>
      </c>
      <c r="B605" s="4">
        <v>45269</v>
      </c>
      <c r="C605" s="4" t="str">
        <f>TEXT(Table1[[#This Row],[Date]],"YYYY")</f>
        <v>2023</v>
      </c>
      <c r="D605" s="4" t="str">
        <f>TEXT(Table1[[#This Row],[Date]],"MMM")</f>
        <v>Dec</v>
      </c>
      <c r="E605" s="5" t="s">
        <v>39</v>
      </c>
      <c r="F605" s="3" t="s">
        <v>15</v>
      </c>
      <c r="G605" s="3" t="s">
        <v>47</v>
      </c>
      <c r="H605" s="3" t="s">
        <v>43</v>
      </c>
      <c r="I605" s="3"/>
      <c r="J605" s="3">
        <v>3870</v>
      </c>
      <c r="K605" s="3">
        <v>4300</v>
      </c>
      <c r="L605" s="3">
        <v>5</v>
      </c>
      <c r="M605">
        <f>Table1[[#This Row],[Qty]]*Table1[[#This Row],[Sales Price]]</f>
        <v>21500</v>
      </c>
      <c r="N605">
        <f>Table1[[#This Row],[Qty]]*Table1[[#This Row],[Cost]]</f>
        <v>19350</v>
      </c>
      <c r="O605">
        <f>Table1[[#This Row],[Revenue]]-Table1[[#This Row],[Total Cost]]</f>
        <v>2150</v>
      </c>
    </row>
    <row r="606" spans="1:15" x14ac:dyDescent="0.55000000000000004">
      <c r="A606" s="3">
        <v>605</v>
      </c>
      <c r="B606" s="4">
        <v>45270</v>
      </c>
      <c r="C606" s="4" t="str">
        <f>TEXT(Table1[[#This Row],[Date]],"YYYY")</f>
        <v>2023</v>
      </c>
      <c r="D606" s="4" t="str">
        <f>TEXT(Table1[[#This Row],[Date]],"MMM")</f>
        <v>Dec</v>
      </c>
      <c r="E606" s="5" t="s">
        <v>39</v>
      </c>
      <c r="F606" s="3" t="s">
        <v>18</v>
      </c>
      <c r="G606" s="3" t="s">
        <v>44</v>
      </c>
      <c r="H606" s="3" t="s">
        <v>43</v>
      </c>
      <c r="I606" s="3"/>
      <c r="J606" s="3">
        <v>8280</v>
      </c>
      <c r="K606" s="3">
        <v>9200</v>
      </c>
      <c r="L606" s="3">
        <v>7</v>
      </c>
      <c r="M606">
        <f>Table1[[#This Row],[Qty]]*Table1[[#This Row],[Sales Price]]</f>
        <v>64400</v>
      </c>
      <c r="N606">
        <f>Table1[[#This Row],[Qty]]*Table1[[#This Row],[Cost]]</f>
        <v>57960</v>
      </c>
      <c r="O606">
        <f>Table1[[#This Row],[Revenue]]-Table1[[#This Row],[Total Cost]]</f>
        <v>6440</v>
      </c>
    </row>
    <row r="607" spans="1:15" x14ac:dyDescent="0.55000000000000004">
      <c r="A607" s="3">
        <v>606</v>
      </c>
      <c r="B607" s="4">
        <v>45271</v>
      </c>
      <c r="C607" s="4" t="str">
        <f>TEXT(Table1[[#This Row],[Date]],"YYYY")</f>
        <v>2023</v>
      </c>
      <c r="D607" s="4" t="str">
        <f>TEXT(Table1[[#This Row],[Date]],"MMM")</f>
        <v>Dec</v>
      </c>
      <c r="E607" s="5" t="s">
        <v>39</v>
      </c>
      <c r="F607" s="3" t="s">
        <v>15</v>
      </c>
      <c r="G607" s="3" t="s">
        <v>45</v>
      </c>
      <c r="H607" s="3" t="s">
        <v>43</v>
      </c>
      <c r="I607" s="3">
        <v>1</v>
      </c>
      <c r="J607" s="3">
        <v>4950</v>
      </c>
      <c r="K607" s="3">
        <v>5500</v>
      </c>
      <c r="L607" s="3">
        <v>4</v>
      </c>
      <c r="M607">
        <f>Table1[[#This Row],[Qty]]*Table1[[#This Row],[Sales Price]]</f>
        <v>22000</v>
      </c>
      <c r="N607">
        <f>Table1[[#This Row],[Qty]]*Table1[[#This Row],[Cost]]</f>
        <v>19800</v>
      </c>
      <c r="O607">
        <f>Table1[[#This Row],[Revenue]]-Table1[[#This Row],[Total Cost]]</f>
        <v>2200</v>
      </c>
    </row>
    <row r="608" spans="1:15" x14ac:dyDescent="0.55000000000000004">
      <c r="A608" s="3">
        <v>607</v>
      </c>
      <c r="B608" s="4">
        <v>45272</v>
      </c>
      <c r="C608" s="4" t="str">
        <f>TEXT(Table1[[#This Row],[Date]],"YYYY")</f>
        <v>2023</v>
      </c>
      <c r="D608" s="4" t="str">
        <f>TEXT(Table1[[#This Row],[Date]],"MMM")</f>
        <v>Dec</v>
      </c>
      <c r="E608" s="5" t="s">
        <v>14</v>
      </c>
      <c r="F608" s="3" t="s">
        <v>18</v>
      </c>
      <c r="G608" s="3" t="s">
        <v>47</v>
      </c>
      <c r="H608" s="3" t="s">
        <v>43</v>
      </c>
      <c r="I608" s="3">
        <v>1</v>
      </c>
      <c r="J608" s="3">
        <v>3150</v>
      </c>
      <c r="K608" s="3">
        <v>3500</v>
      </c>
      <c r="L608" s="3">
        <v>8</v>
      </c>
      <c r="M608">
        <f>Table1[[#This Row],[Qty]]*Table1[[#This Row],[Sales Price]]</f>
        <v>28000</v>
      </c>
      <c r="N608">
        <f>Table1[[#This Row],[Qty]]*Table1[[#This Row],[Cost]]</f>
        <v>25200</v>
      </c>
      <c r="O608">
        <f>Table1[[#This Row],[Revenue]]-Table1[[#This Row],[Total Cost]]</f>
        <v>2800</v>
      </c>
    </row>
    <row r="609" spans="1:15" x14ac:dyDescent="0.55000000000000004">
      <c r="A609" s="3">
        <v>608</v>
      </c>
      <c r="B609" s="4">
        <v>45273</v>
      </c>
      <c r="C609" s="4" t="str">
        <f>TEXT(Table1[[#This Row],[Date]],"YYYY")</f>
        <v>2023</v>
      </c>
      <c r="D609" s="4" t="str">
        <f>TEXT(Table1[[#This Row],[Date]],"MMM")</f>
        <v>Dec</v>
      </c>
      <c r="E609" s="5" t="s">
        <v>33</v>
      </c>
      <c r="F609" s="3" t="s">
        <v>15</v>
      </c>
      <c r="G609" s="3" t="s">
        <v>44</v>
      </c>
      <c r="H609" s="3" t="s">
        <v>43</v>
      </c>
      <c r="I609" s="3">
        <v>1</v>
      </c>
      <c r="J609" s="3">
        <v>2700</v>
      </c>
      <c r="K609" s="3">
        <v>3000</v>
      </c>
      <c r="L609" s="3">
        <v>8</v>
      </c>
      <c r="M609">
        <f>Table1[[#This Row],[Qty]]*Table1[[#This Row],[Sales Price]]</f>
        <v>24000</v>
      </c>
      <c r="N609">
        <f>Table1[[#This Row],[Qty]]*Table1[[#This Row],[Cost]]</f>
        <v>21600</v>
      </c>
      <c r="O609">
        <f>Table1[[#This Row],[Revenue]]-Table1[[#This Row],[Total Cost]]</f>
        <v>2400</v>
      </c>
    </row>
    <row r="610" spans="1:15" x14ac:dyDescent="0.55000000000000004">
      <c r="A610" s="3">
        <v>609</v>
      </c>
      <c r="B610" s="4">
        <v>45274</v>
      </c>
      <c r="C610" s="4" t="str">
        <f>TEXT(Table1[[#This Row],[Date]],"YYYY")</f>
        <v>2023</v>
      </c>
      <c r="D610" s="4" t="str">
        <f>TEXT(Table1[[#This Row],[Date]],"MMM")</f>
        <v>Dec</v>
      </c>
      <c r="E610" s="5" t="s">
        <v>31</v>
      </c>
      <c r="F610" s="3" t="s">
        <v>18</v>
      </c>
      <c r="G610" s="3" t="s">
        <v>45</v>
      </c>
      <c r="H610" s="3" t="s">
        <v>43</v>
      </c>
      <c r="I610" s="3">
        <v>1</v>
      </c>
      <c r="J610" s="3">
        <v>4050</v>
      </c>
      <c r="K610" s="3">
        <v>4500</v>
      </c>
      <c r="L610" s="3">
        <v>9</v>
      </c>
      <c r="M610">
        <f>Table1[[#This Row],[Qty]]*Table1[[#This Row],[Sales Price]]</f>
        <v>40500</v>
      </c>
      <c r="N610">
        <f>Table1[[#This Row],[Qty]]*Table1[[#This Row],[Cost]]</f>
        <v>36450</v>
      </c>
      <c r="O610">
        <f>Table1[[#This Row],[Revenue]]-Table1[[#This Row],[Total Cost]]</f>
        <v>4050</v>
      </c>
    </row>
    <row r="611" spans="1:15" x14ac:dyDescent="0.55000000000000004">
      <c r="A611" s="3">
        <v>610</v>
      </c>
      <c r="B611" s="4">
        <v>45275</v>
      </c>
      <c r="C611" s="4" t="str">
        <f>TEXT(Table1[[#This Row],[Date]],"YYYY")</f>
        <v>2023</v>
      </c>
      <c r="D611" s="4" t="str">
        <f>TEXT(Table1[[#This Row],[Date]],"MMM")</f>
        <v>Dec</v>
      </c>
      <c r="E611" s="5" t="s">
        <v>39</v>
      </c>
      <c r="F611" s="3" t="s">
        <v>15</v>
      </c>
      <c r="G611" s="3" t="s">
        <v>47</v>
      </c>
      <c r="H611" s="3" t="s">
        <v>43</v>
      </c>
      <c r="I611" s="3">
        <v>1</v>
      </c>
      <c r="J611" s="3">
        <v>8280</v>
      </c>
      <c r="K611" s="3">
        <v>9200</v>
      </c>
      <c r="L611" s="3">
        <v>2</v>
      </c>
      <c r="M611">
        <f>Table1[[#This Row],[Qty]]*Table1[[#This Row],[Sales Price]]</f>
        <v>18400</v>
      </c>
      <c r="N611">
        <f>Table1[[#This Row],[Qty]]*Table1[[#This Row],[Cost]]</f>
        <v>16560</v>
      </c>
      <c r="O611">
        <f>Table1[[#This Row],[Revenue]]-Table1[[#This Row],[Total Cost]]</f>
        <v>1840</v>
      </c>
    </row>
    <row r="612" spans="1:15" x14ac:dyDescent="0.55000000000000004">
      <c r="A612" s="3">
        <v>611</v>
      </c>
      <c r="B612" s="4">
        <v>45276</v>
      </c>
      <c r="C612" s="4" t="str">
        <f>TEXT(Table1[[#This Row],[Date]],"YYYY")</f>
        <v>2023</v>
      </c>
      <c r="D612" s="4" t="str">
        <f>TEXT(Table1[[#This Row],[Date]],"MMM")</f>
        <v>Dec</v>
      </c>
      <c r="E612" s="5" t="s">
        <v>24</v>
      </c>
      <c r="F612" s="3" t="s">
        <v>18</v>
      </c>
      <c r="G612" s="3" t="s">
        <v>44</v>
      </c>
      <c r="H612" s="3" t="s">
        <v>43</v>
      </c>
      <c r="I612" s="3">
        <v>1</v>
      </c>
      <c r="J612" s="3">
        <v>4950</v>
      </c>
      <c r="K612" s="3">
        <v>5500</v>
      </c>
      <c r="L612" s="3">
        <v>1</v>
      </c>
      <c r="M612">
        <f>Table1[[#This Row],[Qty]]*Table1[[#This Row],[Sales Price]]</f>
        <v>5500</v>
      </c>
      <c r="N612">
        <f>Table1[[#This Row],[Qty]]*Table1[[#This Row],[Cost]]</f>
        <v>4950</v>
      </c>
      <c r="O612">
        <f>Table1[[#This Row],[Revenue]]-Table1[[#This Row],[Total Cost]]</f>
        <v>550</v>
      </c>
    </row>
    <row r="613" spans="1:15" x14ac:dyDescent="0.55000000000000004">
      <c r="A613" s="3">
        <v>612</v>
      </c>
      <c r="B613" s="4">
        <v>45277</v>
      </c>
      <c r="C613" s="4" t="str">
        <f>TEXT(Table1[[#This Row],[Date]],"YYYY")</f>
        <v>2023</v>
      </c>
      <c r="D613" s="4" t="str">
        <f>TEXT(Table1[[#This Row],[Date]],"MMM")</f>
        <v>Dec</v>
      </c>
      <c r="E613" s="5" t="s">
        <v>40</v>
      </c>
      <c r="F613" s="3" t="s">
        <v>15</v>
      </c>
      <c r="G613" s="3" t="s">
        <v>45</v>
      </c>
      <c r="H613" s="3" t="s">
        <v>43</v>
      </c>
      <c r="I613" s="3"/>
      <c r="J613" s="3">
        <v>3150</v>
      </c>
      <c r="K613" s="3">
        <v>3500</v>
      </c>
      <c r="L613" s="3">
        <v>22</v>
      </c>
      <c r="M613">
        <f>Table1[[#This Row],[Qty]]*Table1[[#This Row],[Sales Price]]</f>
        <v>77000</v>
      </c>
      <c r="N613">
        <f>Table1[[#This Row],[Qty]]*Table1[[#This Row],[Cost]]</f>
        <v>69300</v>
      </c>
      <c r="O613">
        <f>Table1[[#This Row],[Revenue]]-Table1[[#This Row],[Total Cost]]</f>
        <v>7700</v>
      </c>
    </row>
    <row r="614" spans="1:15" x14ac:dyDescent="0.55000000000000004">
      <c r="A614" s="3">
        <v>613</v>
      </c>
      <c r="B614" s="4">
        <v>45278</v>
      </c>
      <c r="C614" s="4" t="str">
        <f>TEXT(Table1[[#This Row],[Date]],"YYYY")</f>
        <v>2023</v>
      </c>
      <c r="D614" s="4" t="str">
        <f>TEXT(Table1[[#This Row],[Date]],"MMM")</f>
        <v>Dec</v>
      </c>
      <c r="E614" s="5" t="s">
        <v>56</v>
      </c>
      <c r="F614" s="3" t="s">
        <v>18</v>
      </c>
      <c r="G614" s="3" t="s">
        <v>47</v>
      </c>
      <c r="H614" s="3" t="s">
        <v>43</v>
      </c>
      <c r="I614" s="3"/>
      <c r="J614" s="3">
        <v>2700</v>
      </c>
      <c r="K614" s="3">
        <v>3000</v>
      </c>
      <c r="L614" s="3">
        <v>8</v>
      </c>
      <c r="M614">
        <f>Table1[[#This Row],[Qty]]*Table1[[#This Row],[Sales Price]]</f>
        <v>24000</v>
      </c>
      <c r="N614">
        <f>Table1[[#This Row],[Qty]]*Table1[[#This Row],[Cost]]</f>
        <v>21600</v>
      </c>
      <c r="O614">
        <f>Table1[[#This Row],[Revenue]]-Table1[[#This Row],[Total Cost]]</f>
        <v>2400</v>
      </c>
    </row>
    <row r="615" spans="1:15" x14ac:dyDescent="0.55000000000000004">
      <c r="A615" s="3">
        <v>614</v>
      </c>
      <c r="B615" s="4">
        <v>45279</v>
      </c>
      <c r="C615" s="4" t="str">
        <f>TEXT(Table1[[#This Row],[Date]],"YYYY")</f>
        <v>2023</v>
      </c>
      <c r="D615" s="4" t="str">
        <f>TEXT(Table1[[#This Row],[Date]],"MMM")</f>
        <v>Dec</v>
      </c>
      <c r="E615" s="5" t="s">
        <v>39</v>
      </c>
      <c r="F615" s="3" t="s">
        <v>15</v>
      </c>
      <c r="G615" s="3" t="s">
        <v>44</v>
      </c>
      <c r="H615" s="3" t="s">
        <v>43</v>
      </c>
      <c r="I615" s="3"/>
      <c r="J615" s="3">
        <v>4050</v>
      </c>
      <c r="K615" s="3">
        <v>4500</v>
      </c>
      <c r="L615" s="3">
        <v>7</v>
      </c>
      <c r="M615">
        <f>Table1[[#This Row],[Qty]]*Table1[[#This Row],[Sales Price]]</f>
        <v>31500</v>
      </c>
      <c r="N615">
        <f>Table1[[#This Row],[Qty]]*Table1[[#This Row],[Cost]]</f>
        <v>28350</v>
      </c>
      <c r="O615">
        <f>Table1[[#This Row],[Revenue]]-Table1[[#This Row],[Total Cost]]</f>
        <v>3150</v>
      </c>
    </row>
    <row r="616" spans="1:15" x14ac:dyDescent="0.55000000000000004">
      <c r="A616" s="3">
        <v>615</v>
      </c>
      <c r="B616" s="4">
        <v>45280</v>
      </c>
      <c r="C616" s="4" t="str">
        <f>TEXT(Table1[[#This Row],[Date]],"YYYY")</f>
        <v>2023</v>
      </c>
      <c r="D616" s="4" t="str">
        <f>TEXT(Table1[[#This Row],[Date]],"MMM")</f>
        <v>Dec</v>
      </c>
      <c r="E616" s="5" t="s">
        <v>14</v>
      </c>
      <c r="F616" s="3" t="s">
        <v>18</v>
      </c>
      <c r="G616" s="3" t="s">
        <v>45</v>
      </c>
      <c r="H616" s="3" t="s">
        <v>43</v>
      </c>
      <c r="I616" s="3">
        <v>1</v>
      </c>
      <c r="J616" s="3">
        <v>8280</v>
      </c>
      <c r="K616" s="3">
        <v>9200</v>
      </c>
      <c r="L616" s="3">
        <v>56</v>
      </c>
      <c r="M616">
        <f>Table1[[#This Row],[Qty]]*Table1[[#This Row],[Sales Price]]</f>
        <v>515200</v>
      </c>
      <c r="N616">
        <f>Table1[[#This Row],[Qty]]*Table1[[#This Row],[Cost]]</f>
        <v>463680</v>
      </c>
      <c r="O616">
        <f>Table1[[#This Row],[Revenue]]-Table1[[#This Row],[Total Cost]]</f>
        <v>51520</v>
      </c>
    </row>
    <row r="617" spans="1:15" x14ac:dyDescent="0.55000000000000004">
      <c r="A617" s="3">
        <v>616</v>
      </c>
      <c r="B617" s="4">
        <v>45281</v>
      </c>
      <c r="C617" s="4" t="str">
        <f>TEXT(Table1[[#This Row],[Date]],"YYYY")</f>
        <v>2023</v>
      </c>
      <c r="D617" s="4" t="str">
        <f>TEXT(Table1[[#This Row],[Date]],"MMM")</f>
        <v>Dec</v>
      </c>
      <c r="E617" s="5" t="s">
        <v>56</v>
      </c>
      <c r="F617" s="3" t="s">
        <v>15</v>
      </c>
      <c r="G617" s="3" t="s">
        <v>47</v>
      </c>
      <c r="H617" s="3" t="s">
        <v>43</v>
      </c>
      <c r="I617" s="3">
        <v>1</v>
      </c>
      <c r="J617" s="3">
        <v>4950</v>
      </c>
      <c r="K617" s="3">
        <v>5500</v>
      </c>
      <c r="L617" s="3">
        <v>10</v>
      </c>
      <c r="M617">
        <f>Table1[[#This Row],[Qty]]*Table1[[#This Row],[Sales Price]]</f>
        <v>55000</v>
      </c>
      <c r="N617">
        <f>Table1[[#This Row],[Qty]]*Table1[[#This Row],[Cost]]</f>
        <v>49500</v>
      </c>
      <c r="O617">
        <f>Table1[[#This Row],[Revenue]]-Table1[[#This Row],[Total Cost]]</f>
        <v>5500</v>
      </c>
    </row>
    <row r="618" spans="1:15" x14ac:dyDescent="0.55000000000000004">
      <c r="A618" s="3">
        <v>617</v>
      </c>
      <c r="B618" s="4">
        <v>45282</v>
      </c>
      <c r="C618" s="4" t="str">
        <f>TEXT(Table1[[#This Row],[Date]],"YYYY")</f>
        <v>2023</v>
      </c>
      <c r="D618" s="4" t="str">
        <f>TEXT(Table1[[#This Row],[Date]],"MMM")</f>
        <v>Dec</v>
      </c>
      <c r="E618" s="5" t="s">
        <v>39</v>
      </c>
      <c r="F618" s="3" t="s">
        <v>18</v>
      </c>
      <c r="G618" s="3" t="s">
        <v>44</v>
      </c>
      <c r="H618" s="3" t="s">
        <v>43</v>
      </c>
      <c r="I618" s="3">
        <v>1</v>
      </c>
      <c r="J618" s="3">
        <v>3150</v>
      </c>
      <c r="K618" s="3">
        <v>3500</v>
      </c>
      <c r="L618" s="3">
        <v>9</v>
      </c>
      <c r="M618">
        <f>Table1[[#This Row],[Qty]]*Table1[[#This Row],[Sales Price]]</f>
        <v>31500</v>
      </c>
      <c r="N618">
        <f>Table1[[#This Row],[Qty]]*Table1[[#This Row],[Cost]]</f>
        <v>28350</v>
      </c>
      <c r="O618">
        <f>Table1[[#This Row],[Revenue]]-Table1[[#This Row],[Total Cost]]</f>
        <v>3150</v>
      </c>
    </row>
    <row r="619" spans="1:15" x14ac:dyDescent="0.55000000000000004">
      <c r="A619" s="3">
        <v>618</v>
      </c>
      <c r="B619" s="4">
        <v>45283</v>
      </c>
      <c r="C619" s="4" t="str">
        <f>TEXT(Table1[[#This Row],[Date]],"YYYY")</f>
        <v>2023</v>
      </c>
      <c r="D619" s="4" t="str">
        <f>TEXT(Table1[[#This Row],[Date]],"MMM")</f>
        <v>Dec</v>
      </c>
      <c r="E619" s="5" t="s">
        <v>56</v>
      </c>
      <c r="F619" s="3" t="s">
        <v>15</v>
      </c>
      <c r="G619" s="3" t="s">
        <v>45</v>
      </c>
      <c r="H619" s="3" t="s">
        <v>43</v>
      </c>
      <c r="I619" s="3">
        <v>0</v>
      </c>
      <c r="J619" s="3">
        <v>2700</v>
      </c>
      <c r="K619" s="3">
        <v>3000</v>
      </c>
      <c r="L619" s="3">
        <v>27</v>
      </c>
      <c r="M619">
        <f>Table1[[#This Row],[Qty]]*Table1[[#This Row],[Sales Price]]</f>
        <v>81000</v>
      </c>
      <c r="N619">
        <f>Table1[[#This Row],[Qty]]*Table1[[#This Row],[Cost]]</f>
        <v>72900</v>
      </c>
      <c r="O619">
        <f>Table1[[#This Row],[Revenue]]-Table1[[#This Row],[Total Cost]]</f>
        <v>8100</v>
      </c>
    </row>
    <row r="620" spans="1:15" x14ac:dyDescent="0.55000000000000004">
      <c r="A620" s="3">
        <v>619</v>
      </c>
      <c r="B620" s="4">
        <v>45284</v>
      </c>
      <c r="C620" s="4" t="str">
        <f>TEXT(Table1[[#This Row],[Date]],"YYYY")</f>
        <v>2023</v>
      </c>
      <c r="D620" s="4" t="str">
        <f>TEXT(Table1[[#This Row],[Date]],"MMM")</f>
        <v>Dec</v>
      </c>
      <c r="E620" s="5" t="s">
        <v>39</v>
      </c>
      <c r="F620" s="3" t="s">
        <v>18</v>
      </c>
      <c r="G620" s="3" t="s">
        <v>47</v>
      </c>
      <c r="H620" s="3" t="s">
        <v>43</v>
      </c>
      <c r="I620" s="3">
        <v>0</v>
      </c>
      <c r="J620" s="3">
        <v>4050</v>
      </c>
      <c r="K620" s="3">
        <v>4500</v>
      </c>
      <c r="L620" s="3">
        <v>15</v>
      </c>
      <c r="M620">
        <f>Table1[[#This Row],[Qty]]*Table1[[#This Row],[Sales Price]]</f>
        <v>67500</v>
      </c>
      <c r="N620">
        <f>Table1[[#This Row],[Qty]]*Table1[[#This Row],[Cost]]</f>
        <v>60750</v>
      </c>
      <c r="O620">
        <f>Table1[[#This Row],[Revenue]]-Table1[[#This Row],[Total Cost]]</f>
        <v>6750</v>
      </c>
    </row>
    <row r="621" spans="1:15" x14ac:dyDescent="0.55000000000000004">
      <c r="A621" s="3">
        <v>620</v>
      </c>
      <c r="B621" s="4">
        <v>45285</v>
      </c>
      <c r="C621" s="4" t="str">
        <f>TEXT(Table1[[#This Row],[Date]],"YYYY")</f>
        <v>2023</v>
      </c>
      <c r="D621" s="4" t="str">
        <f>TEXT(Table1[[#This Row],[Date]],"MMM")</f>
        <v>Dec</v>
      </c>
      <c r="E621" s="5" t="s">
        <v>63</v>
      </c>
      <c r="F621" s="3" t="s">
        <v>15</v>
      </c>
      <c r="G621" s="3" t="s">
        <v>44</v>
      </c>
      <c r="H621" s="3" t="s">
        <v>43</v>
      </c>
      <c r="I621" s="3">
        <v>0</v>
      </c>
      <c r="J621" s="3">
        <v>8280</v>
      </c>
      <c r="K621" s="3">
        <v>9200</v>
      </c>
      <c r="L621" s="3">
        <v>3</v>
      </c>
      <c r="M621">
        <f>Table1[[#This Row],[Qty]]*Table1[[#This Row],[Sales Price]]</f>
        <v>27600</v>
      </c>
      <c r="N621">
        <f>Table1[[#This Row],[Qty]]*Table1[[#This Row],[Cost]]</f>
        <v>24840</v>
      </c>
      <c r="O621">
        <f>Table1[[#This Row],[Revenue]]-Table1[[#This Row],[Total Cost]]</f>
        <v>2760</v>
      </c>
    </row>
    <row r="622" spans="1:15" x14ac:dyDescent="0.55000000000000004">
      <c r="A622" s="3">
        <v>621</v>
      </c>
      <c r="B622" s="4">
        <v>45286</v>
      </c>
      <c r="C622" s="4" t="str">
        <f>TEXT(Table1[[#This Row],[Date]],"YYYY")</f>
        <v>2023</v>
      </c>
      <c r="D622" s="4" t="str">
        <f>TEXT(Table1[[#This Row],[Date]],"MMM")</f>
        <v>Dec</v>
      </c>
      <c r="E622" s="5" t="s">
        <v>35</v>
      </c>
      <c r="F622" s="3" t="s">
        <v>18</v>
      </c>
      <c r="G622" s="3" t="s">
        <v>45</v>
      </c>
      <c r="H622" s="3" t="s">
        <v>43</v>
      </c>
      <c r="I622" s="3">
        <v>1</v>
      </c>
      <c r="J622" s="3">
        <v>4950</v>
      </c>
      <c r="K622" s="3">
        <v>5500</v>
      </c>
      <c r="L622" s="3">
        <v>9</v>
      </c>
      <c r="M622">
        <f>Table1[[#This Row],[Qty]]*Table1[[#This Row],[Sales Price]]</f>
        <v>49500</v>
      </c>
      <c r="N622">
        <f>Table1[[#This Row],[Qty]]*Table1[[#This Row],[Cost]]</f>
        <v>44550</v>
      </c>
      <c r="O622">
        <f>Table1[[#This Row],[Revenue]]-Table1[[#This Row],[Total Cost]]</f>
        <v>4950</v>
      </c>
    </row>
    <row r="623" spans="1:15" x14ac:dyDescent="0.55000000000000004">
      <c r="A623" s="3">
        <v>622</v>
      </c>
      <c r="B623" s="4">
        <v>45287</v>
      </c>
      <c r="C623" s="4" t="str">
        <f>TEXT(Table1[[#This Row],[Date]],"YYYY")</f>
        <v>2023</v>
      </c>
      <c r="D623" s="4" t="str">
        <f>TEXT(Table1[[#This Row],[Date]],"MMM")</f>
        <v>Dec</v>
      </c>
      <c r="E623" s="5" t="s">
        <v>24</v>
      </c>
      <c r="F623" s="3" t="s">
        <v>15</v>
      </c>
      <c r="G623" s="3" t="s">
        <v>47</v>
      </c>
      <c r="H623" s="3" t="s">
        <v>43</v>
      </c>
      <c r="I623" s="3"/>
      <c r="J623" s="3">
        <v>3150</v>
      </c>
      <c r="K623" s="3">
        <v>3500</v>
      </c>
      <c r="L623" s="3">
        <v>22</v>
      </c>
      <c r="M623">
        <f>Table1[[#This Row],[Qty]]*Table1[[#This Row],[Sales Price]]</f>
        <v>77000</v>
      </c>
      <c r="N623">
        <f>Table1[[#This Row],[Qty]]*Table1[[#This Row],[Cost]]</f>
        <v>69300</v>
      </c>
      <c r="O623">
        <f>Table1[[#This Row],[Revenue]]-Table1[[#This Row],[Total Cost]]</f>
        <v>7700</v>
      </c>
    </row>
    <row r="624" spans="1:15" x14ac:dyDescent="0.55000000000000004">
      <c r="A624" s="3">
        <v>623</v>
      </c>
      <c r="B624" s="4">
        <v>45288</v>
      </c>
      <c r="C624" s="4" t="str">
        <f>TEXT(Table1[[#This Row],[Date]],"YYYY")</f>
        <v>2023</v>
      </c>
      <c r="D624" s="4" t="str">
        <f>TEXT(Table1[[#This Row],[Date]],"MMM")</f>
        <v>Dec</v>
      </c>
      <c r="E624" s="5" t="s">
        <v>59</v>
      </c>
      <c r="F624" s="3" t="s">
        <v>18</v>
      </c>
      <c r="G624" s="3" t="s">
        <v>44</v>
      </c>
      <c r="H624" s="3" t="s">
        <v>43</v>
      </c>
      <c r="I624" s="3"/>
      <c r="J624" s="3">
        <v>2700</v>
      </c>
      <c r="K624" s="3">
        <v>3000</v>
      </c>
      <c r="L624" s="3">
        <v>16</v>
      </c>
      <c r="M624">
        <f>Table1[[#This Row],[Qty]]*Table1[[#This Row],[Sales Price]]</f>
        <v>48000</v>
      </c>
      <c r="N624">
        <f>Table1[[#This Row],[Qty]]*Table1[[#This Row],[Cost]]</f>
        <v>43200</v>
      </c>
      <c r="O624">
        <f>Table1[[#This Row],[Revenue]]-Table1[[#This Row],[Total Cost]]</f>
        <v>4800</v>
      </c>
    </row>
    <row r="625" spans="1:15" x14ac:dyDescent="0.55000000000000004">
      <c r="A625" s="3">
        <v>624</v>
      </c>
      <c r="B625" s="4">
        <v>45289</v>
      </c>
      <c r="C625" s="4" t="str">
        <f>TEXT(Table1[[#This Row],[Date]],"YYYY")</f>
        <v>2023</v>
      </c>
      <c r="D625" s="4" t="str">
        <f>TEXT(Table1[[#This Row],[Date]],"MMM")</f>
        <v>Dec</v>
      </c>
      <c r="E625" s="5" t="s">
        <v>39</v>
      </c>
      <c r="F625" s="3" t="s">
        <v>15</v>
      </c>
      <c r="G625" s="3" t="s">
        <v>45</v>
      </c>
      <c r="H625" s="3" t="s">
        <v>43</v>
      </c>
      <c r="I625" s="3">
        <v>1</v>
      </c>
      <c r="J625" s="3">
        <v>4050</v>
      </c>
      <c r="K625" s="3">
        <v>4500</v>
      </c>
      <c r="L625" s="3">
        <v>6</v>
      </c>
      <c r="M625">
        <f>Table1[[#This Row],[Qty]]*Table1[[#This Row],[Sales Price]]</f>
        <v>27000</v>
      </c>
      <c r="N625">
        <f>Table1[[#This Row],[Qty]]*Table1[[#This Row],[Cost]]</f>
        <v>24300</v>
      </c>
      <c r="O625">
        <f>Table1[[#This Row],[Revenue]]-Table1[[#This Row],[Total Cost]]</f>
        <v>2700</v>
      </c>
    </row>
    <row r="626" spans="1:15" x14ac:dyDescent="0.55000000000000004">
      <c r="A626" s="3">
        <v>625</v>
      </c>
      <c r="B626" s="4">
        <v>45290</v>
      </c>
      <c r="C626" s="4" t="str">
        <f>TEXT(Table1[[#This Row],[Date]],"YYYY")</f>
        <v>2023</v>
      </c>
      <c r="D626" s="4" t="str">
        <f>TEXT(Table1[[#This Row],[Date]],"MMM")</f>
        <v>Dec</v>
      </c>
      <c r="E626" s="5" t="s">
        <v>64</v>
      </c>
      <c r="F626" s="3" t="s">
        <v>18</v>
      </c>
      <c r="G626" s="3" t="s">
        <v>47</v>
      </c>
      <c r="H626" s="3" t="s">
        <v>43</v>
      </c>
      <c r="I626" s="3">
        <v>1</v>
      </c>
      <c r="J626" s="3">
        <v>4950</v>
      </c>
      <c r="K626" s="3">
        <v>5500</v>
      </c>
      <c r="L626" s="3">
        <v>3</v>
      </c>
      <c r="M626">
        <f>Table1[[#This Row],[Qty]]*Table1[[#This Row],[Sales Price]]</f>
        <v>16500</v>
      </c>
      <c r="N626">
        <f>Table1[[#This Row],[Qty]]*Table1[[#This Row],[Cost]]</f>
        <v>14850</v>
      </c>
      <c r="O626">
        <f>Table1[[#This Row],[Revenue]]-Table1[[#This Row],[Total Cost]]</f>
        <v>1650</v>
      </c>
    </row>
    <row r="627" spans="1:15" x14ac:dyDescent="0.55000000000000004">
      <c r="A627" s="3">
        <v>626</v>
      </c>
      <c r="B627" s="4">
        <v>45291</v>
      </c>
      <c r="C627" s="4" t="str">
        <f>TEXT(Table1[[#This Row],[Date]],"YYYY")</f>
        <v>2023</v>
      </c>
      <c r="D627" s="4" t="str">
        <f>TEXT(Table1[[#This Row],[Date]],"MMM")</f>
        <v>Dec</v>
      </c>
      <c r="E627" s="5" t="s">
        <v>56</v>
      </c>
      <c r="F627" s="3" t="s">
        <v>15</v>
      </c>
      <c r="G627" s="3" t="s">
        <v>44</v>
      </c>
      <c r="H627" s="3" t="s">
        <v>43</v>
      </c>
      <c r="I627" s="3">
        <v>0</v>
      </c>
      <c r="J627" s="3">
        <v>3150</v>
      </c>
      <c r="K627" s="3">
        <v>3500</v>
      </c>
      <c r="L627" s="3">
        <v>5</v>
      </c>
      <c r="M627">
        <f>Table1[[#This Row],[Qty]]*Table1[[#This Row],[Sales Price]]</f>
        <v>17500</v>
      </c>
      <c r="N627">
        <f>Table1[[#This Row],[Qty]]*Table1[[#This Row],[Cost]]</f>
        <v>15750</v>
      </c>
      <c r="O627">
        <f>Table1[[#This Row],[Revenue]]-Table1[[#This Row],[Total Cost]]</f>
        <v>1750</v>
      </c>
    </row>
    <row r="628" spans="1:15" x14ac:dyDescent="0.55000000000000004">
      <c r="A628" s="3">
        <v>627</v>
      </c>
      <c r="B628" s="4">
        <v>45129</v>
      </c>
      <c r="C628" s="4" t="str">
        <f>TEXT(Table1[[#This Row],[Date]],"YYYY")</f>
        <v>2023</v>
      </c>
      <c r="D628" s="4" t="str">
        <f>TEXT(Table1[[#This Row],[Date]],"MMM")</f>
        <v>Jul</v>
      </c>
      <c r="E628" s="5" t="s">
        <v>33</v>
      </c>
      <c r="F628" s="3" t="s">
        <v>18</v>
      </c>
      <c r="G628" s="3" t="s">
        <v>45</v>
      </c>
      <c r="H628" s="3" t="s">
        <v>43</v>
      </c>
      <c r="I628" s="3">
        <v>1</v>
      </c>
      <c r="J628" s="3">
        <v>2700</v>
      </c>
      <c r="K628" s="3">
        <v>3000</v>
      </c>
      <c r="L628" s="3">
        <v>1</v>
      </c>
      <c r="M628">
        <f>Table1[[#This Row],[Qty]]*Table1[[#This Row],[Sales Price]]</f>
        <v>3000</v>
      </c>
      <c r="N628">
        <f>Table1[[#This Row],[Qty]]*Table1[[#This Row],[Cost]]</f>
        <v>2700</v>
      </c>
      <c r="O628">
        <f>Table1[[#This Row],[Revenue]]-Table1[[#This Row],[Total Cost]]</f>
        <v>300</v>
      </c>
    </row>
    <row r="629" spans="1:15" x14ac:dyDescent="0.55000000000000004">
      <c r="A629" s="3">
        <v>628</v>
      </c>
      <c r="B629" s="4">
        <v>45130</v>
      </c>
      <c r="C629" s="4" t="str">
        <f>TEXT(Table1[[#This Row],[Date]],"YYYY")</f>
        <v>2023</v>
      </c>
      <c r="D629" s="4" t="str">
        <f>TEXT(Table1[[#This Row],[Date]],"MMM")</f>
        <v>Jul</v>
      </c>
      <c r="E629" s="5" t="s">
        <v>20</v>
      </c>
      <c r="F629" s="3" t="s">
        <v>15</v>
      </c>
      <c r="G629" s="3" t="s">
        <v>47</v>
      </c>
      <c r="H629" s="3" t="s">
        <v>43</v>
      </c>
      <c r="I629" s="3">
        <v>1</v>
      </c>
      <c r="J629" s="3">
        <v>4050</v>
      </c>
      <c r="K629" s="3">
        <v>4500</v>
      </c>
      <c r="L629" s="3">
        <v>5</v>
      </c>
      <c r="M629">
        <f>Table1[[#This Row],[Qty]]*Table1[[#This Row],[Sales Price]]</f>
        <v>22500</v>
      </c>
      <c r="N629">
        <f>Table1[[#This Row],[Qty]]*Table1[[#This Row],[Cost]]</f>
        <v>20250</v>
      </c>
      <c r="O629">
        <f>Table1[[#This Row],[Revenue]]-Table1[[#This Row],[Total Cost]]</f>
        <v>2250</v>
      </c>
    </row>
    <row r="630" spans="1:15" x14ac:dyDescent="0.55000000000000004">
      <c r="A630" s="3">
        <v>629</v>
      </c>
      <c r="B630" s="4">
        <v>45131</v>
      </c>
      <c r="C630" s="4" t="str">
        <f>TEXT(Table1[[#This Row],[Date]],"YYYY")</f>
        <v>2023</v>
      </c>
      <c r="D630" s="4" t="str">
        <f>TEXT(Table1[[#This Row],[Date]],"MMM")</f>
        <v>Jul</v>
      </c>
      <c r="E630" s="5" t="s">
        <v>39</v>
      </c>
      <c r="F630" s="3" t="s">
        <v>18</v>
      </c>
      <c r="G630" s="3" t="s">
        <v>44</v>
      </c>
      <c r="H630" s="3" t="s">
        <v>43</v>
      </c>
      <c r="I630" s="3">
        <v>1</v>
      </c>
      <c r="J630" s="3">
        <v>8280</v>
      </c>
      <c r="K630" s="3">
        <v>9200</v>
      </c>
      <c r="L630" s="3">
        <v>7</v>
      </c>
      <c r="M630">
        <f>Table1[[#This Row],[Qty]]*Table1[[#This Row],[Sales Price]]</f>
        <v>64400</v>
      </c>
      <c r="N630">
        <f>Table1[[#This Row],[Qty]]*Table1[[#This Row],[Cost]]</f>
        <v>57960</v>
      </c>
      <c r="O630">
        <f>Table1[[#This Row],[Revenue]]-Table1[[#This Row],[Total Cost]]</f>
        <v>6440</v>
      </c>
    </row>
    <row r="631" spans="1:15" x14ac:dyDescent="0.55000000000000004">
      <c r="A631" s="3">
        <v>630</v>
      </c>
      <c r="B631" s="4">
        <v>45132</v>
      </c>
      <c r="C631" s="4" t="str">
        <f>TEXT(Table1[[#This Row],[Date]],"YYYY")</f>
        <v>2023</v>
      </c>
      <c r="D631" s="4" t="str">
        <f>TEXT(Table1[[#This Row],[Date]],"MMM")</f>
        <v>Jul</v>
      </c>
      <c r="E631" s="5" t="s">
        <v>31</v>
      </c>
      <c r="F631" s="3" t="s">
        <v>15</v>
      </c>
      <c r="G631" s="3" t="s">
        <v>45</v>
      </c>
      <c r="H631" s="3" t="s">
        <v>43</v>
      </c>
      <c r="I631" s="3"/>
      <c r="J631" s="3">
        <v>4950</v>
      </c>
      <c r="K631" s="3">
        <v>5500</v>
      </c>
      <c r="L631" s="3">
        <v>4</v>
      </c>
      <c r="M631">
        <f>Table1[[#This Row],[Qty]]*Table1[[#This Row],[Sales Price]]</f>
        <v>22000</v>
      </c>
      <c r="N631">
        <f>Table1[[#This Row],[Qty]]*Table1[[#This Row],[Cost]]</f>
        <v>19800</v>
      </c>
      <c r="O631">
        <f>Table1[[#This Row],[Revenue]]-Table1[[#This Row],[Total Cost]]</f>
        <v>2200</v>
      </c>
    </row>
    <row r="632" spans="1:15" x14ac:dyDescent="0.55000000000000004">
      <c r="A632" s="3">
        <v>631</v>
      </c>
      <c r="B632" s="4">
        <v>45133</v>
      </c>
      <c r="C632" s="4" t="str">
        <f>TEXT(Table1[[#This Row],[Date]],"YYYY")</f>
        <v>2023</v>
      </c>
      <c r="D632" s="4" t="str">
        <f>TEXT(Table1[[#This Row],[Date]],"MMM")</f>
        <v>Jul</v>
      </c>
      <c r="E632" s="5" t="s">
        <v>39</v>
      </c>
      <c r="F632" s="3" t="s">
        <v>18</v>
      </c>
      <c r="G632" s="3" t="s">
        <v>47</v>
      </c>
      <c r="H632" s="3" t="s">
        <v>43</v>
      </c>
      <c r="I632" s="3"/>
      <c r="J632" s="3">
        <v>3150</v>
      </c>
      <c r="K632" s="3">
        <v>3500</v>
      </c>
      <c r="L632" s="3">
        <v>8</v>
      </c>
      <c r="M632">
        <f>Table1[[#This Row],[Qty]]*Table1[[#This Row],[Sales Price]]</f>
        <v>28000</v>
      </c>
      <c r="N632">
        <f>Table1[[#This Row],[Qty]]*Table1[[#This Row],[Cost]]</f>
        <v>25200</v>
      </c>
      <c r="O632">
        <f>Table1[[#This Row],[Revenue]]-Table1[[#This Row],[Total Cost]]</f>
        <v>2800</v>
      </c>
    </row>
    <row r="633" spans="1:15" x14ac:dyDescent="0.55000000000000004">
      <c r="A633" s="3">
        <v>632</v>
      </c>
      <c r="B633" s="4">
        <v>45134</v>
      </c>
      <c r="C633" s="4" t="str">
        <f>TEXT(Table1[[#This Row],[Date]],"YYYY")</f>
        <v>2023</v>
      </c>
      <c r="D633" s="4" t="str">
        <f>TEXT(Table1[[#This Row],[Date]],"MMM")</f>
        <v>Jul</v>
      </c>
      <c r="E633" s="5" t="s">
        <v>39</v>
      </c>
      <c r="F633" s="3" t="s">
        <v>15</v>
      </c>
      <c r="G633" s="3" t="s">
        <v>44</v>
      </c>
      <c r="H633" s="3" t="s">
        <v>43</v>
      </c>
      <c r="I633" s="3"/>
      <c r="J633" s="3">
        <v>2700</v>
      </c>
      <c r="K633" s="3">
        <v>3000</v>
      </c>
      <c r="L633" s="3">
        <v>8</v>
      </c>
      <c r="M633">
        <f>Table1[[#This Row],[Qty]]*Table1[[#This Row],[Sales Price]]</f>
        <v>24000</v>
      </c>
      <c r="N633">
        <f>Table1[[#This Row],[Qty]]*Table1[[#This Row],[Cost]]</f>
        <v>21600</v>
      </c>
      <c r="O633">
        <f>Table1[[#This Row],[Revenue]]-Table1[[#This Row],[Total Cost]]</f>
        <v>2400</v>
      </c>
    </row>
    <row r="634" spans="1:15" x14ac:dyDescent="0.55000000000000004">
      <c r="A634" s="3">
        <v>633</v>
      </c>
      <c r="B634" s="4">
        <v>45135</v>
      </c>
      <c r="C634" s="4" t="str">
        <f>TEXT(Table1[[#This Row],[Date]],"YYYY")</f>
        <v>2023</v>
      </c>
      <c r="D634" s="4" t="str">
        <f>TEXT(Table1[[#This Row],[Date]],"MMM")</f>
        <v>Jul</v>
      </c>
      <c r="E634" s="5" t="s">
        <v>58</v>
      </c>
      <c r="F634" s="3" t="s">
        <v>18</v>
      </c>
      <c r="G634" s="3" t="s">
        <v>45</v>
      </c>
      <c r="H634" s="3" t="s">
        <v>43</v>
      </c>
      <c r="I634" s="3">
        <v>1</v>
      </c>
      <c r="J634" s="3">
        <v>4050</v>
      </c>
      <c r="K634" s="3">
        <v>4500</v>
      </c>
      <c r="L634" s="3">
        <v>9</v>
      </c>
      <c r="M634">
        <f>Table1[[#This Row],[Qty]]*Table1[[#This Row],[Sales Price]]</f>
        <v>40500</v>
      </c>
      <c r="N634">
        <f>Table1[[#This Row],[Qty]]*Table1[[#This Row],[Cost]]</f>
        <v>36450</v>
      </c>
      <c r="O634">
        <f>Table1[[#This Row],[Revenue]]-Table1[[#This Row],[Total Cost]]</f>
        <v>4050</v>
      </c>
    </row>
    <row r="635" spans="1:15" x14ac:dyDescent="0.55000000000000004">
      <c r="A635" s="3">
        <v>634</v>
      </c>
      <c r="B635" s="4">
        <v>45136</v>
      </c>
      <c r="C635" s="4" t="str">
        <f>TEXT(Table1[[#This Row],[Date]],"YYYY")</f>
        <v>2023</v>
      </c>
      <c r="D635" s="4" t="str">
        <f>TEXT(Table1[[#This Row],[Date]],"MMM")</f>
        <v>Jul</v>
      </c>
      <c r="E635" s="5" t="s">
        <v>46</v>
      </c>
      <c r="F635" s="3" t="s">
        <v>15</v>
      </c>
      <c r="G635" s="3" t="s">
        <v>47</v>
      </c>
      <c r="H635" s="3" t="s">
        <v>43</v>
      </c>
      <c r="I635" s="3">
        <v>1</v>
      </c>
      <c r="J635" s="3">
        <v>8280</v>
      </c>
      <c r="K635" s="3">
        <v>9200</v>
      </c>
      <c r="L635" s="3">
        <v>2</v>
      </c>
      <c r="M635">
        <f>Table1[[#This Row],[Qty]]*Table1[[#This Row],[Sales Price]]</f>
        <v>18400</v>
      </c>
      <c r="N635">
        <f>Table1[[#This Row],[Qty]]*Table1[[#This Row],[Cost]]</f>
        <v>16560</v>
      </c>
      <c r="O635">
        <f>Table1[[#This Row],[Revenue]]-Table1[[#This Row],[Total Cost]]</f>
        <v>1840</v>
      </c>
    </row>
    <row r="636" spans="1:15" x14ac:dyDescent="0.55000000000000004">
      <c r="A636" s="3">
        <v>635</v>
      </c>
      <c r="B636" s="4">
        <v>45137</v>
      </c>
      <c r="C636" s="4" t="str">
        <f>TEXT(Table1[[#This Row],[Date]],"YYYY")</f>
        <v>2023</v>
      </c>
      <c r="D636" s="4" t="str">
        <f>TEXT(Table1[[#This Row],[Date]],"MMM")</f>
        <v>Jul</v>
      </c>
      <c r="E636" s="5" t="s">
        <v>40</v>
      </c>
      <c r="F636" s="3" t="s">
        <v>18</v>
      </c>
      <c r="G636" s="3" t="s">
        <v>44</v>
      </c>
      <c r="H636" s="3" t="s">
        <v>43</v>
      </c>
      <c r="I636" s="3">
        <v>1</v>
      </c>
      <c r="J636" s="3">
        <v>4950</v>
      </c>
      <c r="K636" s="3">
        <v>5500</v>
      </c>
      <c r="L636" s="3">
        <v>1</v>
      </c>
      <c r="M636">
        <f>Table1[[#This Row],[Qty]]*Table1[[#This Row],[Sales Price]]</f>
        <v>5500</v>
      </c>
      <c r="N636">
        <f>Table1[[#This Row],[Qty]]*Table1[[#This Row],[Cost]]</f>
        <v>4950</v>
      </c>
      <c r="O636">
        <f>Table1[[#This Row],[Revenue]]-Table1[[#This Row],[Total Cost]]</f>
        <v>550</v>
      </c>
    </row>
    <row r="637" spans="1:15" x14ac:dyDescent="0.55000000000000004">
      <c r="A637" s="3">
        <v>636</v>
      </c>
      <c r="B637" s="4">
        <v>45138</v>
      </c>
      <c r="C637" s="4" t="str">
        <f>TEXT(Table1[[#This Row],[Date]],"YYYY")</f>
        <v>2023</v>
      </c>
      <c r="D637" s="4" t="str">
        <f>TEXT(Table1[[#This Row],[Date]],"MMM")</f>
        <v>Jul</v>
      </c>
      <c r="E637" s="5" t="s">
        <v>14</v>
      </c>
      <c r="F637" s="3" t="s">
        <v>15</v>
      </c>
      <c r="G637" s="3" t="s">
        <v>45</v>
      </c>
      <c r="H637" s="3" t="s">
        <v>43</v>
      </c>
      <c r="I637" s="3">
        <v>1</v>
      </c>
      <c r="J637" s="3">
        <v>3150</v>
      </c>
      <c r="K637" s="3">
        <v>3500</v>
      </c>
      <c r="L637" s="3">
        <v>22</v>
      </c>
      <c r="M637">
        <f>Table1[[#This Row],[Qty]]*Table1[[#This Row],[Sales Price]]</f>
        <v>77000</v>
      </c>
      <c r="N637">
        <f>Table1[[#This Row],[Qty]]*Table1[[#This Row],[Cost]]</f>
        <v>69300</v>
      </c>
      <c r="O637">
        <f>Table1[[#This Row],[Revenue]]-Table1[[#This Row],[Total Cost]]</f>
        <v>7700</v>
      </c>
    </row>
    <row r="638" spans="1:15" x14ac:dyDescent="0.55000000000000004">
      <c r="A638" s="3">
        <v>637</v>
      </c>
      <c r="B638" s="4">
        <v>45139</v>
      </c>
      <c r="C638" s="4" t="str">
        <f>TEXT(Table1[[#This Row],[Date]],"YYYY")</f>
        <v>2023</v>
      </c>
      <c r="D638" s="4" t="str">
        <f>TEXT(Table1[[#This Row],[Date]],"MMM")</f>
        <v>Aug</v>
      </c>
      <c r="E638" s="5" t="s">
        <v>39</v>
      </c>
      <c r="F638" s="3" t="s">
        <v>18</v>
      </c>
      <c r="G638" s="3" t="s">
        <v>47</v>
      </c>
      <c r="H638" s="3" t="s">
        <v>43</v>
      </c>
      <c r="I638" s="3">
        <v>1</v>
      </c>
      <c r="J638" s="3">
        <v>2700</v>
      </c>
      <c r="K638" s="3">
        <v>3000</v>
      </c>
      <c r="L638" s="3">
        <v>8</v>
      </c>
      <c r="M638">
        <f>Table1[[#This Row],[Qty]]*Table1[[#This Row],[Sales Price]]</f>
        <v>24000</v>
      </c>
      <c r="N638">
        <f>Table1[[#This Row],[Qty]]*Table1[[#This Row],[Cost]]</f>
        <v>21600</v>
      </c>
      <c r="O638">
        <f>Table1[[#This Row],[Revenue]]-Table1[[#This Row],[Total Cost]]</f>
        <v>2400</v>
      </c>
    </row>
    <row r="639" spans="1:15" x14ac:dyDescent="0.55000000000000004">
      <c r="A639" s="3">
        <v>638</v>
      </c>
      <c r="B639" s="4">
        <v>45140</v>
      </c>
      <c r="C639" s="4" t="str">
        <f>TEXT(Table1[[#This Row],[Date]],"YYYY")</f>
        <v>2023</v>
      </c>
      <c r="D639" s="4" t="str">
        <f>TEXT(Table1[[#This Row],[Date]],"MMM")</f>
        <v>Aug</v>
      </c>
      <c r="E639" s="5" t="s">
        <v>39</v>
      </c>
      <c r="F639" s="3" t="s">
        <v>15</v>
      </c>
      <c r="G639" s="3" t="s">
        <v>44</v>
      </c>
      <c r="H639" s="3" t="s">
        <v>43</v>
      </c>
      <c r="I639" s="3">
        <v>1</v>
      </c>
      <c r="J639" s="3">
        <v>4050</v>
      </c>
      <c r="K639" s="3">
        <v>4500</v>
      </c>
      <c r="L639" s="3">
        <v>7</v>
      </c>
      <c r="M639">
        <f>Table1[[#This Row],[Qty]]*Table1[[#This Row],[Sales Price]]</f>
        <v>31500</v>
      </c>
      <c r="N639">
        <f>Table1[[#This Row],[Qty]]*Table1[[#This Row],[Cost]]</f>
        <v>28350</v>
      </c>
      <c r="O639">
        <f>Table1[[#This Row],[Revenue]]-Table1[[#This Row],[Total Cost]]</f>
        <v>3150</v>
      </c>
    </row>
    <row r="640" spans="1:15" x14ac:dyDescent="0.55000000000000004">
      <c r="A640" s="3">
        <v>639</v>
      </c>
      <c r="B640" s="4">
        <v>45141</v>
      </c>
      <c r="C640" s="4" t="str">
        <f>TEXT(Table1[[#This Row],[Date]],"YYYY")</f>
        <v>2023</v>
      </c>
      <c r="D640" s="4" t="str">
        <f>TEXT(Table1[[#This Row],[Date]],"MMM")</f>
        <v>Aug</v>
      </c>
      <c r="E640" s="5" t="s">
        <v>39</v>
      </c>
      <c r="F640" s="3" t="s">
        <v>18</v>
      </c>
      <c r="G640" s="3" t="s">
        <v>45</v>
      </c>
      <c r="H640" s="3" t="s">
        <v>43</v>
      </c>
      <c r="I640" s="3">
        <v>1</v>
      </c>
      <c r="J640" s="3">
        <v>4950</v>
      </c>
      <c r="K640" s="3">
        <v>5500</v>
      </c>
      <c r="L640" s="3">
        <v>56</v>
      </c>
      <c r="M640">
        <f>Table1[[#This Row],[Qty]]*Table1[[#This Row],[Sales Price]]</f>
        <v>308000</v>
      </c>
      <c r="N640">
        <f>Table1[[#This Row],[Qty]]*Table1[[#This Row],[Cost]]</f>
        <v>277200</v>
      </c>
      <c r="O640">
        <f>Table1[[#This Row],[Revenue]]-Table1[[#This Row],[Total Cost]]</f>
        <v>30800</v>
      </c>
    </row>
    <row r="641" spans="1:15" x14ac:dyDescent="0.55000000000000004">
      <c r="A641" s="3">
        <v>640</v>
      </c>
      <c r="B641" s="4">
        <v>45142</v>
      </c>
      <c r="C641" s="4" t="str">
        <f>TEXT(Table1[[#This Row],[Date]],"YYYY")</f>
        <v>2023</v>
      </c>
      <c r="D641" s="4" t="str">
        <f>TEXT(Table1[[#This Row],[Date]],"MMM")</f>
        <v>Aug</v>
      </c>
      <c r="E641" s="5" t="s">
        <v>39</v>
      </c>
      <c r="F641" s="3" t="s">
        <v>15</v>
      </c>
      <c r="G641" s="3" t="s">
        <v>47</v>
      </c>
      <c r="H641" s="3" t="s">
        <v>43</v>
      </c>
      <c r="I641" s="3"/>
      <c r="J641" s="3">
        <v>3150</v>
      </c>
      <c r="K641" s="3">
        <v>3500</v>
      </c>
      <c r="L641" s="3">
        <v>10</v>
      </c>
      <c r="M641">
        <f>Table1[[#This Row],[Qty]]*Table1[[#This Row],[Sales Price]]</f>
        <v>35000</v>
      </c>
      <c r="N641">
        <f>Table1[[#This Row],[Qty]]*Table1[[#This Row],[Cost]]</f>
        <v>31500</v>
      </c>
      <c r="O641">
        <f>Table1[[#This Row],[Revenue]]-Table1[[#This Row],[Total Cost]]</f>
        <v>3500</v>
      </c>
    </row>
    <row r="642" spans="1:15" x14ac:dyDescent="0.55000000000000004">
      <c r="A642" s="3">
        <v>641</v>
      </c>
      <c r="B642" s="4">
        <v>45143</v>
      </c>
      <c r="C642" s="4" t="str">
        <f>TEXT(Table1[[#This Row],[Date]],"YYYY")</f>
        <v>2023</v>
      </c>
      <c r="D642" s="4" t="str">
        <f>TEXT(Table1[[#This Row],[Date]],"MMM")</f>
        <v>Aug</v>
      </c>
      <c r="E642" s="5" t="s">
        <v>14</v>
      </c>
      <c r="F642" s="3" t="s">
        <v>18</v>
      </c>
      <c r="G642" s="3" t="s">
        <v>44</v>
      </c>
      <c r="H642" s="3" t="s">
        <v>43</v>
      </c>
      <c r="I642" s="3"/>
      <c r="J642" s="3">
        <v>2700</v>
      </c>
      <c r="K642" s="3">
        <v>3000</v>
      </c>
      <c r="L642" s="3">
        <v>9</v>
      </c>
      <c r="M642">
        <f>Table1[[#This Row],[Qty]]*Table1[[#This Row],[Sales Price]]</f>
        <v>27000</v>
      </c>
      <c r="N642">
        <f>Table1[[#This Row],[Qty]]*Table1[[#This Row],[Cost]]</f>
        <v>24300</v>
      </c>
      <c r="O642">
        <f>Table1[[#This Row],[Revenue]]-Table1[[#This Row],[Total Cost]]</f>
        <v>2700</v>
      </c>
    </row>
    <row r="643" spans="1:15" x14ac:dyDescent="0.55000000000000004">
      <c r="A643" s="3">
        <v>642</v>
      </c>
      <c r="B643" s="4">
        <v>45144</v>
      </c>
      <c r="C643" s="4" t="str">
        <f>TEXT(Table1[[#This Row],[Date]],"YYYY")</f>
        <v>2023</v>
      </c>
      <c r="D643" s="4" t="str">
        <f>TEXT(Table1[[#This Row],[Date]],"MMM")</f>
        <v>Aug</v>
      </c>
      <c r="E643" s="5" t="s">
        <v>39</v>
      </c>
      <c r="F643" s="3" t="s">
        <v>15</v>
      </c>
      <c r="G643" s="3" t="s">
        <v>45</v>
      </c>
      <c r="H643" s="3" t="s">
        <v>43</v>
      </c>
      <c r="I643" s="3">
        <v>1</v>
      </c>
      <c r="J643" s="3">
        <v>4050</v>
      </c>
      <c r="K643" s="3">
        <v>4500</v>
      </c>
      <c r="L643" s="3">
        <v>27</v>
      </c>
      <c r="M643">
        <f>Table1[[#This Row],[Qty]]*Table1[[#This Row],[Sales Price]]</f>
        <v>121500</v>
      </c>
      <c r="N643">
        <f>Table1[[#This Row],[Qty]]*Table1[[#This Row],[Cost]]</f>
        <v>109350</v>
      </c>
      <c r="O643">
        <f>Table1[[#This Row],[Revenue]]-Table1[[#This Row],[Total Cost]]</f>
        <v>12150</v>
      </c>
    </row>
    <row r="644" spans="1:15" x14ac:dyDescent="0.55000000000000004">
      <c r="A644" s="3">
        <v>643</v>
      </c>
      <c r="B644" s="4">
        <v>45145</v>
      </c>
      <c r="C644" s="4" t="str">
        <f>TEXT(Table1[[#This Row],[Date]],"YYYY")</f>
        <v>2023</v>
      </c>
      <c r="D644" s="4" t="str">
        <f>TEXT(Table1[[#This Row],[Date]],"MMM")</f>
        <v>Aug</v>
      </c>
      <c r="E644" s="5" t="s">
        <v>33</v>
      </c>
      <c r="F644" s="3" t="s">
        <v>18</v>
      </c>
      <c r="G644" s="3" t="s">
        <v>47</v>
      </c>
      <c r="H644" s="3" t="s">
        <v>43</v>
      </c>
      <c r="I644" s="3">
        <v>1</v>
      </c>
      <c r="J644" s="3">
        <v>8280</v>
      </c>
      <c r="K644" s="3">
        <v>9200</v>
      </c>
      <c r="L644" s="3">
        <v>15</v>
      </c>
      <c r="M644">
        <f>Table1[[#This Row],[Qty]]*Table1[[#This Row],[Sales Price]]</f>
        <v>138000</v>
      </c>
      <c r="N644">
        <f>Table1[[#This Row],[Qty]]*Table1[[#This Row],[Cost]]</f>
        <v>124200</v>
      </c>
      <c r="O644">
        <f>Table1[[#This Row],[Revenue]]-Table1[[#This Row],[Total Cost]]</f>
        <v>13800</v>
      </c>
    </row>
    <row r="645" spans="1:15" x14ac:dyDescent="0.55000000000000004">
      <c r="A645" s="3">
        <v>644</v>
      </c>
      <c r="B645" s="4">
        <v>45146</v>
      </c>
      <c r="C645" s="4" t="str">
        <f>TEXT(Table1[[#This Row],[Date]],"YYYY")</f>
        <v>2023</v>
      </c>
      <c r="D645" s="4" t="str">
        <f>TEXT(Table1[[#This Row],[Date]],"MMM")</f>
        <v>Aug</v>
      </c>
      <c r="E645" s="5" t="s">
        <v>40</v>
      </c>
      <c r="F645" s="3" t="s">
        <v>15</v>
      </c>
      <c r="G645" s="3" t="s">
        <v>44</v>
      </c>
      <c r="H645" s="3" t="s">
        <v>43</v>
      </c>
      <c r="I645" s="3">
        <v>1</v>
      </c>
      <c r="J645" s="3">
        <v>4950</v>
      </c>
      <c r="K645" s="3">
        <v>5500</v>
      </c>
      <c r="L645" s="3">
        <v>3</v>
      </c>
      <c r="M645">
        <f>Table1[[#This Row],[Qty]]*Table1[[#This Row],[Sales Price]]</f>
        <v>16500</v>
      </c>
      <c r="N645">
        <f>Table1[[#This Row],[Qty]]*Table1[[#This Row],[Cost]]</f>
        <v>14850</v>
      </c>
      <c r="O645">
        <f>Table1[[#This Row],[Revenue]]-Table1[[#This Row],[Total Cost]]</f>
        <v>1650</v>
      </c>
    </row>
    <row r="646" spans="1:15" x14ac:dyDescent="0.55000000000000004">
      <c r="A646" s="3">
        <v>645</v>
      </c>
      <c r="B646" s="4">
        <v>45147</v>
      </c>
      <c r="C646" s="4" t="str">
        <f>TEXT(Table1[[#This Row],[Date]],"YYYY")</f>
        <v>2023</v>
      </c>
      <c r="D646" s="4" t="str">
        <f>TEXT(Table1[[#This Row],[Date]],"MMM")</f>
        <v>Aug</v>
      </c>
      <c r="E646" s="5" t="s">
        <v>58</v>
      </c>
      <c r="F646" s="3" t="s">
        <v>18</v>
      </c>
      <c r="G646" s="3" t="s">
        <v>45</v>
      </c>
      <c r="H646" s="3" t="s">
        <v>43</v>
      </c>
      <c r="I646" s="3">
        <v>0</v>
      </c>
      <c r="J646" s="3">
        <v>3150</v>
      </c>
      <c r="K646" s="3">
        <v>3500</v>
      </c>
      <c r="L646" s="3">
        <v>9</v>
      </c>
      <c r="M646">
        <f>Table1[[#This Row],[Qty]]*Table1[[#This Row],[Sales Price]]</f>
        <v>31500</v>
      </c>
      <c r="N646">
        <f>Table1[[#This Row],[Qty]]*Table1[[#This Row],[Cost]]</f>
        <v>28350</v>
      </c>
      <c r="O646">
        <f>Table1[[#This Row],[Revenue]]-Table1[[#This Row],[Total Cost]]</f>
        <v>3150</v>
      </c>
    </row>
    <row r="647" spans="1:15" x14ac:dyDescent="0.55000000000000004">
      <c r="A647" s="3">
        <v>646</v>
      </c>
      <c r="B647" s="4">
        <v>45148</v>
      </c>
      <c r="C647" s="4" t="str">
        <f>TEXT(Table1[[#This Row],[Date]],"YYYY")</f>
        <v>2023</v>
      </c>
      <c r="D647" s="4" t="str">
        <f>TEXT(Table1[[#This Row],[Date]],"MMM")</f>
        <v>Aug</v>
      </c>
      <c r="E647" s="5" t="s">
        <v>68</v>
      </c>
      <c r="F647" s="3" t="s">
        <v>15</v>
      </c>
      <c r="G647" s="3" t="s">
        <v>47</v>
      </c>
      <c r="H647" s="3" t="s">
        <v>43</v>
      </c>
      <c r="I647" s="3">
        <v>0</v>
      </c>
      <c r="J647" s="3">
        <v>2700</v>
      </c>
      <c r="K647" s="3">
        <v>3000</v>
      </c>
      <c r="L647" s="3">
        <v>22</v>
      </c>
      <c r="M647">
        <f>Table1[[#This Row],[Qty]]*Table1[[#This Row],[Sales Price]]</f>
        <v>66000</v>
      </c>
      <c r="N647">
        <f>Table1[[#This Row],[Qty]]*Table1[[#This Row],[Cost]]</f>
        <v>59400</v>
      </c>
      <c r="O647">
        <f>Table1[[#This Row],[Revenue]]-Table1[[#This Row],[Total Cost]]</f>
        <v>6600</v>
      </c>
    </row>
    <row r="648" spans="1:15" x14ac:dyDescent="0.55000000000000004">
      <c r="A648" s="3">
        <v>647</v>
      </c>
      <c r="B648" s="4">
        <v>45210</v>
      </c>
      <c r="C648" s="4" t="str">
        <f>TEXT(Table1[[#This Row],[Date]],"YYYY")</f>
        <v>2023</v>
      </c>
      <c r="D648" s="4" t="str">
        <f>TEXT(Table1[[#This Row],[Date]],"MMM")</f>
        <v>Oct</v>
      </c>
      <c r="E648" s="5" t="s">
        <v>39</v>
      </c>
      <c r="F648" s="3" t="s">
        <v>18</v>
      </c>
      <c r="G648" s="3" t="s">
        <v>44</v>
      </c>
      <c r="H648" s="3" t="s">
        <v>43</v>
      </c>
      <c r="I648" s="3">
        <v>0</v>
      </c>
      <c r="J648" s="3">
        <v>4050</v>
      </c>
      <c r="K648" s="3">
        <v>4500</v>
      </c>
      <c r="L648" s="3">
        <v>16</v>
      </c>
      <c r="M648">
        <f>Table1[[#This Row],[Qty]]*Table1[[#This Row],[Sales Price]]</f>
        <v>72000</v>
      </c>
      <c r="N648">
        <f>Table1[[#This Row],[Qty]]*Table1[[#This Row],[Cost]]</f>
        <v>64800</v>
      </c>
      <c r="O648">
        <f>Table1[[#This Row],[Revenue]]-Table1[[#This Row],[Total Cost]]</f>
        <v>7200</v>
      </c>
    </row>
    <row r="649" spans="1:15" x14ac:dyDescent="0.55000000000000004">
      <c r="A649" s="3">
        <v>648</v>
      </c>
      <c r="B649" s="4">
        <v>45210</v>
      </c>
      <c r="C649" s="4" t="str">
        <f>TEXT(Table1[[#This Row],[Date]],"YYYY")</f>
        <v>2023</v>
      </c>
      <c r="D649" s="4" t="str">
        <f>TEXT(Table1[[#This Row],[Date]],"MMM")</f>
        <v>Oct</v>
      </c>
      <c r="E649" s="5" t="s">
        <v>22</v>
      </c>
      <c r="F649" s="3" t="s">
        <v>15</v>
      </c>
      <c r="G649" s="3" t="s">
        <v>45</v>
      </c>
      <c r="H649" s="3" t="s">
        <v>43</v>
      </c>
      <c r="I649" s="3"/>
      <c r="J649" s="3">
        <v>8280</v>
      </c>
      <c r="K649" s="3">
        <v>9200</v>
      </c>
      <c r="L649" s="3">
        <v>6</v>
      </c>
      <c r="M649">
        <f>Table1[[#This Row],[Qty]]*Table1[[#This Row],[Sales Price]]</f>
        <v>55200</v>
      </c>
      <c r="N649">
        <f>Table1[[#This Row],[Qty]]*Table1[[#This Row],[Cost]]</f>
        <v>49680</v>
      </c>
      <c r="O649">
        <f>Table1[[#This Row],[Revenue]]-Table1[[#This Row],[Total Cost]]</f>
        <v>5520</v>
      </c>
    </row>
    <row r="650" spans="1:15" x14ac:dyDescent="0.55000000000000004">
      <c r="A650" s="3">
        <v>649</v>
      </c>
      <c r="B650" s="4">
        <v>45210</v>
      </c>
      <c r="C650" s="4" t="str">
        <f>TEXT(Table1[[#This Row],[Date]],"YYYY")</f>
        <v>2023</v>
      </c>
      <c r="D650" s="4" t="str">
        <f>TEXT(Table1[[#This Row],[Date]],"MMM")</f>
        <v>Oct</v>
      </c>
      <c r="E650" s="5" t="s">
        <v>24</v>
      </c>
      <c r="F650" s="3" t="s">
        <v>18</v>
      </c>
      <c r="G650" s="3" t="s">
        <v>47</v>
      </c>
      <c r="H650" s="3" t="s">
        <v>43</v>
      </c>
      <c r="I650" s="3"/>
      <c r="J650" s="3">
        <v>4950</v>
      </c>
      <c r="K650" s="3">
        <v>5500</v>
      </c>
      <c r="L650" s="3">
        <v>3</v>
      </c>
      <c r="M650">
        <f>Table1[[#This Row],[Qty]]*Table1[[#This Row],[Sales Price]]</f>
        <v>16500</v>
      </c>
      <c r="N650">
        <f>Table1[[#This Row],[Qty]]*Table1[[#This Row],[Cost]]</f>
        <v>14850</v>
      </c>
      <c r="O650">
        <f>Table1[[#This Row],[Revenue]]-Table1[[#This Row],[Total Cost]]</f>
        <v>1650</v>
      </c>
    </row>
    <row r="651" spans="1:15" x14ac:dyDescent="0.55000000000000004">
      <c r="A651" s="3">
        <v>650</v>
      </c>
      <c r="B651" s="4">
        <v>45210</v>
      </c>
      <c r="C651" s="4" t="str">
        <f>TEXT(Table1[[#This Row],[Date]],"YYYY")</f>
        <v>2023</v>
      </c>
      <c r="D651" s="4" t="str">
        <f>TEXT(Table1[[#This Row],[Date]],"MMM")</f>
        <v>Oct</v>
      </c>
      <c r="E651" s="5" t="s">
        <v>39</v>
      </c>
      <c r="F651" s="3" t="s">
        <v>15</v>
      </c>
      <c r="G651" s="3" t="s">
        <v>44</v>
      </c>
      <c r="H651" s="3" t="s">
        <v>43</v>
      </c>
      <c r="I651" s="3"/>
      <c r="J651" s="3">
        <v>3150</v>
      </c>
      <c r="K651" s="3">
        <v>3500</v>
      </c>
      <c r="L651" s="3">
        <v>5</v>
      </c>
      <c r="M651">
        <f>Table1[[#This Row],[Qty]]*Table1[[#This Row],[Sales Price]]</f>
        <v>17500</v>
      </c>
      <c r="N651">
        <f>Table1[[#This Row],[Qty]]*Table1[[#This Row],[Cost]]</f>
        <v>15750</v>
      </c>
      <c r="O651">
        <f>Table1[[#This Row],[Revenue]]-Table1[[#This Row],[Total Cost]]</f>
        <v>1750</v>
      </c>
    </row>
    <row r="652" spans="1:15" x14ac:dyDescent="0.55000000000000004">
      <c r="A652" s="3">
        <v>651</v>
      </c>
      <c r="B652" s="4">
        <v>45210</v>
      </c>
      <c r="C652" s="4" t="str">
        <f>TEXT(Table1[[#This Row],[Date]],"YYYY")</f>
        <v>2023</v>
      </c>
      <c r="D652" s="4" t="str">
        <f>TEXT(Table1[[#This Row],[Date]],"MMM")</f>
        <v>Oct</v>
      </c>
      <c r="E652" s="5" t="s">
        <v>40</v>
      </c>
      <c r="F652" s="3" t="s">
        <v>18</v>
      </c>
      <c r="G652" s="3" t="s">
        <v>45</v>
      </c>
      <c r="H652" s="3" t="s">
        <v>43</v>
      </c>
      <c r="I652" s="3">
        <v>1</v>
      </c>
      <c r="J652" s="3">
        <v>2700</v>
      </c>
      <c r="K652" s="3">
        <v>3000</v>
      </c>
      <c r="L652" s="3">
        <v>1</v>
      </c>
      <c r="M652">
        <f>Table1[[#This Row],[Qty]]*Table1[[#This Row],[Sales Price]]</f>
        <v>3000</v>
      </c>
      <c r="N652">
        <f>Table1[[#This Row],[Qty]]*Table1[[#This Row],[Cost]]</f>
        <v>2700</v>
      </c>
      <c r="O652">
        <f>Table1[[#This Row],[Revenue]]-Table1[[#This Row],[Total Cost]]</f>
        <v>300</v>
      </c>
    </row>
    <row r="653" spans="1:15" x14ac:dyDescent="0.55000000000000004">
      <c r="A653" s="3">
        <v>652</v>
      </c>
      <c r="B653" s="4">
        <v>45210</v>
      </c>
      <c r="C653" s="4" t="str">
        <f>TEXT(Table1[[#This Row],[Date]],"YYYY")</f>
        <v>2023</v>
      </c>
      <c r="D653" s="4" t="str">
        <f>TEXT(Table1[[#This Row],[Date]],"MMM")</f>
        <v>Oct</v>
      </c>
      <c r="E653" s="5" t="s">
        <v>57</v>
      </c>
      <c r="F653" s="3" t="s">
        <v>15</v>
      </c>
      <c r="G653" s="3" t="s">
        <v>47</v>
      </c>
      <c r="H653" s="3" t="s">
        <v>43</v>
      </c>
      <c r="I653" s="3">
        <v>1</v>
      </c>
      <c r="J653" s="3">
        <v>4050</v>
      </c>
      <c r="K653" s="3">
        <v>4500</v>
      </c>
      <c r="L653" s="3">
        <v>5</v>
      </c>
      <c r="M653">
        <f>Table1[[#This Row],[Qty]]*Table1[[#This Row],[Sales Price]]</f>
        <v>22500</v>
      </c>
      <c r="N653">
        <f>Table1[[#This Row],[Qty]]*Table1[[#This Row],[Cost]]</f>
        <v>20250</v>
      </c>
      <c r="O653">
        <f>Table1[[#This Row],[Revenue]]-Table1[[#This Row],[Total Cost]]</f>
        <v>2250</v>
      </c>
    </row>
    <row r="654" spans="1:15" x14ac:dyDescent="0.55000000000000004">
      <c r="A654" s="3">
        <v>653</v>
      </c>
      <c r="B654" s="4">
        <v>45210</v>
      </c>
      <c r="C654" s="4" t="str">
        <f>TEXT(Table1[[#This Row],[Date]],"YYYY")</f>
        <v>2023</v>
      </c>
      <c r="D654" s="4" t="str">
        <f>TEXT(Table1[[#This Row],[Date]],"MMM")</f>
        <v>Oct</v>
      </c>
      <c r="E654" s="5" t="s">
        <v>59</v>
      </c>
      <c r="F654" s="3" t="s">
        <v>18</v>
      </c>
      <c r="G654" s="3" t="s">
        <v>44</v>
      </c>
      <c r="H654" s="3" t="s">
        <v>43</v>
      </c>
      <c r="I654" s="3">
        <v>1</v>
      </c>
      <c r="J654" s="3">
        <v>4950</v>
      </c>
      <c r="K654" s="3">
        <v>5500</v>
      </c>
      <c r="L654" s="3">
        <v>7</v>
      </c>
      <c r="M654">
        <f>Table1[[#This Row],[Qty]]*Table1[[#This Row],[Sales Price]]</f>
        <v>38500</v>
      </c>
      <c r="N654">
        <f>Table1[[#This Row],[Qty]]*Table1[[#This Row],[Cost]]</f>
        <v>34650</v>
      </c>
      <c r="O654">
        <f>Table1[[#This Row],[Revenue]]-Table1[[#This Row],[Total Cost]]</f>
        <v>3850</v>
      </c>
    </row>
    <row r="655" spans="1:15" x14ac:dyDescent="0.55000000000000004">
      <c r="A655" s="3">
        <v>654</v>
      </c>
      <c r="B655" s="4">
        <v>45210</v>
      </c>
      <c r="C655" s="4" t="str">
        <f>TEXT(Table1[[#This Row],[Date]],"YYYY")</f>
        <v>2023</v>
      </c>
      <c r="D655" s="4" t="str">
        <f>TEXT(Table1[[#This Row],[Date]],"MMM")</f>
        <v>Oct</v>
      </c>
      <c r="E655" s="5" t="s">
        <v>56</v>
      </c>
      <c r="F655" s="3" t="s">
        <v>15</v>
      </c>
      <c r="G655" s="3" t="s">
        <v>45</v>
      </c>
      <c r="H655" s="3" t="s">
        <v>43</v>
      </c>
      <c r="I655" s="3">
        <v>1</v>
      </c>
      <c r="J655" s="3">
        <v>3150</v>
      </c>
      <c r="K655" s="3">
        <v>3500</v>
      </c>
      <c r="L655" s="3">
        <v>4</v>
      </c>
      <c r="M655">
        <f>Table1[[#This Row],[Qty]]*Table1[[#This Row],[Sales Price]]</f>
        <v>14000</v>
      </c>
      <c r="N655">
        <f>Table1[[#This Row],[Qty]]*Table1[[#This Row],[Cost]]</f>
        <v>12600</v>
      </c>
      <c r="O655">
        <f>Table1[[#This Row],[Revenue]]-Table1[[#This Row],[Total Cost]]</f>
        <v>1400</v>
      </c>
    </row>
    <row r="656" spans="1:15" x14ac:dyDescent="0.55000000000000004">
      <c r="A656" s="3">
        <v>655</v>
      </c>
      <c r="B656" s="4">
        <v>45157</v>
      </c>
      <c r="C656" s="4" t="str">
        <f>TEXT(Table1[[#This Row],[Date]],"YYYY")</f>
        <v>2023</v>
      </c>
      <c r="D656" s="4" t="str">
        <f>TEXT(Table1[[#This Row],[Date]],"MMM")</f>
        <v>Aug</v>
      </c>
      <c r="E656" s="5" t="s">
        <v>35</v>
      </c>
      <c r="F656" s="3" t="s">
        <v>18</v>
      </c>
      <c r="G656" s="3" t="s">
        <v>47</v>
      </c>
      <c r="H656" s="3" t="s">
        <v>43</v>
      </c>
      <c r="I656" s="3">
        <v>1</v>
      </c>
      <c r="J656" s="3">
        <v>2700</v>
      </c>
      <c r="K656" s="3">
        <v>3000</v>
      </c>
      <c r="L656" s="3">
        <v>8</v>
      </c>
      <c r="M656">
        <f>Table1[[#This Row],[Qty]]*Table1[[#This Row],[Sales Price]]</f>
        <v>24000</v>
      </c>
      <c r="N656">
        <f>Table1[[#This Row],[Qty]]*Table1[[#This Row],[Cost]]</f>
        <v>21600</v>
      </c>
      <c r="O656">
        <f>Table1[[#This Row],[Revenue]]-Table1[[#This Row],[Total Cost]]</f>
        <v>2400</v>
      </c>
    </row>
    <row r="657" spans="1:15" x14ac:dyDescent="0.55000000000000004">
      <c r="A657" s="3">
        <v>656</v>
      </c>
      <c r="B657" s="4">
        <v>45158</v>
      </c>
      <c r="C657" s="4" t="str">
        <f>TEXT(Table1[[#This Row],[Date]],"YYYY")</f>
        <v>2023</v>
      </c>
      <c r="D657" s="4" t="str">
        <f>TEXT(Table1[[#This Row],[Date]],"MMM")</f>
        <v>Aug</v>
      </c>
      <c r="E657" s="5" t="s">
        <v>39</v>
      </c>
      <c r="F657" s="3" t="s">
        <v>15</v>
      </c>
      <c r="G657" s="3" t="s">
        <v>44</v>
      </c>
      <c r="H657" s="3" t="s">
        <v>43</v>
      </c>
      <c r="I657" s="3">
        <v>1</v>
      </c>
      <c r="J657" s="3">
        <v>4050</v>
      </c>
      <c r="K657" s="3">
        <v>4500</v>
      </c>
      <c r="L657" s="3">
        <v>8</v>
      </c>
      <c r="M657">
        <f>Table1[[#This Row],[Qty]]*Table1[[#This Row],[Sales Price]]</f>
        <v>36000</v>
      </c>
      <c r="N657">
        <f>Table1[[#This Row],[Qty]]*Table1[[#This Row],[Cost]]</f>
        <v>32400</v>
      </c>
      <c r="O657">
        <f>Table1[[#This Row],[Revenue]]-Table1[[#This Row],[Total Cost]]</f>
        <v>3600</v>
      </c>
    </row>
    <row r="658" spans="1:15" x14ac:dyDescent="0.55000000000000004">
      <c r="A658" s="3">
        <v>657</v>
      </c>
      <c r="B658" s="4">
        <v>45210</v>
      </c>
      <c r="C658" s="4" t="str">
        <f>TEXT(Table1[[#This Row],[Date]],"YYYY")</f>
        <v>2023</v>
      </c>
      <c r="D658" s="4" t="str">
        <f>TEXT(Table1[[#This Row],[Date]],"MMM")</f>
        <v>Oct</v>
      </c>
      <c r="E658" s="5" t="s">
        <v>22</v>
      </c>
      <c r="F658" s="3" t="s">
        <v>18</v>
      </c>
      <c r="G658" s="3" t="s">
        <v>45</v>
      </c>
      <c r="H658" s="3" t="s">
        <v>43</v>
      </c>
      <c r="I658" s="3">
        <v>1</v>
      </c>
      <c r="J658" s="3">
        <v>8280</v>
      </c>
      <c r="K658" s="3">
        <v>9200</v>
      </c>
      <c r="L658" s="3">
        <v>9</v>
      </c>
      <c r="M658">
        <f>Table1[[#This Row],[Qty]]*Table1[[#This Row],[Sales Price]]</f>
        <v>82800</v>
      </c>
      <c r="N658">
        <f>Table1[[#This Row],[Qty]]*Table1[[#This Row],[Cost]]</f>
        <v>74520</v>
      </c>
      <c r="O658">
        <f>Table1[[#This Row],[Revenue]]-Table1[[#This Row],[Total Cost]]</f>
        <v>8280</v>
      </c>
    </row>
    <row r="659" spans="1:15" x14ac:dyDescent="0.55000000000000004">
      <c r="A659" s="3">
        <v>658</v>
      </c>
      <c r="B659" s="4">
        <v>45210</v>
      </c>
      <c r="C659" s="4" t="str">
        <f>TEXT(Table1[[#This Row],[Date]],"YYYY")</f>
        <v>2023</v>
      </c>
      <c r="D659" s="4" t="str">
        <f>TEXT(Table1[[#This Row],[Date]],"MMM")</f>
        <v>Oct</v>
      </c>
      <c r="E659" s="5" t="s">
        <v>39</v>
      </c>
      <c r="F659" s="3" t="s">
        <v>15</v>
      </c>
      <c r="G659" s="3" t="s">
        <v>47</v>
      </c>
      <c r="H659" s="3" t="s">
        <v>43</v>
      </c>
      <c r="I659" s="3"/>
      <c r="J659" s="3">
        <v>4950</v>
      </c>
      <c r="K659" s="3">
        <v>5500</v>
      </c>
      <c r="L659" s="3">
        <v>2</v>
      </c>
      <c r="M659">
        <f>Table1[[#This Row],[Qty]]*Table1[[#This Row],[Sales Price]]</f>
        <v>11000</v>
      </c>
      <c r="N659">
        <f>Table1[[#This Row],[Qty]]*Table1[[#This Row],[Cost]]</f>
        <v>9900</v>
      </c>
      <c r="O659">
        <f>Table1[[#This Row],[Revenue]]-Table1[[#This Row],[Total Cost]]</f>
        <v>1100</v>
      </c>
    </row>
    <row r="660" spans="1:15" x14ac:dyDescent="0.55000000000000004">
      <c r="A660" s="3">
        <v>659</v>
      </c>
      <c r="B660" s="4">
        <v>45210</v>
      </c>
      <c r="C660" s="4" t="str">
        <f>TEXT(Table1[[#This Row],[Date]],"YYYY")</f>
        <v>2023</v>
      </c>
      <c r="D660" s="4" t="str">
        <f>TEXT(Table1[[#This Row],[Date]],"MMM")</f>
        <v>Oct</v>
      </c>
      <c r="E660" s="5" t="s">
        <v>31</v>
      </c>
      <c r="F660" s="3" t="s">
        <v>18</v>
      </c>
      <c r="G660" s="3" t="s">
        <v>44</v>
      </c>
      <c r="H660" s="3" t="s">
        <v>43</v>
      </c>
      <c r="I660" s="3"/>
      <c r="J660" s="3">
        <v>3150</v>
      </c>
      <c r="K660" s="3">
        <v>3500</v>
      </c>
      <c r="L660" s="3">
        <v>1</v>
      </c>
      <c r="M660">
        <f>Table1[[#This Row],[Qty]]*Table1[[#This Row],[Sales Price]]</f>
        <v>3500</v>
      </c>
      <c r="N660">
        <f>Table1[[#This Row],[Qty]]*Table1[[#This Row],[Cost]]</f>
        <v>3150</v>
      </c>
      <c r="O660">
        <f>Table1[[#This Row],[Revenue]]-Table1[[#This Row],[Total Cost]]</f>
        <v>350</v>
      </c>
    </row>
    <row r="661" spans="1:15" x14ac:dyDescent="0.55000000000000004">
      <c r="A661" s="3">
        <v>660</v>
      </c>
      <c r="B661" s="4">
        <v>45210</v>
      </c>
      <c r="C661" s="4" t="str">
        <f>TEXT(Table1[[#This Row],[Date]],"YYYY")</f>
        <v>2023</v>
      </c>
      <c r="D661" s="4" t="str">
        <f>TEXT(Table1[[#This Row],[Date]],"MMM")</f>
        <v>Oct</v>
      </c>
      <c r="E661" s="5" t="s">
        <v>20</v>
      </c>
      <c r="F661" s="3" t="s">
        <v>15</v>
      </c>
      <c r="G661" s="3" t="s">
        <v>45</v>
      </c>
      <c r="H661" s="3" t="s">
        <v>43</v>
      </c>
      <c r="I661" s="3">
        <v>1</v>
      </c>
      <c r="J661" s="3">
        <v>2700</v>
      </c>
      <c r="K661" s="3">
        <v>3000</v>
      </c>
      <c r="L661" s="3">
        <v>22</v>
      </c>
      <c r="M661">
        <f>Table1[[#This Row],[Qty]]*Table1[[#This Row],[Sales Price]]</f>
        <v>66000</v>
      </c>
      <c r="N661">
        <f>Table1[[#This Row],[Qty]]*Table1[[#This Row],[Cost]]</f>
        <v>59400</v>
      </c>
      <c r="O661">
        <f>Table1[[#This Row],[Revenue]]-Table1[[#This Row],[Total Cost]]</f>
        <v>6600</v>
      </c>
    </row>
    <row r="662" spans="1:15" x14ac:dyDescent="0.55000000000000004">
      <c r="A662" s="3">
        <v>661</v>
      </c>
      <c r="B662" s="4">
        <v>45163</v>
      </c>
      <c r="C662" s="4" t="str">
        <f>TEXT(Table1[[#This Row],[Date]],"YYYY")</f>
        <v>2023</v>
      </c>
      <c r="D662" s="4" t="str">
        <f>TEXT(Table1[[#This Row],[Date]],"MMM")</f>
        <v>Aug</v>
      </c>
      <c r="E662" s="5" t="s">
        <v>33</v>
      </c>
      <c r="F662" s="3" t="s">
        <v>18</v>
      </c>
      <c r="G662" s="3" t="s">
        <v>47</v>
      </c>
      <c r="H662" s="3" t="s">
        <v>43</v>
      </c>
      <c r="I662" s="3">
        <v>1</v>
      </c>
      <c r="J662" s="3">
        <v>4050</v>
      </c>
      <c r="K662" s="3">
        <v>4500</v>
      </c>
      <c r="L662" s="3">
        <v>8</v>
      </c>
      <c r="M662">
        <f>Table1[[#This Row],[Qty]]*Table1[[#This Row],[Sales Price]]</f>
        <v>36000</v>
      </c>
      <c r="N662">
        <f>Table1[[#This Row],[Qty]]*Table1[[#This Row],[Cost]]</f>
        <v>32400</v>
      </c>
      <c r="O662">
        <f>Table1[[#This Row],[Revenue]]-Table1[[#This Row],[Total Cost]]</f>
        <v>3600</v>
      </c>
    </row>
    <row r="663" spans="1:15" x14ac:dyDescent="0.55000000000000004">
      <c r="A663" s="3">
        <v>662</v>
      </c>
      <c r="B663" s="4">
        <v>45164</v>
      </c>
      <c r="C663" s="4" t="str">
        <f>TEXT(Table1[[#This Row],[Date]],"YYYY")</f>
        <v>2023</v>
      </c>
      <c r="D663" s="4" t="str">
        <f>TEXT(Table1[[#This Row],[Date]],"MMM")</f>
        <v>Aug</v>
      </c>
      <c r="E663" s="5" t="s">
        <v>56</v>
      </c>
      <c r="F663" s="3" t="s">
        <v>15</v>
      </c>
      <c r="G663" s="3" t="s">
        <v>44</v>
      </c>
      <c r="H663" s="3" t="s">
        <v>43</v>
      </c>
      <c r="I663" s="3">
        <v>1</v>
      </c>
      <c r="J663" s="3">
        <v>8280</v>
      </c>
      <c r="K663" s="3">
        <v>9200</v>
      </c>
      <c r="L663" s="3">
        <v>7</v>
      </c>
      <c r="M663">
        <f>Table1[[#This Row],[Qty]]*Table1[[#This Row],[Sales Price]]</f>
        <v>64400</v>
      </c>
      <c r="N663">
        <f>Table1[[#This Row],[Qty]]*Table1[[#This Row],[Cost]]</f>
        <v>57960</v>
      </c>
      <c r="O663">
        <f>Table1[[#This Row],[Revenue]]-Table1[[#This Row],[Total Cost]]</f>
        <v>6440</v>
      </c>
    </row>
    <row r="664" spans="1:15" x14ac:dyDescent="0.55000000000000004">
      <c r="A664" s="3">
        <v>663</v>
      </c>
      <c r="B664" s="4">
        <v>45165</v>
      </c>
      <c r="C664" s="4" t="str">
        <f>TEXT(Table1[[#This Row],[Date]],"YYYY")</f>
        <v>2023</v>
      </c>
      <c r="D664" s="4" t="str">
        <f>TEXT(Table1[[#This Row],[Date]],"MMM")</f>
        <v>Aug</v>
      </c>
      <c r="E664" s="5" t="s">
        <v>39</v>
      </c>
      <c r="F664" s="3" t="s">
        <v>18</v>
      </c>
      <c r="G664" s="3" t="s">
        <v>45</v>
      </c>
      <c r="H664" s="3" t="s">
        <v>43</v>
      </c>
      <c r="I664" s="3">
        <v>1</v>
      </c>
      <c r="J664" s="3">
        <v>4950</v>
      </c>
      <c r="K664" s="3">
        <v>5500</v>
      </c>
      <c r="L664" s="3">
        <v>56</v>
      </c>
      <c r="M664">
        <f>Table1[[#This Row],[Qty]]*Table1[[#This Row],[Sales Price]]</f>
        <v>308000</v>
      </c>
      <c r="N664">
        <f>Table1[[#This Row],[Qty]]*Table1[[#This Row],[Cost]]</f>
        <v>277200</v>
      </c>
      <c r="O664">
        <f>Table1[[#This Row],[Revenue]]-Table1[[#This Row],[Total Cost]]</f>
        <v>30800</v>
      </c>
    </row>
    <row r="665" spans="1:15" x14ac:dyDescent="0.55000000000000004">
      <c r="A665" s="3">
        <v>664</v>
      </c>
      <c r="B665" s="4">
        <v>45166</v>
      </c>
      <c r="C665" s="4" t="str">
        <f>TEXT(Table1[[#This Row],[Date]],"YYYY")</f>
        <v>2023</v>
      </c>
      <c r="D665" s="4" t="str">
        <f>TEXT(Table1[[#This Row],[Date]],"MMM")</f>
        <v>Aug</v>
      </c>
      <c r="E665" s="5" t="s">
        <v>54</v>
      </c>
      <c r="F665" s="3" t="s">
        <v>15</v>
      </c>
      <c r="G665" s="3" t="s">
        <v>47</v>
      </c>
      <c r="H665" s="3" t="s">
        <v>43</v>
      </c>
      <c r="I665" s="3">
        <v>1</v>
      </c>
      <c r="J665" s="3">
        <v>3150</v>
      </c>
      <c r="K665" s="3">
        <v>3500</v>
      </c>
      <c r="L665" s="3">
        <v>10</v>
      </c>
      <c r="M665">
        <f>Table1[[#This Row],[Qty]]*Table1[[#This Row],[Sales Price]]</f>
        <v>35000</v>
      </c>
      <c r="N665">
        <f>Table1[[#This Row],[Qty]]*Table1[[#This Row],[Cost]]</f>
        <v>31500</v>
      </c>
      <c r="O665">
        <f>Table1[[#This Row],[Revenue]]-Table1[[#This Row],[Total Cost]]</f>
        <v>3500</v>
      </c>
    </row>
    <row r="666" spans="1:15" x14ac:dyDescent="0.55000000000000004">
      <c r="A666" s="3">
        <v>665</v>
      </c>
      <c r="B666" s="4">
        <v>45167</v>
      </c>
      <c r="C666" s="4" t="str">
        <f>TEXT(Table1[[#This Row],[Date]],"YYYY")</f>
        <v>2023</v>
      </c>
      <c r="D666" s="4" t="str">
        <f>TEXT(Table1[[#This Row],[Date]],"MMM")</f>
        <v>Aug</v>
      </c>
      <c r="E666" s="5" t="s">
        <v>46</v>
      </c>
      <c r="F666" s="3" t="s">
        <v>18</v>
      </c>
      <c r="G666" s="3" t="s">
        <v>44</v>
      </c>
      <c r="H666" s="3" t="s">
        <v>43</v>
      </c>
      <c r="I666" s="3">
        <v>1</v>
      </c>
      <c r="J666" s="3">
        <v>2700</v>
      </c>
      <c r="K666" s="3">
        <v>3000</v>
      </c>
      <c r="L666" s="3">
        <v>9</v>
      </c>
      <c r="M666">
        <f>Table1[[#This Row],[Qty]]*Table1[[#This Row],[Sales Price]]</f>
        <v>27000</v>
      </c>
      <c r="N666">
        <f>Table1[[#This Row],[Qty]]*Table1[[#This Row],[Cost]]</f>
        <v>24300</v>
      </c>
      <c r="O666">
        <f>Table1[[#This Row],[Revenue]]-Table1[[#This Row],[Total Cost]]</f>
        <v>2700</v>
      </c>
    </row>
    <row r="667" spans="1:15" x14ac:dyDescent="0.55000000000000004">
      <c r="A667" s="3">
        <v>666</v>
      </c>
      <c r="B667" s="4">
        <v>45168</v>
      </c>
      <c r="C667" s="4" t="str">
        <f>TEXT(Table1[[#This Row],[Date]],"YYYY")</f>
        <v>2023</v>
      </c>
      <c r="D667" s="4" t="str">
        <f>TEXT(Table1[[#This Row],[Date]],"MMM")</f>
        <v>Aug</v>
      </c>
      <c r="E667" s="5" t="s">
        <v>22</v>
      </c>
      <c r="F667" s="3" t="s">
        <v>15</v>
      </c>
      <c r="G667" s="3" t="s">
        <v>45</v>
      </c>
      <c r="H667" s="3" t="s">
        <v>43</v>
      </c>
      <c r="I667" s="3">
        <v>1</v>
      </c>
      <c r="J667" s="3">
        <v>4050</v>
      </c>
      <c r="K667" s="3">
        <v>4500</v>
      </c>
      <c r="L667" s="3">
        <v>27</v>
      </c>
      <c r="M667">
        <f>Table1[[#This Row],[Qty]]*Table1[[#This Row],[Sales Price]]</f>
        <v>121500</v>
      </c>
      <c r="N667">
        <f>Table1[[#This Row],[Qty]]*Table1[[#This Row],[Cost]]</f>
        <v>109350</v>
      </c>
      <c r="O667">
        <f>Table1[[#This Row],[Revenue]]-Table1[[#This Row],[Total Cost]]</f>
        <v>12150</v>
      </c>
    </row>
    <row r="668" spans="1:15" x14ac:dyDescent="0.55000000000000004">
      <c r="A668" s="3">
        <v>667</v>
      </c>
      <c r="B668" s="4">
        <v>45169</v>
      </c>
      <c r="C668" s="4" t="str">
        <f>TEXT(Table1[[#This Row],[Date]],"YYYY")</f>
        <v>2023</v>
      </c>
      <c r="D668" s="4" t="str">
        <f>TEXT(Table1[[#This Row],[Date]],"MMM")</f>
        <v>Aug</v>
      </c>
      <c r="E668" s="5" t="s">
        <v>56</v>
      </c>
      <c r="F668" s="3" t="s">
        <v>18</v>
      </c>
      <c r="G668" s="3" t="s">
        <v>47</v>
      </c>
      <c r="H668" s="3" t="s">
        <v>43</v>
      </c>
      <c r="I668" s="3">
        <v>1</v>
      </c>
      <c r="J668" s="3">
        <v>4950</v>
      </c>
      <c r="K668" s="3">
        <v>5500</v>
      </c>
      <c r="L668" s="3">
        <v>15</v>
      </c>
      <c r="M668">
        <f>Table1[[#This Row],[Qty]]*Table1[[#This Row],[Sales Price]]</f>
        <v>82500</v>
      </c>
      <c r="N668">
        <f>Table1[[#This Row],[Qty]]*Table1[[#This Row],[Cost]]</f>
        <v>74250</v>
      </c>
      <c r="O668">
        <f>Table1[[#This Row],[Revenue]]-Table1[[#This Row],[Total Cost]]</f>
        <v>8250</v>
      </c>
    </row>
    <row r="669" spans="1:15" x14ac:dyDescent="0.55000000000000004">
      <c r="A669" s="3">
        <v>668</v>
      </c>
      <c r="B669" s="4">
        <v>45170</v>
      </c>
      <c r="C669" s="4" t="str">
        <f>TEXT(Table1[[#This Row],[Date]],"YYYY")</f>
        <v>2023</v>
      </c>
      <c r="D669" s="4" t="str">
        <f>TEXT(Table1[[#This Row],[Date]],"MMM")</f>
        <v>Sep</v>
      </c>
      <c r="E669" s="5" t="s">
        <v>14</v>
      </c>
      <c r="F669" s="3" t="s">
        <v>15</v>
      </c>
      <c r="G669" s="3" t="s">
        <v>44</v>
      </c>
      <c r="H669" s="3" t="s">
        <v>43</v>
      </c>
      <c r="I669" s="3">
        <v>1</v>
      </c>
      <c r="J669" s="3">
        <v>3150</v>
      </c>
      <c r="K669" s="3">
        <v>3500</v>
      </c>
      <c r="L669" s="3">
        <v>3</v>
      </c>
      <c r="M669">
        <f>Table1[[#This Row],[Qty]]*Table1[[#This Row],[Sales Price]]</f>
        <v>10500</v>
      </c>
      <c r="N669">
        <f>Table1[[#This Row],[Qty]]*Table1[[#This Row],[Cost]]</f>
        <v>9450</v>
      </c>
      <c r="O669">
        <f>Table1[[#This Row],[Revenue]]-Table1[[#This Row],[Total Cost]]</f>
        <v>1050</v>
      </c>
    </row>
    <row r="670" spans="1:15" x14ac:dyDescent="0.55000000000000004">
      <c r="A670" s="3">
        <v>669</v>
      </c>
      <c r="B670" s="4">
        <v>45171</v>
      </c>
      <c r="C670" s="4" t="str">
        <f>TEXT(Table1[[#This Row],[Date]],"YYYY")</f>
        <v>2023</v>
      </c>
      <c r="D670" s="4" t="str">
        <f>TEXT(Table1[[#This Row],[Date]],"MMM")</f>
        <v>Sep</v>
      </c>
      <c r="E670" s="5" t="s">
        <v>39</v>
      </c>
      <c r="F670" s="3" t="s">
        <v>18</v>
      </c>
      <c r="G670" s="3" t="s">
        <v>45</v>
      </c>
      <c r="H670" s="3" t="s">
        <v>43</v>
      </c>
      <c r="I670" s="3">
        <v>1</v>
      </c>
      <c r="J670" s="3">
        <v>2700</v>
      </c>
      <c r="K670" s="3">
        <v>3000</v>
      </c>
      <c r="L670" s="3">
        <v>9</v>
      </c>
      <c r="M670">
        <f>Table1[[#This Row],[Qty]]*Table1[[#This Row],[Sales Price]]</f>
        <v>27000</v>
      </c>
      <c r="N670">
        <f>Table1[[#This Row],[Qty]]*Table1[[#This Row],[Cost]]</f>
        <v>24300</v>
      </c>
      <c r="O670">
        <f>Table1[[#This Row],[Revenue]]-Table1[[#This Row],[Total Cost]]</f>
        <v>2700</v>
      </c>
    </row>
    <row r="671" spans="1:15" x14ac:dyDescent="0.55000000000000004">
      <c r="A671" s="3">
        <v>670</v>
      </c>
      <c r="B671" s="4">
        <v>45172</v>
      </c>
      <c r="C671" s="4" t="str">
        <f>TEXT(Table1[[#This Row],[Date]],"YYYY")</f>
        <v>2023</v>
      </c>
      <c r="D671" s="4" t="str">
        <f>TEXT(Table1[[#This Row],[Date]],"MMM")</f>
        <v>Sep</v>
      </c>
      <c r="E671" s="5" t="s">
        <v>50</v>
      </c>
      <c r="F671" s="3" t="s">
        <v>15</v>
      </c>
      <c r="G671" s="3" t="s">
        <v>47</v>
      </c>
      <c r="H671" s="3" t="s">
        <v>43</v>
      </c>
      <c r="I671" s="3">
        <v>1</v>
      </c>
      <c r="J671" s="3">
        <v>4050</v>
      </c>
      <c r="K671" s="3">
        <v>4500</v>
      </c>
      <c r="L671" s="3">
        <v>22</v>
      </c>
      <c r="M671">
        <f>Table1[[#This Row],[Qty]]*Table1[[#This Row],[Sales Price]]</f>
        <v>99000</v>
      </c>
      <c r="N671">
        <f>Table1[[#This Row],[Qty]]*Table1[[#This Row],[Cost]]</f>
        <v>89100</v>
      </c>
      <c r="O671">
        <f>Table1[[#This Row],[Revenue]]-Table1[[#This Row],[Total Cost]]</f>
        <v>9900</v>
      </c>
    </row>
    <row r="672" spans="1:15" x14ac:dyDescent="0.55000000000000004">
      <c r="A672" s="3">
        <v>671</v>
      </c>
      <c r="B672" s="4">
        <v>45173</v>
      </c>
      <c r="C672" s="4" t="str">
        <f>TEXT(Table1[[#This Row],[Date]],"YYYY")</f>
        <v>2023</v>
      </c>
      <c r="D672" s="4" t="str">
        <f>TEXT(Table1[[#This Row],[Date]],"MMM")</f>
        <v>Sep</v>
      </c>
      <c r="E672" s="5" t="s">
        <v>58</v>
      </c>
      <c r="F672" s="3" t="s">
        <v>18</v>
      </c>
      <c r="G672" s="3" t="s">
        <v>44</v>
      </c>
      <c r="H672" s="3" t="s">
        <v>43</v>
      </c>
      <c r="I672" s="3">
        <v>1</v>
      </c>
      <c r="J672" s="3">
        <v>8280</v>
      </c>
      <c r="K672" s="3">
        <v>9200</v>
      </c>
      <c r="L672" s="3">
        <v>16</v>
      </c>
      <c r="M672">
        <f>Table1[[#This Row],[Qty]]*Table1[[#This Row],[Sales Price]]</f>
        <v>147200</v>
      </c>
      <c r="N672">
        <f>Table1[[#This Row],[Qty]]*Table1[[#This Row],[Cost]]</f>
        <v>132480</v>
      </c>
      <c r="O672">
        <f>Table1[[#This Row],[Revenue]]-Table1[[#This Row],[Total Cost]]</f>
        <v>14720</v>
      </c>
    </row>
    <row r="673" spans="1:15" x14ac:dyDescent="0.55000000000000004">
      <c r="A673" s="3">
        <v>672</v>
      </c>
      <c r="B673" s="4">
        <v>45174</v>
      </c>
      <c r="C673" s="4" t="str">
        <f>TEXT(Table1[[#This Row],[Date]],"YYYY")</f>
        <v>2023</v>
      </c>
      <c r="D673" s="4" t="str">
        <f>TEXT(Table1[[#This Row],[Date]],"MMM")</f>
        <v>Sep</v>
      </c>
      <c r="E673" s="5" t="s">
        <v>31</v>
      </c>
      <c r="F673" s="3" t="s">
        <v>15</v>
      </c>
      <c r="G673" s="3" t="s">
        <v>45</v>
      </c>
      <c r="H673" s="3" t="s">
        <v>43</v>
      </c>
      <c r="I673" s="3"/>
      <c r="J673" s="3">
        <v>4950</v>
      </c>
      <c r="K673" s="3">
        <v>5500</v>
      </c>
      <c r="L673" s="3">
        <v>6</v>
      </c>
      <c r="M673">
        <f>Table1[[#This Row],[Qty]]*Table1[[#This Row],[Sales Price]]</f>
        <v>33000</v>
      </c>
      <c r="N673">
        <f>Table1[[#This Row],[Qty]]*Table1[[#This Row],[Cost]]</f>
        <v>29700</v>
      </c>
      <c r="O673">
        <f>Table1[[#This Row],[Revenue]]-Table1[[#This Row],[Total Cost]]</f>
        <v>3300</v>
      </c>
    </row>
    <row r="674" spans="1:15" x14ac:dyDescent="0.55000000000000004">
      <c r="A674" s="3">
        <v>673</v>
      </c>
      <c r="B674" s="4">
        <v>45175</v>
      </c>
      <c r="C674" s="4" t="str">
        <f>TEXT(Table1[[#This Row],[Date]],"YYYY")</f>
        <v>2023</v>
      </c>
      <c r="D674" s="4" t="str">
        <f>TEXT(Table1[[#This Row],[Date]],"MMM")</f>
        <v>Sep</v>
      </c>
      <c r="E674" s="5" t="s">
        <v>63</v>
      </c>
      <c r="F674" s="3" t="s">
        <v>18</v>
      </c>
      <c r="G674" s="3" t="s">
        <v>47</v>
      </c>
      <c r="H674" s="3" t="s">
        <v>43</v>
      </c>
      <c r="I674" s="3"/>
      <c r="J674" s="3">
        <v>3150</v>
      </c>
      <c r="K674" s="3">
        <v>3500</v>
      </c>
      <c r="L674" s="3">
        <v>3</v>
      </c>
      <c r="M674">
        <f>Table1[[#This Row],[Qty]]*Table1[[#This Row],[Sales Price]]</f>
        <v>10500</v>
      </c>
      <c r="N674">
        <f>Table1[[#This Row],[Qty]]*Table1[[#This Row],[Cost]]</f>
        <v>9450</v>
      </c>
      <c r="O674">
        <f>Table1[[#This Row],[Revenue]]-Table1[[#This Row],[Total Cost]]</f>
        <v>1050</v>
      </c>
    </row>
    <row r="675" spans="1:15" x14ac:dyDescent="0.55000000000000004">
      <c r="A675" s="3">
        <v>674</v>
      </c>
      <c r="B675" s="4">
        <v>45176</v>
      </c>
      <c r="C675" s="4" t="str">
        <f>TEXT(Table1[[#This Row],[Date]],"YYYY")</f>
        <v>2023</v>
      </c>
      <c r="D675" s="4" t="str">
        <f>TEXT(Table1[[#This Row],[Date]],"MMM")</f>
        <v>Sep</v>
      </c>
      <c r="E675" s="5" t="s">
        <v>39</v>
      </c>
      <c r="F675" s="3" t="s">
        <v>15</v>
      </c>
      <c r="G675" s="3" t="s">
        <v>44</v>
      </c>
      <c r="H675" s="3" t="s">
        <v>43</v>
      </c>
      <c r="I675" s="3">
        <v>1</v>
      </c>
      <c r="J675" s="3">
        <v>2700</v>
      </c>
      <c r="K675" s="3">
        <v>3000</v>
      </c>
      <c r="L675" s="3">
        <v>5</v>
      </c>
      <c r="M675">
        <f>Table1[[#This Row],[Qty]]*Table1[[#This Row],[Sales Price]]</f>
        <v>15000</v>
      </c>
      <c r="N675">
        <f>Table1[[#This Row],[Qty]]*Table1[[#This Row],[Cost]]</f>
        <v>13500</v>
      </c>
      <c r="O675">
        <f>Table1[[#This Row],[Revenue]]-Table1[[#This Row],[Total Cost]]</f>
        <v>1500</v>
      </c>
    </row>
    <row r="676" spans="1:15" x14ac:dyDescent="0.55000000000000004">
      <c r="A676" s="3">
        <v>675</v>
      </c>
      <c r="B676" s="4">
        <v>45177</v>
      </c>
      <c r="C676" s="4" t="str">
        <f>TEXT(Table1[[#This Row],[Date]],"YYYY")</f>
        <v>2023</v>
      </c>
      <c r="D676" s="4" t="str">
        <f>TEXT(Table1[[#This Row],[Date]],"MMM")</f>
        <v>Sep</v>
      </c>
      <c r="E676" s="5" t="s">
        <v>22</v>
      </c>
      <c r="F676" s="3" t="s">
        <v>18</v>
      </c>
      <c r="G676" s="3" t="s">
        <v>45</v>
      </c>
      <c r="H676" s="3" t="s">
        <v>43</v>
      </c>
      <c r="I676" s="3">
        <v>1</v>
      </c>
      <c r="J676" s="3">
        <v>4050</v>
      </c>
      <c r="K676" s="3">
        <v>4500</v>
      </c>
      <c r="L676" s="3">
        <v>1</v>
      </c>
      <c r="M676">
        <f>Table1[[#This Row],[Qty]]*Table1[[#This Row],[Sales Price]]</f>
        <v>4500</v>
      </c>
      <c r="N676">
        <f>Table1[[#This Row],[Qty]]*Table1[[#This Row],[Cost]]</f>
        <v>4050</v>
      </c>
      <c r="O676">
        <f>Table1[[#This Row],[Revenue]]-Table1[[#This Row],[Total Cost]]</f>
        <v>450</v>
      </c>
    </row>
    <row r="677" spans="1:15" x14ac:dyDescent="0.55000000000000004">
      <c r="A677" s="3">
        <v>676</v>
      </c>
      <c r="B677" s="4">
        <v>45178</v>
      </c>
      <c r="C677" s="4" t="str">
        <f>TEXT(Table1[[#This Row],[Date]],"YYYY")</f>
        <v>2023</v>
      </c>
      <c r="D677" s="4" t="str">
        <f>TEXT(Table1[[#This Row],[Date]],"MMM")</f>
        <v>Sep</v>
      </c>
      <c r="E677" s="5" t="s">
        <v>50</v>
      </c>
      <c r="F677" s="3" t="s">
        <v>15</v>
      </c>
      <c r="G677" s="3" t="s">
        <v>47</v>
      </c>
      <c r="H677" s="3" t="s">
        <v>43</v>
      </c>
      <c r="I677" s="3">
        <v>1</v>
      </c>
      <c r="J677" s="3">
        <v>8280</v>
      </c>
      <c r="K677" s="3">
        <v>9200</v>
      </c>
      <c r="L677" s="3">
        <v>5</v>
      </c>
      <c r="M677">
        <f>Table1[[#This Row],[Qty]]*Table1[[#This Row],[Sales Price]]</f>
        <v>46000</v>
      </c>
      <c r="N677">
        <f>Table1[[#This Row],[Qty]]*Table1[[#This Row],[Cost]]</f>
        <v>41400</v>
      </c>
      <c r="O677">
        <f>Table1[[#This Row],[Revenue]]-Table1[[#This Row],[Total Cost]]</f>
        <v>4600</v>
      </c>
    </row>
    <row r="678" spans="1:15" x14ac:dyDescent="0.55000000000000004">
      <c r="A678" s="3">
        <v>677</v>
      </c>
      <c r="B678" s="4">
        <v>45179</v>
      </c>
      <c r="C678" s="4" t="str">
        <f>TEXT(Table1[[#This Row],[Date]],"YYYY")</f>
        <v>2023</v>
      </c>
      <c r="D678" s="4" t="str">
        <f>TEXT(Table1[[#This Row],[Date]],"MMM")</f>
        <v>Sep</v>
      </c>
      <c r="E678" s="5" t="s">
        <v>14</v>
      </c>
      <c r="F678" s="3" t="s">
        <v>18</v>
      </c>
      <c r="G678" s="3" t="s">
        <v>44</v>
      </c>
      <c r="H678" s="3" t="s">
        <v>43</v>
      </c>
      <c r="I678" s="3">
        <v>1</v>
      </c>
      <c r="J678" s="3">
        <v>4950</v>
      </c>
      <c r="K678" s="3">
        <v>5500</v>
      </c>
      <c r="L678" s="3">
        <v>7</v>
      </c>
      <c r="M678">
        <f>Table1[[#This Row],[Qty]]*Table1[[#This Row],[Sales Price]]</f>
        <v>38500</v>
      </c>
      <c r="N678">
        <f>Table1[[#This Row],[Qty]]*Table1[[#This Row],[Cost]]</f>
        <v>34650</v>
      </c>
      <c r="O678">
        <f>Table1[[#This Row],[Revenue]]-Table1[[#This Row],[Total Cost]]</f>
        <v>3850</v>
      </c>
    </row>
    <row r="679" spans="1:15" x14ac:dyDescent="0.55000000000000004">
      <c r="A679" s="3">
        <v>678</v>
      </c>
      <c r="B679" s="4">
        <v>45180</v>
      </c>
      <c r="C679" s="4" t="str">
        <f>TEXT(Table1[[#This Row],[Date]],"YYYY")</f>
        <v>2023</v>
      </c>
      <c r="D679" s="4" t="str">
        <f>TEXT(Table1[[#This Row],[Date]],"MMM")</f>
        <v>Sep</v>
      </c>
      <c r="E679" s="5" t="s">
        <v>22</v>
      </c>
      <c r="F679" s="3" t="s">
        <v>15</v>
      </c>
      <c r="G679" s="3" t="s">
        <v>45</v>
      </c>
      <c r="H679" s="3" t="s">
        <v>43</v>
      </c>
      <c r="I679" s="3">
        <v>1</v>
      </c>
      <c r="J679" s="3">
        <v>3150</v>
      </c>
      <c r="K679" s="3">
        <v>3500</v>
      </c>
      <c r="L679" s="3">
        <v>4</v>
      </c>
      <c r="M679">
        <f>Table1[[#This Row],[Qty]]*Table1[[#This Row],[Sales Price]]</f>
        <v>14000</v>
      </c>
      <c r="N679">
        <f>Table1[[#This Row],[Qty]]*Table1[[#This Row],[Cost]]</f>
        <v>12600</v>
      </c>
      <c r="O679">
        <f>Table1[[#This Row],[Revenue]]-Table1[[#This Row],[Total Cost]]</f>
        <v>1400</v>
      </c>
    </row>
    <row r="680" spans="1:15" x14ac:dyDescent="0.55000000000000004">
      <c r="A680" s="3">
        <v>679</v>
      </c>
      <c r="B680" s="4">
        <v>45181</v>
      </c>
      <c r="C680" s="4" t="str">
        <f>TEXT(Table1[[#This Row],[Date]],"YYYY")</f>
        <v>2023</v>
      </c>
      <c r="D680" s="4" t="str">
        <f>TEXT(Table1[[#This Row],[Date]],"MMM")</f>
        <v>Sep</v>
      </c>
      <c r="E680" s="5" t="s">
        <v>56</v>
      </c>
      <c r="F680" s="3" t="s">
        <v>18</v>
      </c>
      <c r="G680" s="3" t="s">
        <v>47</v>
      </c>
      <c r="H680" s="3" t="s">
        <v>43</v>
      </c>
      <c r="I680" s="3">
        <v>1</v>
      </c>
      <c r="J680" s="3">
        <v>2700</v>
      </c>
      <c r="K680" s="3">
        <v>3000</v>
      </c>
      <c r="L680" s="3">
        <v>8</v>
      </c>
      <c r="M680">
        <f>Table1[[#This Row],[Qty]]*Table1[[#This Row],[Sales Price]]</f>
        <v>24000</v>
      </c>
      <c r="N680">
        <f>Table1[[#This Row],[Qty]]*Table1[[#This Row],[Cost]]</f>
        <v>21600</v>
      </c>
      <c r="O680">
        <f>Table1[[#This Row],[Revenue]]-Table1[[#This Row],[Total Cost]]</f>
        <v>2400</v>
      </c>
    </row>
    <row r="681" spans="1:15" x14ac:dyDescent="0.55000000000000004">
      <c r="A681" s="3">
        <v>680</v>
      </c>
      <c r="B681" s="4">
        <v>45182</v>
      </c>
      <c r="C681" s="4" t="str">
        <f>TEXT(Table1[[#This Row],[Date]],"YYYY")</f>
        <v>2023</v>
      </c>
      <c r="D681" s="4" t="str">
        <f>TEXT(Table1[[#This Row],[Date]],"MMM")</f>
        <v>Sep</v>
      </c>
      <c r="E681" s="5" t="s">
        <v>14</v>
      </c>
      <c r="F681" s="3" t="s">
        <v>15</v>
      </c>
      <c r="G681" s="3" t="s">
        <v>44</v>
      </c>
      <c r="H681" s="3" t="s">
        <v>43</v>
      </c>
      <c r="I681" s="3">
        <v>1</v>
      </c>
      <c r="J681" s="3">
        <v>4050</v>
      </c>
      <c r="K681" s="3">
        <v>6000</v>
      </c>
      <c r="L681" s="3">
        <v>8</v>
      </c>
      <c r="M681">
        <f>Table1[[#This Row],[Qty]]*Table1[[#This Row],[Sales Price]]</f>
        <v>48000</v>
      </c>
      <c r="N681">
        <f>Table1[[#This Row],[Qty]]*Table1[[#This Row],[Cost]]</f>
        <v>32400</v>
      </c>
      <c r="O681">
        <f>Table1[[#This Row],[Revenue]]-Table1[[#This Row],[Total Cost]]</f>
        <v>15600</v>
      </c>
    </row>
    <row r="682" spans="1:15" x14ac:dyDescent="0.55000000000000004">
      <c r="A682" s="3">
        <v>681</v>
      </c>
      <c r="B682" s="4">
        <v>45183</v>
      </c>
      <c r="C682" s="4" t="str">
        <f>TEXT(Table1[[#This Row],[Date]],"YYYY")</f>
        <v>2023</v>
      </c>
      <c r="D682" s="4" t="str">
        <f>TEXT(Table1[[#This Row],[Date]],"MMM")</f>
        <v>Sep</v>
      </c>
      <c r="E682" s="5" t="s">
        <v>39</v>
      </c>
      <c r="F682" s="3" t="s">
        <v>18</v>
      </c>
      <c r="G682" s="3" t="s">
        <v>45</v>
      </c>
      <c r="H682" s="3" t="s">
        <v>43</v>
      </c>
      <c r="I682" s="3">
        <v>1</v>
      </c>
      <c r="J682" s="3">
        <v>4200</v>
      </c>
      <c r="K682" s="3">
        <v>6000</v>
      </c>
      <c r="L682" s="3">
        <v>9</v>
      </c>
      <c r="M682">
        <f>Table1[[#This Row],[Qty]]*Table1[[#This Row],[Sales Price]]</f>
        <v>54000</v>
      </c>
      <c r="N682">
        <f>Table1[[#This Row],[Qty]]*Table1[[#This Row],[Cost]]</f>
        <v>37800</v>
      </c>
      <c r="O682">
        <f>Table1[[#This Row],[Revenue]]-Table1[[#This Row],[Total Cost]]</f>
        <v>16200</v>
      </c>
    </row>
    <row r="683" spans="1:15" x14ac:dyDescent="0.55000000000000004">
      <c r="A683" s="3">
        <v>682</v>
      </c>
      <c r="B683" s="4">
        <v>45184</v>
      </c>
      <c r="C683" s="4" t="str">
        <f>TEXT(Table1[[#This Row],[Date]],"YYYY")</f>
        <v>2023</v>
      </c>
      <c r="D683" s="4" t="str">
        <f>TEXT(Table1[[#This Row],[Date]],"MMM")</f>
        <v>Sep</v>
      </c>
      <c r="E683" s="5" t="s">
        <v>50</v>
      </c>
      <c r="F683" s="3" t="s">
        <v>15</v>
      </c>
      <c r="G683" s="3" t="s">
        <v>47</v>
      </c>
      <c r="H683" s="3" t="s">
        <v>43</v>
      </c>
      <c r="I683" s="3">
        <v>1</v>
      </c>
      <c r="J683" s="3">
        <v>4650</v>
      </c>
      <c r="K683" s="3">
        <v>6000</v>
      </c>
      <c r="L683" s="3">
        <v>2</v>
      </c>
      <c r="M683">
        <f>Table1[[#This Row],[Qty]]*Table1[[#This Row],[Sales Price]]</f>
        <v>12000</v>
      </c>
      <c r="N683">
        <f>Table1[[#This Row],[Qty]]*Table1[[#This Row],[Cost]]</f>
        <v>9300</v>
      </c>
      <c r="O683">
        <f>Table1[[#This Row],[Revenue]]-Table1[[#This Row],[Total Cost]]</f>
        <v>2700</v>
      </c>
    </row>
    <row r="684" spans="1:15" x14ac:dyDescent="0.55000000000000004">
      <c r="A684" s="3">
        <v>683</v>
      </c>
      <c r="B684" s="4">
        <v>45185</v>
      </c>
      <c r="C684" s="4" t="str">
        <f>TEXT(Table1[[#This Row],[Date]],"YYYY")</f>
        <v>2023</v>
      </c>
      <c r="D684" s="4" t="str">
        <f>TEXT(Table1[[#This Row],[Date]],"MMM")</f>
        <v>Sep</v>
      </c>
      <c r="E684" s="5" t="s">
        <v>50</v>
      </c>
      <c r="F684" s="3" t="s">
        <v>18</v>
      </c>
      <c r="G684" s="3" t="s">
        <v>44</v>
      </c>
      <c r="H684" s="3" t="s">
        <v>43</v>
      </c>
      <c r="I684" s="3">
        <v>1</v>
      </c>
      <c r="J684" s="3">
        <v>5100</v>
      </c>
      <c r="K684" s="3">
        <v>6000</v>
      </c>
      <c r="L684" s="3">
        <v>1</v>
      </c>
      <c r="M684">
        <f>Table1[[#This Row],[Qty]]*Table1[[#This Row],[Sales Price]]</f>
        <v>6000</v>
      </c>
      <c r="N684">
        <f>Table1[[#This Row],[Qty]]*Table1[[#This Row],[Cost]]</f>
        <v>5100</v>
      </c>
      <c r="O684">
        <f>Table1[[#This Row],[Revenue]]-Table1[[#This Row],[Total Cost]]</f>
        <v>900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C8860-AE14-4D82-8810-190CDDB77F78}">
  <dimension ref="A1:J40"/>
  <sheetViews>
    <sheetView topLeftCell="A22" workbookViewId="0">
      <selection activeCell="F37" sqref="F37:F38"/>
    </sheetView>
  </sheetViews>
  <sheetFormatPr defaultRowHeight="14.4" x14ac:dyDescent="0.55000000000000004"/>
  <cols>
    <col min="2" max="2" width="13.20703125" customWidth="1"/>
  </cols>
  <sheetData>
    <row r="1" spans="1:2" x14ac:dyDescent="0.55000000000000004">
      <c r="A1" s="27" t="s">
        <v>84</v>
      </c>
      <c r="B1" t="s">
        <v>85</v>
      </c>
    </row>
    <row r="2" spans="1:2" x14ac:dyDescent="0.55000000000000004">
      <c r="A2" s="27"/>
      <c r="B2" t="s">
        <v>86</v>
      </c>
    </row>
    <row r="3" spans="1:2" x14ac:dyDescent="0.55000000000000004">
      <c r="A3" s="27"/>
      <c r="B3" t="s">
        <v>87</v>
      </c>
    </row>
    <row r="6" spans="1:2" x14ac:dyDescent="0.55000000000000004">
      <c r="A6" s="27" t="s">
        <v>88</v>
      </c>
      <c r="B6" t="s">
        <v>89</v>
      </c>
    </row>
    <row r="7" spans="1:2" x14ac:dyDescent="0.55000000000000004">
      <c r="A7" s="27"/>
      <c r="B7" t="s">
        <v>90</v>
      </c>
    </row>
    <row r="10" spans="1:2" x14ac:dyDescent="0.55000000000000004">
      <c r="A10" s="27" t="s">
        <v>91</v>
      </c>
      <c r="B10" t="s">
        <v>92</v>
      </c>
    </row>
    <row r="11" spans="1:2" x14ac:dyDescent="0.55000000000000004">
      <c r="A11" s="27"/>
      <c r="B11" t="s">
        <v>93</v>
      </c>
    </row>
    <row r="12" spans="1:2" x14ac:dyDescent="0.55000000000000004">
      <c r="A12" s="27"/>
      <c r="B12" t="s">
        <v>94</v>
      </c>
    </row>
    <row r="13" spans="1:2" x14ac:dyDescent="0.55000000000000004">
      <c r="A13" s="27"/>
      <c r="B13" t="s">
        <v>95</v>
      </c>
    </row>
    <row r="14" spans="1:2" x14ac:dyDescent="0.55000000000000004">
      <c r="A14" s="27"/>
      <c r="B14" t="s">
        <v>5</v>
      </c>
    </row>
    <row r="15" spans="1:2" x14ac:dyDescent="0.55000000000000004">
      <c r="A15" s="27"/>
      <c r="B15" t="s">
        <v>96</v>
      </c>
    </row>
    <row r="19" spans="1:10" x14ac:dyDescent="0.55000000000000004">
      <c r="A19" s="28" t="s">
        <v>97</v>
      </c>
      <c r="B19" t="s">
        <v>98</v>
      </c>
    </row>
    <row r="20" spans="1:10" x14ac:dyDescent="0.55000000000000004">
      <c r="A20" s="28"/>
      <c r="B20" t="s">
        <v>99</v>
      </c>
    </row>
    <row r="21" spans="1:10" x14ac:dyDescent="0.55000000000000004">
      <c r="A21" s="28"/>
      <c r="B21" t="s">
        <v>100</v>
      </c>
    </row>
    <row r="22" spans="1:10" x14ac:dyDescent="0.55000000000000004">
      <c r="A22" s="28"/>
      <c r="B22" t="s">
        <v>101</v>
      </c>
    </row>
    <row r="23" spans="1:10" x14ac:dyDescent="0.55000000000000004">
      <c r="A23" s="28"/>
      <c r="B23" t="s">
        <v>102</v>
      </c>
    </row>
    <row r="24" spans="1:10" x14ac:dyDescent="0.55000000000000004">
      <c r="A24" s="28"/>
      <c r="B24" t="s">
        <v>103</v>
      </c>
    </row>
    <row r="25" spans="1:10" x14ac:dyDescent="0.55000000000000004">
      <c r="A25" s="28"/>
      <c r="B25" t="s">
        <v>104</v>
      </c>
    </row>
    <row r="26" spans="1:10" x14ac:dyDescent="0.55000000000000004">
      <c r="A26" s="28"/>
      <c r="B26" t="s">
        <v>105</v>
      </c>
    </row>
    <row r="27" spans="1:10" x14ac:dyDescent="0.55000000000000004">
      <c r="A27" s="28"/>
      <c r="B27" t="s">
        <v>106</v>
      </c>
    </row>
    <row r="31" spans="1:10" x14ac:dyDescent="0.55000000000000004">
      <c r="C31" s="8"/>
      <c r="D31" s="8" t="s">
        <v>107</v>
      </c>
      <c r="E31" s="8" t="s">
        <v>108</v>
      </c>
      <c r="F31" s="8" t="s">
        <v>109</v>
      </c>
      <c r="G31" s="8" t="s">
        <v>108</v>
      </c>
      <c r="H31" s="8"/>
    </row>
    <row r="32" spans="1:10" x14ac:dyDescent="0.55000000000000004">
      <c r="C32" s="9" t="s">
        <v>110</v>
      </c>
      <c r="D32" s="18" t="s">
        <v>111</v>
      </c>
      <c r="E32" s="19"/>
      <c r="F32" s="16" t="s">
        <v>11</v>
      </c>
      <c r="G32" s="16" t="s">
        <v>76</v>
      </c>
      <c r="H32" s="16" t="s">
        <v>112</v>
      </c>
      <c r="J32" t="s">
        <v>118</v>
      </c>
    </row>
    <row r="33" spans="3:8" x14ac:dyDescent="0.55000000000000004">
      <c r="C33" s="10"/>
      <c r="D33" s="22"/>
      <c r="E33" s="23"/>
      <c r="F33" s="17"/>
      <c r="G33" s="17"/>
      <c r="H33" s="17"/>
    </row>
    <row r="34" spans="3:8" x14ac:dyDescent="0.55000000000000004">
      <c r="C34" s="9" t="s">
        <v>110</v>
      </c>
      <c r="D34" s="11"/>
      <c r="E34" s="11"/>
      <c r="F34" s="11"/>
      <c r="G34" s="11"/>
      <c r="H34" s="11"/>
    </row>
    <row r="35" spans="3:8" x14ac:dyDescent="0.55000000000000004">
      <c r="C35" s="12"/>
      <c r="D35" s="18" t="s">
        <v>113</v>
      </c>
      <c r="E35" s="19"/>
      <c r="F35" s="16" t="s">
        <v>114</v>
      </c>
      <c r="G35" s="18" t="s">
        <v>115</v>
      </c>
      <c r="H35" s="19"/>
    </row>
    <row r="36" spans="3:8" x14ac:dyDescent="0.55000000000000004">
      <c r="C36" s="9" t="s">
        <v>110</v>
      </c>
      <c r="D36" s="20"/>
      <c r="E36" s="21"/>
      <c r="F36" s="17"/>
      <c r="G36" s="20"/>
      <c r="H36" s="21"/>
    </row>
    <row r="37" spans="3:8" x14ac:dyDescent="0.55000000000000004">
      <c r="C37" s="12"/>
      <c r="D37" s="20"/>
      <c r="E37" s="21"/>
      <c r="F37" s="16" t="s">
        <v>116</v>
      </c>
      <c r="G37" s="20"/>
      <c r="H37" s="21"/>
    </row>
    <row r="38" spans="3:8" x14ac:dyDescent="0.55000000000000004">
      <c r="C38" s="9" t="s">
        <v>110</v>
      </c>
      <c r="D38" s="22"/>
      <c r="E38" s="23"/>
      <c r="F38" s="17"/>
      <c r="G38" s="20"/>
      <c r="H38" s="21"/>
    </row>
    <row r="39" spans="3:8" x14ac:dyDescent="0.55000000000000004">
      <c r="C39" s="12"/>
      <c r="D39" s="11"/>
      <c r="E39" s="11"/>
      <c r="F39" s="11"/>
      <c r="G39" s="20"/>
      <c r="H39" s="21"/>
    </row>
    <row r="40" spans="3:8" x14ac:dyDescent="0.55000000000000004">
      <c r="C40" s="13"/>
      <c r="D40" s="24" t="s">
        <v>117</v>
      </c>
      <c r="E40" s="25"/>
      <c r="F40" s="26"/>
      <c r="G40" s="22"/>
      <c r="H40" s="23"/>
    </row>
  </sheetData>
  <mergeCells count="13">
    <mergeCell ref="A1:A3"/>
    <mergeCell ref="A6:A7"/>
    <mergeCell ref="A10:A15"/>
    <mergeCell ref="A19:A27"/>
    <mergeCell ref="D32:E33"/>
    <mergeCell ref="G32:G33"/>
    <mergeCell ref="H32:H33"/>
    <mergeCell ref="D35:E38"/>
    <mergeCell ref="F35:F36"/>
    <mergeCell ref="G35:H40"/>
    <mergeCell ref="F37:F38"/>
    <mergeCell ref="D40:F40"/>
    <mergeCell ref="F32:F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E429-2DAA-4616-973A-B805A0B17CE2}">
  <dimension ref="A1:V39"/>
  <sheetViews>
    <sheetView zoomScale="53" zoomScaleNormal="53" workbookViewId="0">
      <selection activeCell="Y16" sqref="Y16"/>
    </sheetView>
  </sheetViews>
  <sheetFormatPr defaultRowHeight="14.4" x14ac:dyDescent="0.55000000000000004"/>
  <sheetData>
    <row r="1" spans="1:22" x14ac:dyDescent="0.55000000000000004">
      <c r="A1" s="14"/>
      <c r="B1" s="14"/>
      <c r="C1" s="14"/>
      <c r="D1" s="14"/>
      <c r="E1" s="29" t="s">
        <v>119</v>
      </c>
      <c r="F1" s="29"/>
      <c r="G1" s="29"/>
      <c r="H1" s="29"/>
      <c r="I1" s="14"/>
      <c r="J1" s="14"/>
      <c r="K1" s="14"/>
      <c r="L1" s="14"/>
      <c r="M1" s="14"/>
      <c r="N1" s="14"/>
      <c r="O1" s="29" t="s">
        <v>120</v>
      </c>
      <c r="P1" s="29"/>
      <c r="Q1" s="29"/>
      <c r="R1" s="29"/>
      <c r="S1" s="14"/>
      <c r="T1" s="14"/>
      <c r="U1" s="14"/>
      <c r="V1" s="14"/>
    </row>
    <row r="2" spans="1:22" x14ac:dyDescent="0.55000000000000004">
      <c r="A2" s="14"/>
      <c r="B2" s="14"/>
      <c r="C2" s="14"/>
      <c r="D2" s="14"/>
      <c r="E2" s="29"/>
      <c r="F2" s="29"/>
      <c r="G2" s="29"/>
      <c r="H2" s="29"/>
      <c r="I2" s="14"/>
      <c r="J2" s="14"/>
      <c r="K2" s="14"/>
      <c r="L2" s="14"/>
      <c r="M2" s="14"/>
      <c r="N2" s="14"/>
      <c r="O2" s="29"/>
      <c r="P2" s="29"/>
      <c r="Q2" s="29"/>
      <c r="R2" s="29"/>
      <c r="S2" s="14"/>
      <c r="T2" s="14"/>
      <c r="U2" s="14"/>
      <c r="V2" s="14"/>
    </row>
    <row r="3" spans="1:22" x14ac:dyDescent="0.55000000000000004">
      <c r="A3" s="14"/>
      <c r="B3" s="14"/>
      <c r="C3" s="14"/>
      <c r="D3" s="14"/>
      <c r="E3" s="29"/>
      <c r="F3" s="29"/>
      <c r="G3" s="29"/>
      <c r="H3" s="29"/>
      <c r="I3" s="14"/>
      <c r="J3" s="14"/>
      <c r="K3" s="14"/>
      <c r="L3" s="14"/>
      <c r="M3" s="14"/>
      <c r="N3" s="14"/>
      <c r="O3" s="29"/>
      <c r="P3" s="29"/>
      <c r="Q3" s="29"/>
      <c r="R3" s="29"/>
      <c r="S3" s="14"/>
      <c r="T3" s="14"/>
      <c r="U3" s="14"/>
      <c r="V3" s="14"/>
    </row>
    <row r="4" spans="1:22" x14ac:dyDescent="0.55000000000000004">
      <c r="A4" s="14"/>
      <c r="B4" s="14"/>
      <c r="C4" s="15"/>
      <c r="D4" s="15"/>
      <c r="E4" s="15"/>
      <c r="F4" s="15"/>
      <c r="G4" s="15"/>
      <c r="H4" s="15"/>
      <c r="I4" s="15"/>
      <c r="J4" s="15"/>
      <c r="K4" s="15"/>
      <c r="L4" s="15"/>
      <c r="M4" s="15"/>
      <c r="N4" s="15"/>
      <c r="O4" s="15"/>
      <c r="P4" s="15"/>
      <c r="Q4" s="15"/>
      <c r="R4" s="15"/>
      <c r="S4" s="15"/>
      <c r="T4" s="15"/>
      <c r="U4" s="15"/>
      <c r="V4" s="15"/>
    </row>
    <row r="5" spans="1:22" x14ac:dyDescent="0.55000000000000004">
      <c r="A5" s="14"/>
      <c r="B5" s="14"/>
      <c r="C5" s="15"/>
      <c r="D5" s="15"/>
      <c r="E5" s="15"/>
      <c r="F5" s="15"/>
      <c r="G5" s="15"/>
      <c r="H5" s="15"/>
      <c r="I5" s="15"/>
      <c r="J5" s="15"/>
      <c r="K5" s="15"/>
      <c r="L5" s="15"/>
      <c r="M5" s="15"/>
      <c r="N5" s="15"/>
      <c r="O5" s="15"/>
      <c r="P5" s="15"/>
      <c r="Q5" s="15"/>
      <c r="R5" s="15"/>
      <c r="S5" s="15"/>
      <c r="T5" s="15"/>
      <c r="U5" s="15"/>
      <c r="V5" s="15"/>
    </row>
    <row r="6" spans="1:22" x14ac:dyDescent="0.55000000000000004">
      <c r="A6" s="14"/>
      <c r="B6" s="14"/>
      <c r="C6" s="15"/>
      <c r="D6" s="15"/>
      <c r="E6" s="15"/>
      <c r="F6" s="15"/>
      <c r="G6" s="15"/>
      <c r="H6" s="15"/>
      <c r="I6" s="15"/>
      <c r="J6" s="15"/>
      <c r="K6" s="15"/>
      <c r="L6" s="15"/>
      <c r="M6" s="15"/>
      <c r="N6" s="15"/>
      <c r="O6" s="15"/>
      <c r="P6" s="15"/>
      <c r="Q6" s="15"/>
      <c r="R6" s="15"/>
      <c r="S6" s="15"/>
      <c r="T6" s="15"/>
      <c r="U6" s="15"/>
      <c r="V6" s="15"/>
    </row>
    <row r="7" spans="1:22" x14ac:dyDescent="0.55000000000000004">
      <c r="A7" s="14"/>
      <c r="B7" s="14"/>
      <c r="C7" s="15"/>
      <c r="D7" s="15"/>
      <c r="E7" s="15"/>
      <c r="F7" s="15"/>
      <c r="G7" s="15"/>
      <c r="H7" s="15"/>
      <c r="I7" s="15"/>
      <c r="J7" s="15"/>
      <c r="K7" s="15"/>
      <c r="L7" s="15"/>
      <c r="M7" s="15"/>
      <c r="N7" s="15"/>
      <c r="O7" s="15"/>
      <c r="P7" s="15"/>
      <c r="Q7" s="15"/>
      <c r="R7" s="15"/>
      <c r="S7" s="15"/>
      <c r="T7" s="15"/>
      <c r="U7" s="15"/>
      <c r="V7" s="15"/>
    </row>
    <row r="8" spans="1:22" x14ac:dyDescent="0.55000000000000004">
      <c r="A8" s="14"/>
      <c r="B8" s="14"/>
      <c r="C8" s="15"/>
      <c r="D8" s="15"/>
      <c r="E8" s="15"/>
      <c r="F8" s="15"/>
      <c r="G8" s="15"/>
      <c r="H8" s="15"/>
      <c r="I8" s="15"/>
      <c r="J8" s="15"/>
      <c r="K8" s="15"/>
      <c r="L8" s="15"/>
      <c r="M8" s="15"/>
      <c r="N8" s="15"/>
      <c r="O8" s="15"/>
      <c r="P8" s="15"/>
      <c r="Q8" s="15"/>
      <c r="R8" s="15"/>
      <c r="S8" s="15"/>
      <c r="T8" s="15"/>
      <c r="U8" s="15"/>
      <c r="V8" s="15"/>
    </row>
    <row r="9" spans="1:22" x14ac:dyDescent="0.55000000000000004">
      <c r="A9" s="14"/>
      <c r="B9" s="14"/>
      <c r="C9" s="15"/>
      <c r="D9" s="15"/>
      <c r="E9" s="15"/>
      <c r="F9" s="15"/>
      <c r="G9" s="15"/>
      <c r="H9" s="15"/>
      <c r="I9" s="15"/>
      <c r="J9" s="15"/>
      <c r="K9" s="15"/>
      <c r="L9" s="15"/>
      <c r="M9" s="15"/>
      <c r="N9" s="15"/>
      <c r="O9" s="15"/>
      <c r="P9" s="15"/>
      <c r="Q9" s="15"/>
      <c r="R9" s="15"/>
      <c r="S9" s="15"/>
      <c r="T9" s="15"/>
      <c r="U9" s="15"/>
      <c r="V9" s="15"/>
    </row>
    <row r="10" spans="1:22" x14ac:dyDescent="0.55000000000000004">
      <c r="A10" s="14"/>
      <c r="B10" s="14"/>
      <c r="C10" s="15"/>
      <c r="D10" s="15"/>
      <c r="E10" s="15"/>
      <c r="F10" s="15"/>
      <c r="G10" s="15"/>
      <c r="H10" s="15"/>
      <c r="I10" s="15"/>
      <c r="J10" s="15"/>
      <c r="K10" s="15"/>
      <c r="L10" s="15"/>
      <c r="M10" s="15"/>
      <c r="N10" s="15"/>
      <c r="O10" s="15"/>
      <c r="P10" s="15"/>
      <c r="Q10" s="15"/>
      <c r="R10" s="15"/>
      <c r="S10" s="15"/>
      <c r="T10" s="15"/>
      <c r="U10" s="15"/>
      <c r="V10" s="15"/>
    </row>
    <row r="11" spans="1:22" x14ac:dyDescent="0.55000000000000004">
      <c r="A11" s="14"/>
      <c r="B11" s="14"/>
      <c r="C11" s="15"/>
      <c r="D11" s="15"/>
      <c r="E11" s="15"/>
      <c r="F11" s="15"/>
      <c r="G11" s="15"/>
      <c r="H11" s="15"/>
      <c r="I11" s="15"/>
      <c r="J11" s="15"/>
      <c r="K11" s="15"/>
      <c r="L11" s="15"/>
      <c r="M11" s="15"/>
      <c r="N11" s="15"/>
      <c r="O11" s="15"/>
      <c r="P11" s="15"/>
      <c r="Q11" s="15"/>
      <c r="R11" s="15"/>
      <c r="S11" s="15"/>
      <c r="T11" s="15"/>
      <c r="U11" s="15"/>
      <c r="V11" s="15"/>
    </row>
    <row r="12" spans="1:22" x14ac:dyDescent="0.55000000000000004">
      <c r="A12" s="14"/>
      <c r="B12" s="14"/>
      <c r="C12" s="15"/>
      <c r="D12" s="15"/>
      <c r="E12" s="15"/>
      <c r="F12" s="15"/>
      <c r="G12" s="15"/>
      <c r="H12" s="15"/>
      <c r="I12" s="15"/>
      <c r="J12" s="15"/>
      <c r="K12" s="15"/>
      <c r="L12" s="15"/>
      <c r="M12" s="15"/>
      <c r="N12" s="15"/>
      <c r="O12" s="15"/>
      <c r="P12" s="15"/>
      <c r="Q12" s="15"/>
      <c r="R12" s="15"/>
      <c r="S12" s="15"/>
      <c r="T12" s="15"/>
      <c r="U12" s="15"/>
      <c r="V12" s="15"/>
    </row>
    <row r="13" spans="1:22" x14ac:dyDescent="0.55000000000000004">
      <c r="A13" s="14"/>
      <c r="B13" s="14"/>
      <c r="C13" s="15"/>
      <c r="D13" s="15"/>
      <c r="E13" s="15"/>
      <c r="F13" s="15"/>
      <c r="G13" s="15"/>
      <c r="H13" s="15"/>
      <c r="I13" s="15"/>
      <c r="J13" s="15"/>
      <c r="K13" s="15"/>
      <c r="L13" s="15"/>
      <c r="M13" s="15"/>
      <c r="N13" s="15"/>
      <c r="O13" s="15"/>
      <c r="P13" s="15"/>
      <c r="Q13" s="15"/>
      <c r="R13" s="15"/>
      <c r="S13" s="15"/>
      <c r="T13" s="15"/>
      <c r="U13" s="15"/>
      <c r="V13" s="15"/>
    </row>
    <row r="14" spans="1:22" x14ac:dyDescent="0.55000000000000004">
      <c r="A14" s="14"/>
      <c r="B14" s="14"/>
      <c r="C14" s="15"/>
      <c r="D14" s="15"/>
      <c r="E14" s="15"/>
      <c r="F14" s="15"/>
      <c r="G14" s="15"/>
      <c r="H14" s="15"/>
      <c r="I14" s="15"/>
      <c r="J14" s="15"/>
      <c r="K14" s="15"/>
      <c r="L14" s="15"/>
      <c r="M14" s="15"/>
      <c r="N14" s="15"/>
      <c r="O14" s="15"/>
      <c r="P14" s="15"/>
      <c r="Q14" s="15"/>
      <c r="R14" s="15"/>
      <c r="S14" s="15"/>
      <c r="T14" s="15"/>
      <c r="U14" s="15"/>
      <c r="V14" s="15"/>
    </row>
    <row r="15" spans="1:22" x14ac:dyDescent="0.55000000000000004">
      <c r="A15" s="14"/>
      <c r="B15" s="14"/>
      <c r="C15" s="15"/>
      <c r="D15" s="15"/>
      <c r="E15" s="15"/>
      <c r="F15" s="15"/>
      <c r="G15" s="15"/>
      <c r="H15" s="15"/>
      <c r="I15" s="15"/>
      <c r="J15" s="15"/>
      <c r="K15" s="15"/>
      <c r="L15" s="15"/>
      <c r="M15" s="15"/>
      <c r="N15" s="15"/>
      <c r="O15" s="15"/>
      <c r="P15" s="15"/>
      <c r="Q15" s="15"/>
      <c r="R15" s="15"/>
      <c r="S15" s="15"/>
      <c r="T15" s="15"/>
      <c r="U15" s="15"/>
      <c r="V15" s="15"/>
    </row>
    <row r="16" spans="1:22" x14ac:dyDescent="0.55000000000000004">
      <c r="A16" s="14"/>
      <c r="B16" s="14"/>
      <c r="C16" s="15"/>
      <c r="D16" s="15"/>
      <c r="E16" s="15"/>
      <c r="F16" s="15"/>
      <c r="G16" s="15"/>
      <c r="H16" s="15"/>
      <c r="I16" s="15"/>
      <c r="J16" s="15"/>
      <c r="K16" s="15"/>
      <c r="L16" s="15"/>
      <c r="M16" s="15"/>
      <c r="N16" s="15"/>
      <c r="O16" s="15"/>
      <c r="P16" s="15"/>
      <c r="Q16" s="15"/>
      <c r="R16" s="15"/>
      <c r="S16" s="15"/>
      <c r="T16" s="15"/>
      <c r="U16" s="15"/>
      <c r="V16" s="15"/>
    </row>
    <row r="17" spans="1:22" x14ac:dyDescent="0.55000000000000004">
      <c r="A17" s="14"/>
      <c r="B17" s="14"/>
      <c r="C17" s="15"/>
      <c r="D17" s="15"/>
      <c r="E17" s="15"/>
      <c r="F17" s="15"/>
      <c r="G17" s="15"/>
      <c r="H17" s="15"/>
      <c r="I17" s="15"/>
      <c r="J17" s="15"/>
      <c r="K17" s="15"/>
      <c r="L17" s="15"/>
      <c r="M17" s="15"/>
      <c r="N17" s="15"/>
      <c r="O17" s="15"/>
      <c r="P17" s="15"/>
      <c r="Q17" s="15"/>
      <c r="R17" s="15"/>
      <c r="S17" s="15"/>
      <c r="T17" s="15"/>
      <c r="U17" s="15"/>
      <c r="V17" s="15"/>
    </row>
    <row r="18" spans="1:22" x14ac:dyDescent="0.55000000000000004">
      <c r="A18" s="14"/>
      <c r="B18" s="14"/>
      <c r="C18" s="15"/>
      <c r="D18" s="15"/>
      <c r="E18" s="15"/>
      <c r="F18" s="15"/>
      <c r="G18" s="15"/>
      <c r="H18" s="15"/>
      <c r="I18" s="15"/>
      <c r="J18" s="15"/>
      <c r="K18" s="15"/>
      <c r="L18" s="15"/>
      <c r="M18" s="15"/>
      <c r="N18" s="15"/>
      <c r="O18" s="15"/>
      <c r="P18" s="15"/>
      <c r="Q18" s="15"/>
      <c r="R18" s="15"/>
      <c r="S18" s="15"/>
      <c r="T18" s="15"/>
      <c r="U18" s="15"/>
      <c r="V18" s="15"/>
    </row>
    <row r="19" spans="1:22" x14ac:dyDescent="0.55000000000000004">
      <c r="A19" s="14"/>
      <c r="B19" s="14"/>
      <c r="C19" s="15"/>
      <c r="D19" s="15"/>
      <c r="E19" s="15"/>
      <c r="F19" s="15"/>
      <c r="G19" s="15"/>
      <c r="H19" s="15"/>
      <c r="I19" s="15"/>
      <c r="J19" s="15"/>
      <c r="K19" s="15"/>
      <c r="L19" s="15"/>
      <c r="M19" s="15"/>
      <c r="N19" s="15"/>
      <c r="O19" s="15"/>
      <c r="P19" s="15"/>
      <c r="Q19" s="15"/>
      <c r="R19" s="15"/>
      <c r="S19" s="15"/>
      <c r="T19" s="15"/>
      <c r="U19" s="15"/>
      <c r="V19" s="15"/>
    </row>
    <row r="20" spans="1:22" x14ac:dyDescent="0.55000000000000004">
      <c r="A20" s="14"/>
      <c r="B20" s="14"/>
      <c r="C20" s="15"/>
      <c r="D20" s="15"/>
      <c r="E20" s="15"/>
      <c r="F20" s="15"/>
      <c r="G20" s="15"/>
      <c r="H20" s="15"/>
      <c r="I20" s="15"/>
      <c r="J20" s="15"/>
      <c r="K20" s="15"/>
      <c r="L20" s="15"/>
      <c r="M20" s="15"/>
      <c r="N20" s="15"/>
      <c r="O20" s="15"/>
      <c r="P20" s="15"/>
      <c r="Q20" s="15"/>
      <c r="R20" s="15"/>
      <c r="S20" s="15"/>
      <c r="T20" s="15"/>
      <c r="U20" s="15"/>
      <c r="V20" s="15"/>
    </row>
    <row r="21" spans="1:22" x14ac:dyDescent="0.55000000000000004">
      <c r="A21" s="14"/>
      <c r="B21" s="14"/>
      <c r="C21" s="15"/>
      <c r="D21" s="15"/>
      <c r="E21" s="15"/>
      <c r="F21" s="15"/>
      <c r="G21" s="15"/>
      <c r="H21" s="15"/>
      <c r="I21" s="15"/>
      <c r="J21" s="15"/>
      <c r="K21" s="15"/>
      <c r="L21" s="15"/>
      <c r="M21" s="15"/>
      <c r="N21" s="15"/>
      <c r="O21" s="15"/>
      <c r="P21" s="15"/>
      <c r="Q21" s="15"/>
      <c r="R21" s="15"/>
      <c r="S21" s="15"/>
      <c r="T21" s="15"/>
      <c r="U21" s="15"/>
      <c r="V21" s="15"/>
    </row>
    <row r="22" spans="1:22" x14ac:dyDescent="0.55000000000000004">
      <c r="A22" s="14"/>
      <c r="B22" s="14"/>
      <c r="C22" s="15"/>
      <c r="D22" s="15"/>
      <c r="E22" s="15"/>
      <c r="F22" s="15"/>
      <c r="G22" s="15"/>
      <c r="H22" s="15"/>
      <c r="I22" s="15"/>
      <c r="J22" s="15"/>
      <c r="K22" s="15"/>
      <c r="L22" s="15"/>
      <c r="M22" s="15"/>
      <c r="N22" s="15"/>
      <c r="O22" s="15"/>
      <c r="P22" s="15"/>
      <c r="Q22" s="15"/>
      <c r="R22" s="15"/>
      <c r="S22" s="15"/>
      <c r="T22" s="15"/>
      <c r="U22" s="15"/>
      <c r="V22" s="15"/>
    </row>
    <row r="23" spans="1:22" x14ac:dyDescent="0.55000000000000004">
      <c r="A23" s="14"/>
      <c r="B23" s="14"/>
      <c r="C23" s="15"/>
      <c r="D23" s="15"/>
      <c r="E23" s="15"/>
      <c r="F23" s="15"/>
      <c r="G23" s="15"/>
      <c r="H23" s="15"/>
      <c r="I23" s="15"/>
      <c r="J23" s="15"/>
      <c r="K23" s="15"/>
      <c r="L23" s="15"/>
      <c r="M23" s="15"/>
      <c r="N23" s="15"/>
      <c r="O23" s="15"/>
      <c r="P23" s="15"/>
      <c r="Q23" s="15"/>
      <c r="R23" s="15"/>
      <c r="S23" s="15"/>
      <c r="T23" s="15"/>
      <c r="U23" s="15"/>
      <c r="V23" s="15"/>
    </row>
    <row r="24" spans="1:22" x14ac:dyDescent="0.55000000000000004">
      <c r="A24" s="14"/>
      <c r="B24" s="14"/>
      <c r="C24" s="15"/>
      <c r="D24" s="15"/>
      <c r="E24" s="15"/>
      <c r="F24" s="15"/>
      <c r="G24" s="15"/>
      <c r="H24" s="15"/>
      <c r="I24" s="15"/>
      <c r="J24" s="15"/>
      <c r="K24" s="15"/>
      <c r="L24" s="15"/>
      <c r="M24" s="15"/>
      <c r="N24" s="15"/>
      <c r="O24" s="15"/>
      <c r="P24" s="15"/>
      <c r="Q24" s="15"/>
      <c r="R24" s="15"/>
      <c r="S24" s="15"/>
      <c r="T24" s="15"/>
      <c r="U24" s="15"/>
      <c r="V24" s="15"/>
    </row>
    <row r="25" spans="1:22" x14ac:dyDescent="0.55000000000000004">
      <c r="A25" s="14"/>
      <c r="B25" s="14"/>
      <c r="C25" s="15"/>
      <c r="D25" s="15"/>
      <c r="E25" s="15"/>
      <c r="F25" s="15"/>
      <c r="G25" s="15"/>
      <c r="H25" s="15"/>
      <c r="I25" s="15"/>
      <c r="J25" s="15"/>
      <c r="K25" s="15"/>
      <c r="L25" s="15"/>
      <c r="M25" s="15"/>
      <c r="N25" s="15"/>
      <c r="O25" s="15"/>
      <c r="P25" s="15"/>
      <c r="Q25" s="15"/>
      <c r="R25" s="15"/>
      <c r="S25" s="15"/>
      <c r="T25" s="15"/>
      <c r="U25" s="15"/>
      <c r="V25" s="15"/>
    </row>
    <row r="26" spans="1:22" x14ac:dyDescent="0.55000000000000004">
      <c r="A26" s="14"/>
      <c r="B26" s="14"/>
      <c r="C26" s="15"/>
      <c r="D26" s="15"/>
      <c r="E26" s="15"/>
      <c r="F26" s="15"/>
      <c r="G26" s="15"/>
      <c r="H26" s="15"/>
      <c r="I26" s="15"/>
      <c r="J26" s="15"/>
      <c r="K26" s="15"/>
      <c r="L26" s="15"/>
      <c r="M26" s="15"/>
      <c r="N26" s="15"/>
      <c r="O26" s="15"/>
      <c r="P26" s="15"/>
      <c r="Q26" s="15"/>
      <c r="R26" s="15"/>
      <c r="S26" s="15"/>
      <c r="T26" s="15"/>
      <c r="U26" s="15"/>
      <c r="V26" s="15"/>
    </row>
    <row r="27" spans="1:22" x14ac:dyDescent="0.55000000000000004">
      <c r="A27" s="14"/>
      <c r="B27" s="14"/>
      <c r="C27" s="15"/>
      <c r="D27" s="15"/>
      <c r="E27" s="15"/>
      <c r="F27" s="15"/>
      <c r="G27" s="15"/>
      <c r="H27" s="15"/>
      <c r="I27" s="15"/>
      <c r="J27" s="15"/>
      <c r="K27" s="15"/>
      <c r="L27" s="15"/>
      <c r="M27" s="15"/>
      <c r="N27" s="15"/>
      <c r="O27" s="15"/>
      <c r="P27" s="15"/>
      <c r="Q27" s="15"/>
      <c r="R27" s="15"/>
      <c r="S27" s="15"/>
      <c r="T27" s="15"/>
      <c r="U27" s="15"/>
      <c r="V27" s="15"/>
    </row>
    <row r="28" spans="1:22" x14ac:dyDescent="0.55000000000000004">
      <c r="A28" s="14"/>
      <c r="B28" s="14"/>
      <c r="C28" s="15"/>
      <c r="D28" s="15"/>
      <c r="E28" s="15"/>
      <c r="F28" s="15"/>
      <c r="G28" s="15"/>
      <c r="H28" s="15"/>
      <c r="I28" s="15"/>
      <c r="J28" s="15"/>
      <c r="K28" s="15"/>
      <c r="L28" s="15"/>
      <c r="M28" s="15"/>
      <c r="N28" s="15"/>
      <c r="O28" s="15"/>
      <c r="P28" s="15"/>
      <c r="Q28" s="15"/>
      <c r="R28" s="15"/>
      <c r="S28" s="15"/>
      <c r="T28" s="15"/>
      <c r="U28" s="15"/>
      <c r="V28" s="15"/>
    </row>
    <row r="29" spans="1:22" x14ac:dyDescent="0.55000000000000004">
      <c r="A29" s="14"/>
      <c r="B29" s="14"/>
      <c r="C29" s="15"/>
      <c r="D29" s="15"/>
      <c r="E29" s="15"/>
      <c r="F29" s="15"/>
      <c r="G29" s="15"/>
      <c r="H29" s="15"/>
      <c r="I29" s="15"/>
      <c r="J29" s="15"/>
      <c r="K29" s="15"/>
      <c r="L29" s="15"/>
      <c r="M29" s="15"/>
      <c r="N29" s="15"/>
      <c r="O29" s="15"/>
      <c r="P29" s="15"/>
      <c r="Q29" s="15"/>
      <c r="R29" s="15"/>
      <c r="S29" s="15"/>
      <c r="T29" s="15"/>
      <c r="U29" s="15"/>
      <c r="V29" s="15"/>
    </row>
    <row r="30" spans="1:22" x14ac:dyDescent="0.55000000000000004">
      <c r="A30" s="14"/>
      <c r="B30" s="14"/>
      <c r="C30" s="15"/>
      <c r="D30" s="15"/>
      <c r="E30" s="15"/>
      <c r="F30" s="15"/>
      <c r="G30" s="15"/>
      <c r="H30" s="15"/>
      <c r="I30" s="15"/>
      <c r="J30" s="15"/>
      <c r="K30" s="15"/>
      <c r="L30" s="15"/>
      <c r="M30" s="15"/>
      <c r="N30" s="15"/>
      <c r="O30" s="15"/>
      <c r="P30" s="15"/>
      <c r="Q30" s="15"/>
      <c r="R30" s="15"/>
      <c r="S30" s="15"/>
      <c r="T30" s="15"/>
      <c r="U30" s="15"/>
      <c r="V30" s="15"/>
    </row>
    <row r="31" spans="1:22" x14ac:dyDescent="0.55000000000000004">
      <c r="A31" s="14"/>
      <c r="B31" s="14"/>
      <c r="C31" s="15"/>
      <c r="D31" s="15"/>
      <c r="E31" s="15"/>
      <c r="F31" s="15"/>
      <c r="G31" s="15"/>
      <c r="H31" s="15"/>
      <c r="I31" s="15"/>
      <c r="J31" s="15"/>
      <c r="K31" s="15"/>
      <c r="L31" s="15"/>
      <c r="M31" s="15"/>
      <c r="N31" s="15"/>
      <c r="O31" s="15"/>
      <c r="P31" s="15"/>
      <c r="Q31" s="15"/>
      <c r="R31" s="15"/>
      <c r="S31" s="15"/>
      <c r="T31" s="15"/>
      <c r="U31" s="15"/>
      <c r="V31" s="15"/>
    </row>
    <row r="32" spans="1:22" x14ac:dyDescent="0.55000000000000004">
      <c r="A32" s="14"/>
      <c r="B32" s="14"/>
      <c r="C32" s="15"/>
      <c r="D32" s="15"/>
      <c r="E32" s="15"/>
      <c r="F32" s="15"/>
      <c r="G32" s="15"/>
      <c r="H32" s="15"/>
      <c r="I32" s="15"/>
      <c r="J32" s="15"/>
      <c r="K32" s="15"/>
      <c r="L32" s="15"/>
      <c r="M32" s="15"/>
      <c r="N32" s="15"/>
      <c r="O32" s="15"/>
      <c r="P32" s="15"/>
      <c r="Q32" s="15"/>
      <c r="R32" s="15"/>
      <c r="S32" s="15"/>
      <c r="T32" s="15"/>
      <c r="U32" s="15"/>
      <c r="V32" s="15"/>
    </row>
    <row r="33" spans="1:22" x14ac:dyDescent="0.55000000000000004">
      <c r="A33" s="14"/>
      <c r="B33" s="14"/>
      <c r="C33" s="15"/>
      <c r="D33" s="15"/>
      <c r="E33" s="15"/>
      <c r="F33" s="15"/>
      <c r="G33" s="15"/>
      <c r="H33" s="15"/>
      <c r="I33" s="15"/>
      <c r="J33" s="15"/>
      <c r="K33" s="15"/>
      <c r="L33" s="15"/>
      <c r="M33" s="15"/>
      <c r="N33" s="15"/>
      <c r="O33" s="15"/>
      <c r="P33" s="15"/>
      <c r="Q33" s="15"/>
      <c r="R33" s="15"/>
      <c r="S33" s="15"/>
      <c r="T33" s="15"/>
      <c r="U33" s="15"/>
      <c r="V33" s="15"/>
    </row>
    <row r="34" spans="1:22" x14ac:dyDescent="0.55000000000000004">
      <c r="A34" s="14"/>
      <c r="B34" s="14"/>
      <c r="C34" s="15"/>
      <c r="D34" s="15"/>
      <c r="E34" s="15"/>
      <c r="F34" s="15"/>
      <c r="G34" s="15"/>
      <c r="H34" s="15"/>
      <c r="I34" s="15"/>
      <c r="J34" s="15"/>
      <c r="K34" s="15"/>
      <c r="L34" s="15"/>
      <c r="M34" s="15"/>
      <c r="N34" s="15"/>
      <c r="O34" s="15"/>
      <c r="P34" s="15"/>
      <c r="Q34" s="15"/>
      <c r="R34" s="15"/>
      <c r="S34" s="15"/>
      <c r="T34" s="15"/>
      <c r="U34" s="15"/>
      <c r="V34" s="15"/>
    </row>
    <row r="35" spans="1:22" x14ac:dyDescent="0.55000000000000004">
      <c r="A35" s="14"/>
      <c r="B35" s="14"/>
      <c r="C35" s="15"/>
      <c r="D35" s="15"/>
      <c r="E35" s="15"/>
      <c r="F35" s="15"/>
      <c r="G35" s="15"/>
      <c r="H35" s="15"/>
      <c r="I35" s="15"/>
      <c r="J35" s="15"/>
      <c r="K35" s="15"/>
      <c r="L35" s="15"/>
      <c r="M35" s="15"/>
      <c r="N35" s="15"/>
      <c r="O35" s="15"/>
      <c r="P35" s="15"/>
      <c r="Q35" s="15"/>
      <c r="R35" s="15"/>
      <c r="S35" s="15"/>
      <c r="T35" s="15"/>
      <c r="U35" s="15"/>
      <c r="V35" s="15"/>
    </row>
    <row r="36" spans="1:22" x14ac:dyDescent="0.55000000000000004">
      <c r="A36" s="14"/>
      <c r="B36" s="14"/>
      <c r="C36" s="15"/>
      <c r="D36" s="15"/>
      <c r="E36" s="15"/>
      <c r="F36" s="15"/>
      <c r="G36" s="15"/>
      <c r="H36" s="15"/>
      <c r="I36" s="15"/>
      <c r="J36" s="15"/>
      <c r="K36" s="15"/>
      <c r="L36" s="15"/>
      <c r="M36" s="15"/>
      <c r="N36" s="15"/>
      <c r="O36" s="15"/>
      <c r="P36" s="15"/>
      <c r="Q36" s="15"/>
      <c r="R36" s="15"/>
      <c r="S36" s="15"/>
      <c r="T36" s="15"/>
      <c r="U36" s="15"/>
      <c r="V36" s="15"/>
    </row>
    <row r="37" spans="1:22" x14ac:dyDescent="0.55000000000000004">
      <c r="A37" s="14"/>
      <c r="B37" s="14"/>
      <c r="C37" s="15"/>
      <c r="D37" s="15"/>
      <c r="E37" s="15"/>
      <c r="F37" s="15"/>
      <c r="G37" s="15"/>
      <c r="H37" s="15"/>
      <c r="I37" s="15"/>
      <c r="J37" s="15"/>
      <c r="K37" s="15"/>
      <c r="L37" s="15"/>
      <c r="M37" s="15"/>
      <c r="N37" s="15"/>
      <c r="O37" s="15"/>
      <c r="P37" s="15"/>
      <c r="Q37" s="15"/>
      <c r="R37" s="15"/>
      <c r="S37" s="15"/>
      <c r="T37" s="15"/>
      <c r="U37" s="15"/>
      <c r="V37" s="15"/>
    </row>
    <row r="38" spans="1:22" x14ac:dyDescent="0.55000000000000004">
      <c r="A38" s="14"/>
      <c r="B38" s="14"/>
      <c r="C38" s="15"/>
      <c r="D38" s="15"/>
      <c r="E38" s="15"/>
      <c r="F38" s="15"/>
      <c r="G38" s="15"/>
      <c r="H38" s="15"/>
      <c r="I38" s="15"/>
      <c r="J38" s="15"/>
      <c r="K38" s="15"/>
      <c r="L38" s="15"/>
      <c r="M38" s="15"/>
      <c r="N38" s="15"/>
      <c r="O38" s="15"/>
      <c r="P38" s="15"/>
      <c r="Q38" s="15"/>
      <c r="R38" s="15"/>
      <c r="S38" s="15"/>
      <c r="T38" s="15"/>
      <c r="U38" s="15"/>
      <c r="V38" s="15"/>
    </row>
    <row r="39" spans="1:22" x14ac:dyDescent="0.55000000000000004">
      <c r="A39" s="14"/>
      <c r="B39" s="14"/>
      <c r="C39" s="15"/>
      <c r="D39" s="15"/>
      <c r="E39" s="15"/>
      <c r="F39" s="15"/>
      <c r="G39" s="15"/>
      <c r="H39" s="15"/>
      <c r="I39" s="15"/>
      <c r="J39" s="15"/>
      <c r="K39" s="15"/>
      <c r="L39" s="15"/>
      <c r="M39" s="15"/>
      <c r="N39" s="15"/>
      <c r="O39" s="15"/>
      <c r="P39" s="15"/>
      <c r="Q39" s="15"/>
      <c r="R39" s="15"/>
      <c r="S39" s="15"/>
      <c r="T39" s="15"/>
      <c r="U39" s="15"/>
      <c r="V39" s="15"/>
    </row>
  </sheetData>
  <mergeCells count="2">
    <mergeCell ref="E1:H3"/>
    <mergeCell ref="O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9662-9128-44C1-967B-15651BDB0E79}">
  <dimension ref="A3:AX34"/>
  <sheetViews>
    <sheetView tabSelected="1" topLeftCell="AO1" workbookViewId="0">
      <selection activeCell="BB11" sqref="BB11"/>
    </sheetView>
  </sheetViews>
  <sheetFormatPr defaultRowHeight="14.4" x14ac:dyDescent="0.55000000000000004"/>
  <cols>
    <col min="1" max="1" width="12.05078125" bestFit="1" customWidth="1"/>
    <col min="2" max="2" width="13.9453125" bestFit="1" customWidth="1"/>
    <col min="12" max="12" width="12.05078125" bestFit="1" customWidth="1"/>
    <col min="13" max="13" width="13.9453125" bestFit="1" customWidth="1"/>
    <col min="17" max="17" width="12.62890625" bestFit="1" customWidth="1"/>
    <col min="18" max="18" width="13.9453125" bestFit="1" customWidth="1"/>
    <col min="26" max="26" width="24.15625" bestFit="1" customWidth="1"/>
    <col min="27" max="27" width="13.9453125" bestFit="1" customWidth="1"/>
    <col min="30" max="30" width="9.15625" bestFit="1" customWidth="1"/>
    <col min="33" max="33" width="12.05078125" bestFit="1" customWidth="1"/>
    <col min="34" max="34" width="9.68359375" bestFit="1" customWidth="1"/>
    <col min="43" max="43" width="12.05078125" bestFit="1" customWidth="1"/>
    <col min="44" max="44" width="13.9453125" bestFit="1" customWidth="1"/>
    <col min="49" max="49" width="12.05078125" bestFit="1" customWidth="1"/>
    <col min="50" max="50" width="13.9453125" bestFit="1" customWidth="1"/>
  </cols>
  <sheetData>
    <row r="3" spans="1:50" x14ac:dyDescent="0.55000000000000004">
      <c r="A3" s="30" t="s">
        <v>121</v>
      </c>
      <c r="B3" t="s">
        <v>135</v>
      </c>
      <c r="D3" t="s">
        <v>2</v>
      </c>
      <c r="E3" t="s">
        <v>11</v>
      </c>
      <c r="L3" s="30" t="s">
        <v>121</v>
      </c>
      <c r="M3" t="s">
        <v>135</v>
      </c>
      <c r="Q3" s="30" t="s">
        <v>121</v>
      </c>
      <c r="R3" t="s">
        <v>135</v>
      </c>
      <c r="Z3" s="30" t="s">
        <v>121</v>
      </c>
      <c r="AA3" t="s">
        <v>135</v>
      </c>
      <c r="AG3" s="30" t="s">
        <v>121</v>
      </c>
      <c r="AH3" t="s">
        <v>139</v>
      </c>
      <c r="AQ3" t="s">
        <v>135</v>
      </c>
      <c r="AR3" t="s">
        <v>142</v>
      </c>
      <c r="AW3" s="30" t="s">
        <v>121</v>
      </c>
      <c r="AX3" t="s">
        <v>135</v>
      </c>
    </row>
    <row r="4" spans="1:50" x14ac:dyDescent="0.55000000000000004">
      <c r="A4" s="31" t="s">
        <v>122</v>
      </c>
      <c r="B4" s="32">
        <v>9721600</v>
      </c>
      <c r="D4" t="str">
        <f>A4</f>
        <v>Jan</v>
      </c>
      <c r="E4">
        <f t="shared" ref="E4:E15" si="0">B4</f>
        <v>9721600</v>
      </c>
      <c r="L4" s="31" t="s">
        <v>28</v>
      </c>
      <c r="M4" s="33">
        <v>0.30102231241850769</v>
      </c>
      <c r="Q4" s="31" t="s">
        <v>18</v>
      </c>
      <c r="R4" s="33">
        <v>0.46025580832374668</v>
      </c>
      <c r="Z4" s="31" t="s">
        <v>52</v>
      </c>
      <c r="AA4" s="32">
        <v>317150</v>
      </c>
      <c r="AC4" t="str">
        <f>Z4</f>
        <v>Andaman and Nicobar Islands</v>
      </c>
      <c r="AD4" s="35">
        <f>AA4/1000000</f>
        <v>0.31714999999999999</v>
      </c>
      <c r="AG4" s="31">
        <v>0</v>
      </c>
      <c r="AH4" s="33">
        <v>0.14516129032258066</v>
      </c>
      <c r="AQ4" s="32">
        <v>143341700</v>
      </c>
      <c r="AR4" s="32">
        <v>14357570</v>
      </c>
      <c r="AW4" s="31" t="s">
        <v>122</v>
      </c>
      <c r="AX4" s="32">
        <v>9721600</v>
      </c>
    </row>
    <row r="5" spans="1:50" x14ac:dyDescent="0.55000000000000004">
      <c r="A5" s="31" t="s">
        <v>123</v>
      </c>
      <c r="B5" s="32">
        <v>6332400</v>
      </c>
      <c r="D5" t="str">
        <f t="shared" ref="D5:D15" si="1">A5</f>
        <v>Feb</v>
      </c>
      <c r="E5">
        <f t="shared" si="0"/>
        <v>6332400</v>
      </c>
      <c r="L5" s="31" t="s">
        <v>17</v>
      </c>
      <c r="M5" s="33">
        <v>0.35216653632543776</v>
      </c>
      <c r="Q5" s="31" t="s">
        <v>15</v>
      </c>
      <c r="R5" s="33">
        <v>0.35779748670484585</v>
      </c>
      <c r="Z5" s="31" t="s">
        <v>14</v>
      </c>
      <c r="AA5" s="32">
        <v>12936300</v>
      </c>
      <c r="AC5" t="str">
        <f t="shared" ref="AC5:AC33" si="2">Z5</f>
        <v>Andhra Pradesh</v>
      </c>
      <c r="AD5" s="35">
        <f t="shared" ref="AD5:AD33" si="3">AA5/1000000</f>
        <v>12.936299999999999</v>
      </c>
      <c r="AG5" s="31">
        <v>1</v>
      </c>
      <c r="AH5" s="33">
        <v>0.85483870967741937</v>
      </c>
      <c r="AW5" s="31" t="s">
        <v>123</v>
      </c>
      <c r="AX5" s="32">
        <v>6332400</v>
      </c>
    </row>
    <row r="6" spans="1:50" x14ac:dyDescent="0.55000000000000004">
      <c r="A6" s="31" t="s">
        <v>124</v>
      </c>
      <c r="B6" s="32">
        <v>17715000</v>
      </c>
      <c r="D6" t="str">
        <f t="shared" si="1"/>
        <v>Mar</v>
      </c>
      <c r="E6">
        <f t="shared" si="0"/>
        <v>17715000</v>
      </c>
      <c r="L6" s="31" t="s">
        <v>43</v>
      </c>
      <c r="M6" s="33">
        <v>0.34681115125605461</v>
      </c>
      <c r="Q6" s="31" t="s">
        <v>61</v>
      </c>
      <c r="R6" s="33">
        <v>0.18194670497140747</v>
      </c>
      <c r="Z6" s="31" t="s">
        <v>55</v>
      </c>
      <c r="AA6" s="32">
        <v>1753000</v>
      </c>
      <c r="AC6" t="str">
        <f t="shared" si="2"/>
        <v>Arunachal Pradesh</v>
      </c>
      <c r="AD6" s="35">
        <f t="shared" si="3"/>
        <v>1.7529999999999999</v>
      </c>
      <c r="AG6" s="31" t="s">
        <v>134</v>
      </c>
      <c r="AH6" s="33">
        <v>1</v>
      </c>
      <c r="AQ6" s="35">
        <f>AQ4/1000000</f>
        <v>143.3417</v>
      </c>
      <c r="AR6" s="35">
        <f>AR4/1000000</f>
        <v>14.357570000000001</v>
      </c>
      <c r="AW6" s="31" t="s">
        <v>124</v>
      </c>
      <c r="AX6" s="32">
        <v>17715000</v>
      </c>
    </row>
    <row r="7" spans="1:50" x14ac:dyDescent="0.55000000000000004">
      <c r="A7" s="31" t="s">
        <v>125</v>
      </c>
      <c r="B7" s="32">
        <v>7746350</v>
      </c>
      <c r="D7" t="str">
        <f t="shared" si="1"/>
        <v>Apr</v>
      </c>
      <c r="E7">
        <f t="shared" si="0"/>
        <v>7746350</v>
      </c>
      <c r="L7" s="31" t="s">
        <v>134</v>
      </c>
      <c r="M7" s="33">
        <v>1</v>
      </c>
      <c r="Q7" s="31" t="s">
        <v>134</v>
      </c>
      <c r="R7" s="33">
        <v>1</v>
      </c>
      <c r="Z7" s="31" t="s">
        <v>57</v>
      </c>
      <c r="AA7" s="32">
        <v>5987500</v>
      </c>
      <c r="AC7" t="str">
        <f t="shared" si="2"/>
        <v>Assam</v>
      </c>
      <c r="AD7" s="35">
        <f t="shared" si="3"/>
        <v>5.9874999999999998</v>
      </c>
      <c r="AW7" s="31" t="s">
        <v>125</v>
      </c>
      <c r="AX7" s="32">
        <v>7746350</v>
      </c>
    </row>
    <row r="8" spans="1:50" x14ac:dyDescent="0.55000000000000004">
      <c r="A8" s="31" t="s">
        <v>126</v>
      </c>
      <c r="B8" s="32">
        <v>5394700</v>
      </c>
      <c r="D8" t="str">
        <f t="shared" si="1"/>
        <v>May</v>
      </c>
      <c r="E8">
        <f t="shared" si="0"/>
        <v>5394700</v>
      </c>
      <c r="Z8" s="31" t="s">
        <v>58</v>
      </c>
      <c r="AA8" s="32">
        <v>2956250</v>
      </c>
      <c r="AC8" t="str">
        <f t="shared" si="2"/>
        <v>Bihar</v>
      </c>
      <c r="AD8" s="35">
        <f t="shared" si="3"/>
        <v>2.9562499999999998</v>
      </c>
      <c r="AW8" s="31" t="s">
        <v>126</v>
      </c>
      <c r="AX8" s="32">
        <v>5394700</v>
      </c>
    </row>
    <row r="9" spans="1:50" x14ac:dyDescent="0.55000000000000004">
      <c r="A9" s="31" t="s">
        <v>127</v>
      </c>
      <c r="B9" s="32">
        <v>11485450</v>
      </c>
      <c r="D9" t="str">
        <f t="shared" si="1"/>
        <v>Jun</v>
      </c>
      <c r="E9">
        <f t="shared" si="0"/>
        <v>11485450</v>
      </c>
      <c r="Z9" s="31" t="s">
        <v>67</v>
      </c>
      <c r="AA9" s="32">
        <v>48000</v>
      </c>
      <c r="AC9" t="str">
        <f t="shared" si="2"/>
        <v>Chhattisgarh</v>
      </c>
      <c r="AD9" s="35">
        <f t="shared" si="3"/>
        <v>4.8000000000000001E-2</v>
      </c>
      <c r="AG9" t="s">
        <v>140</v>
      </c>
      <c r="AH9" s="34">
        <f>AH4</f>
        <v>0.14516129032258066</v>
      </c>
      <c r="AW9" s="31" t="s">
        <v>127</v>
      </c>
      <c r="AX9" s="32">
        <v>11485450</v>
      </c>
    </row>
    <row r="10" spans="1:50" x14ac:dyDescent="0.55000000000000004">
      <c r="A10" s="31" t="s">
        <v>128</v>
      </c>
      <c r="B10" s="32">
        <v>6401400</v>
      </c>
      <c r="D10" t="str">
        <f t="shared" si="1"/>
        <v>Jul</v>
      </c>
      <c r="E10">
        <f t="shared" si="0"/>
        <v>6401400</v>
      </c>
      <c r="L10" t="str">
        <f>L4</f>
        <v>Instant Foods</v>
      </c>
      <c r="M10" s="34">
        <f t="shared" ref="M10:M12" si="4">M4</f>
        <v>0.30102231241850769</v>
      </c>
      <c r="Z10" s="31" t="s">
        <v>62</v>
      </c>
      <c r="AA10" s="32">
        <v>247600</v>
      </c>
      <c r="AC10" t="str">
        <f t="shared" si="2"/>
        <v>Dadra and Nagar Haveli</v>
      </c>
      <c r="AD10" s="35">
        <f t="shared" si="3"/>
        <v>0.24759999999999999</v>
      </c>
      <c r="AG10" t="s">
        <v>141</v>
      </c>
      <c r="AH10" s="34">
        <f>AH5</f>
        <v>0.85483870967741937</v>
      </c>
      <c r="AQ10" s="30" t="s">
        <v>121</v>
      </c>
      <c r="AR10" t="s">
        <v>135</v>
      </c>
      <c r="AW10" s="31" t="s">
        <v>128</v>
      </c>
      <c r="AX10" s="32">
        <v>6401400</v>
      </c>
    </row>
    <row r="11" spans="1:50" x14ac:dyDescent="0.55000000000000004">
      <c r="A11" s="31" t="s">
        <v>129</v>
      </c>
      <c r="B11" s="32">
        <v>12985850</v>
      </c>
      <c r="D11" t="str">
        <f t="shared" si="1"/>
        <v>Aug</v>
      </c>
      <c r="E11">
        <f t="shared" si="0"/>
        <v>12985850</v>
      </c>
      <c r="L11" t="str">
        <f t="shared" ref="L11:M11" si="5">L5</f>
        <v>Snacks</v>
      </c>
      <c r="M11" s="34">
        <f t="shared" si="4"/>
        <v>0.35216653632543776</v>
      </c>
      <c r="Q11" t="s">
        <v>136</v>
      </c>
      <c r="R11" s="34">
        <f t="shared" ref="R11:R13" si="6">R4</f>
        <v>0.46025580832374668</v>
      </c>
      <c r="Z11" s="31" t="s">
        <v>68</v>
      </c>
      <c r="AA11" s="32">
        <v>66000</v>
      </c>
      <c r="AC11" t="str">
        <f t="shared" si="2"/>
        <v>Daman and Diu</v>
      </c>
      <c r="AD11" s="35">
        <f t="shared" si="3"/>
        <v>6.6000000000000003E-2</v>
      </c>
      <c r="AQ11" s="31" t="s">
        <v>143</v>
      </c>
      <c r="AR11" s="32">
        <v>77537500</v>
      </c>
      <c r="AW11" s="31" t="s">
        <v>129</v>
      </c>
      <c r="AX11" s="32">
        <v>12985850</v>
      </c>
    </row>
    <row r="12" spans="1:50" x14ac:dyDescent="0.55000000000000004">
      <c r="A12" s="31" t="s">
        <v>130</v>
      </c>
      <c r="B12" s="32">
        <v>12788200</v>
      </c>
      <c r="D12" t="str">
        <f t="shared" si="1"/>
        <v>Sep</v>
      </c>
      <c r="E12">
        <f t="shared" si="0"/>
        <v>12788200</v>
      </c>
      <c r="L12" t="str">
        <f t="shared" ref="L12:M12" si="7">L6</f>
        <v>Sweets</v>
      </c>
      <c r="M12" s="34">
        <f t="shared" si="4"/>
        <v>0.34681115125605461</v>
      </c>
      <c r="Q12" t="s">
        <v>137</v>
      </c>
      <c r="R12" s="34">
        <f t="shared" si="6"/>
        <v>0.35779748670484585</v>
      </c>
      <c r="Z12" s="31" t="s">
        <v>20</v>
      </c>
      <c r="AA12" s="32">
        <v>631500</v>
      </c>
      <c r="AC12" t="str">
        <f t="shared" si="2"/>
        <v>Delhi</v>
      </c>
      <c r="AD12" s="35">
        <f t="shared" si="3"/>
        <v>0.63149999999999995</v>
      </c>
      <c r="AQ12" s="31" t="s">
        <v>144</v>
      </c>
      <c r="AR12" s="32">
        <v>65804200</v>
      </c>
      <c r="AW12" s="31" t="s">
        <v>130</v>
      </c>
      <c r="AX12" s="32">
        <v>12788200</v>
      </c>
    </row>
    <row r="13" spans="1:50" x14ac:dyDescent="0.55000000000000004">
      <c r="A13" s="31" t="s">
        <v>131</v>
      </c>
      <c r="B13" s="32">
        <v>25093850</v>
      </c>
      <c r="D13" t="str">
        <f t="shared" si="1"/>
        <v>Oct</v>
      </c>
      <c r="E13">
        <f t="shared" si="0"/>
        <v>25093850</v>
      </c>
      <c r="Q13" t="s">
        <v>138</v>
      </c>
      <c r="R13" s="34">
        <f t="shared" si="6"/>
        <v>0.18194670497140747</v>
      </c>
      <c r="Z13" s="31" t="s">
        <v>29</v>
      </c>
      <c r="AA13" s="32">
        <v>307500</v>
      </c>
      <c r="AC13" t="str">
        <f t="shared" si="2"/>
        <v>Goa</v>
      </c>
      <c r="AD13" s="35">
        <f t="shared" si="3"/>
        <v>0.3075</v>
      </c>
      <c r="AQ13" s="31" t="s">
        <v>134</v>
      </c>
      <c r="AR13" s="32">
        <v>143341700</v>
      </c>
      <c r="AW13" s="31" t="s">
        <v>131</v>
      </c>
      <c r="AX13" s="32">
        <v>25093850</v>
      </c>
    </row>
    <row r="14" spans="1:50" x14ac:dyDescent="0.55000000000000004">
      <c r="A14" s="31" t="s">
        <v>132</v>
      </c>
      <c r="B14" s="32">
        <v>13081050</v>
      </c>
      <c r="D14" t="str">
        <f t="shared" si="1"/>
        <v>Nov</v>
      </c>
      <c r="E14">
        <f t="shared" si="0"/>
        <v>13081050</v>
      </c>
      <c r="Z14" s="31" t="s">
        <v>54</v>
      </c>
      <c r="AA14" s="32">
        <v>1751500</v>
      </c>
      <c r="AC14" t="str">
        <f t="shared" si="2"/>
        <v>Gujarat</v>
      </c>
      <c r="AD14" s="35">
        <f t="shared" si="3"/>
        <v>1.7515000000000001</v>
      </c>
      <c r="AW14" s="31" t="s">
        <v>132</v>
      </c>
      <c r="AX14" s="32">
        <v>13081050</v>
      </c>
    </row>
    <row r="15" spans="1:50" x14ac:dyDescent="0.55000000000000004">
      <c r="A15" s="31" t="s">
        <v>133</v>
      </c>
      <c r="B15" s="32">
        <v>14595850</v>
      </c>
      <c r="D15" t="str">
        <f t="shared" si="1"/>
        <v>Dec</v>
      </c>
      <c r="E15">
        <f t="shared" si="0"/>
        <v>14595850</v>
      </c>
      <c r="Z15" s="31" t="s">
        <v>33</v>
      </c>
      <c r="AA15" s="32">
        <v>11065500</v>
      </c>
      <c r="AC15" t="str">
        <f t="shared" si="2"/>
        <v>Haryana</v>
      </c>
      <c r="AD15" s="35">
        <f t="shared" si="3"/>
        <v>11.0655</v>
      </c>
      <c r="AW15" s="31" t="s">
        <v>133</v>
      </c>
      <c r="AX15" s="32">
        <v>14595850</v>
      </c>
    </row>
    <row r="16" spans="1:50" x14ac:dyDescent="0.55000000000000004">
      <c r="A16" s="31" t="s">
        <v>134</v>
      </c>
      <c r="B16" s="32">
        <v>143341700</v>
      </c>
      <c r="Z16" s="31" t="s">
        <v>65</v>
      </c>
      <c r="AA16" s="32">
        <v>290000</v>
      </c>
      <c r="AC16" t="str">
        <f t="shared" si="2"/>
        <v>Himachal Pradesh</v>
      </c>
      <c r="AD16" s="35">
        <f t="shared" si="3"/>
        <v>0.28999999999999998</v>
      </c>
      <c r="AQ16" t="str">
        <f>AQ11</f>
        <v>2022</v>
      </c>
      <c r="AR16" s="35">
        <f>AR11/1000000</f>
        <v>77.537499999999994</v>
      </c>
      <c r="AW16" s="31" t="s">
        <v>134</v>
      </c>
      <c r="AX16" s="32">
        <v>143341700</v>
      </c>
    </row>
    <row r="17" spans="26:50" x14ac:dyDescent="0.55000000000000004">
      <c r="Z17" s="31" t="s">
        <v>35</v>
      </c>
      <c r="AA17" s="32">
        <v>2650850</v>
      </c>
      <c r="AC17" t="str">
        <f t="shared" si="2"/>
        <v>Jammu and Kashmir</v>
      </c>
      <c r="AD17" s="35">
        <f t="shared" si="3"/>
        <v>2.6508500000000002</v>
      </c>
      <c r="AQ17" t="str">
        <f>AQ12</f>
        <v>2023</v>
      </c>
      <c r="AR17" s="35">
        <f>AR12/1000000</f>
        <v>65.804199999999994</v>
      </c>
    </row>
    <row r="18" spans="26:50" x14ac:dyDescent="0.55000000000000004">
      <c r="Z18" s="31" t="s">
        <v>49</v>
      </c>
      <c r="AA18" s="32">
        <v>530900</v>
      </c>
      <c r="AC18" t="str">
        <f t="shared" si="2"/>
        <v>Jharkhand</v>
      </c>
      <c r="AD18" s="35">
        <f t="shared" si="3"/>
        <v>0.53090000000000004</v>
      </c>
      <c r="AW18" s="31" t="s">
        <v>145</v>
      </c>
      <c r="AX18" s="34">
        <f>SUM(AX4:AX6)/AX16</f>
        <v>0.23558392289194283</v>
      </c>
    </row>
    <row r="19" spans="26:50" x14ac:dyDescent="0.55000000000000004">
      <c r="Z19" s="31" t="s">
        <v>40</v>
      </c>
      <c r="AA19" s="32">
        <v>12158850</v>
      </c>
      <c r="AC19" t="str">
        <f t="shared" si="2"/>
        <v>Karnataka</v>
      </c>
      <c r="AD19" s="35">
        <f t="shared" si="3"/>
        <v>12.158849999999999</v>
      </c>
      <c r="AW19" s="31" t="s">
        <v>146</v>
      </c>
      <c r="AX19" s="34">
        <f>SUM(AX7:AX9)/AX16</f>
        <v>0.171802762210857</v>
      </c>
    </row>
    <row r="20" spans="26:50" x14ac:dyDescent="0.55000000000000004">
      <c r="Z20" s="31" t="s">
        <v>59</v>
      </c>
      <c r="AA20" s="32">
        <v>506600</v>
      </c>
      <c r="AC20" t="str">
        <f t="shared" si="2"/>
        <v>Kerala</v>
      </c>
      <c r="AD20" s="35">
        <f t="shared" si="3"/>
        <v>0.50660000000000005</v>
      </c>
      <c r="AW20" s="31" t="s">
        <v>147</v>
      </c>
      <c r="AX20" s="34">
        <f>SUM(AX10:AX12)/AX16</f>
        <v>0.22446678112510177</v>
      </c>
    </row>
    <row r="21" spans="26:50" x14ac:dyDescent="0.55000000000000004">
      <c r="Z21" s="31" t="s">
        <v>64</v>
      </c>
      <c r="AA21" s="32">
        <v>44500</v>
      </c>
      <c r="AC21" t="str">
        <f t="shared" si="2"/>
        <v>Lakshadweep</v>
      </c>
      <c r="AD21" s="35">
        <f t="shared" si="3"/>
        <v>4.4499999999999998E-2</v>
      </c>
      <c r="AW21" s="31" t="s">
        <v>148</v>
      </c>
      <c r="AX21" s="34">
        <f>SUM(AX13:AX15)/AX16</f>
        <v>0.36814653377209844</v>
      </c>
    </row>
    <row r="22" spans="26:50" x14ac:dyDescent="0.55000000000000004">
      <c r="Z22" s="31" t="s">
        <v>63</v>
      </c>
      <c r="AA22" s="32">
        <v>1857200</v>
      </c>
      <c r="AC22" t="str">
        <f t="shared" si="2"/>
        <v>Madhya Pradesh</v>
      </c>
      <c r="AD22" s="35">
        <f t="shared" si="3"/>
        <v>1.8572</v>
      </c>
    </row>
    <row r="23" spans="26:50" x14ac:dyDescent="0.55000000000000004">
      <c r="Z23" s="31" t="s">
        <v>39</v>
      </c>
      <c r="AA23" s="32">
        <v>24637050</v>
      </c>
      <c r="AC23" t="str">
        <f t="shared" si="2"/>
        <v>Maharashtra</v>
      </c>
      <c r="AD23" s="35">
        <f t="shared" si="3"/>
        <v>24.637049999999999</v>
      </c>
    </row>
    <row r="24" spans="26:50" x14ac:dyDescent="0.55000000000000004">
      <c r="Z24" s="31" t="s">
        <v>66</v>
      </c>
      <c r="AA24" s="32">
        <v>4740000</v>
      </c>
      <c r="AC24" t="str">
        <f t="shared" si="2"/>
        <v>Nagaland</v>
      </c>
      <c r="AD24" s="35">
        <f t="shared" si="3"/>
        <v>4.74</v>
      </c>
    </row>
    <row r="25" spans="26:50" x14ac:dyDescent="0.55000000000000004">
      <c r="Z25" s="31" t="s">
        <v>53</v>
      </c>
      <c r="AA25" s="32">
        <v>5003500</v>
      </c>
      <c r="AC25" t="str">
        <f t="shared" si="2"/>
        <v>Odisha</v>
      </c>
      <c r="AD25" s="35">
        <f t="shared" si="3"/>
        <v>5.0034999999999998</v>
      </c>
    </row>
    <row r="26" spans="26:50" x14ac:dyDescent="0.55000000000000004">
      <c r="Z26" s="31" t="s">
        <v>51</v>
      </c>
      <c r="AA26" s="32">
        <v>1134600</v>
      </c>
      <c r="AC26" t="str">
        <f t="shared" si="2"/>
        <v>Puducherry</v>
      </c>
      <c r="AD26" s="35">
        <f t="shared" si="3"/>
        <v>1.1346000000000001</v>
      </c>
    </row>
    <row r="27" spans="26:50" x14ac:dyDescent="0.55000000000000004">
      <c r="Z27" s="31" t="s">
        <v>46</v>
      </c>
      <c r="AA27" s="32">
        <v>3056400</v>
      </c>
      <c r="AC27" t="str">
        <f t="shared" si="2"/>
        <v>Punjab</v>
      </c>
      <c r="AD27" s="35">
        <f t="shared" si="3"/>
        <v>3.0564</v>
      </c>
    </row>
    <row r="28" spans="26:50" x14ac:dyDescent="0.55000000000000004">
      <c r="Z28" s="31" t="s">
        <v>56</v>
      </c>
      <c r="AA28" s="32">
        <v>8258650</v>
      </c>
      <c r="AC28" t="str">
        <f t="shared" si="2"/>
        <v>Rajasthan</v>
      </c>
      <c r="AD28" s="35">
        <f t="shared" si="3"/>
        <v>8.2586499999999994</v>
      </c>
    </row>
    <row r="29" spans="26:50" x14ac:dyDescent="0.55000000000000004">
      <c r="Z29" s="31" t="s">
        <v>31</v>
      </c>
      <c r="AA29" s="32">
        <v>11418800</v>
      </c>
      <c r="AC29" t="str">
        <f t="shared" si="2"/>
        <v>Tamil Nadu</v>
      </c>
      <c r="AD29" s="35">
        <f t="shared" si="3"/>
        <v>11.418799999999999</v>
      </c>
    </row>
    <row r="30" spans="26:50" x14ac:dyDescent="0.55000000000000004">
      <c r="Z30" s="31" t="s">
        <v>50</v>
      </c>
      <c r="AA30" s="32">
        <v>4120500</v>
      </c>
      <c r="AC30" t="str">
        <f t="shared" si="2"/>
        <v>Telangana</v>
      </c>
      <c r="AD30" s="35">
        <f t="shared" si="3"/>
        <v>4.1204999999999998</v>
      </c>
    </row>
    <row r="31" spans="26:50" x14ac:dyDescent="0.55000000000000004">
      <c r="Z31" s="31" t="s">
        <v>22</v>
      </c>
      <c r="AA31" s="32">
        <v>18180200</v>
      </c>
      <c r="AC31" t="str">
        <f t="shared" si="2"/>
        <v>Uttar Pradesh</v>
      </c>
      <c r="AD31" s="35">
        <f t="shared" si="3"/>
        <v>18.180199999999999</v>
      </c>
    </row>
    <row r="32" spans="26:50" x14ac:dyDescent="0.55000000000000004">
      <c r="Z32" s="31" t="s">
        <v>60</v>
      </c>
      <c r="AA32" s="32">
        <v>231000</v>
      </c>
      <c r="AC32" t="str">
        <f t="shared" si="2"/>
        <v>Uttarakhand</v>
      </c>
      <c r="AD32" s="35">
        <f t="shared" si="3"/>
        <v>0.23100000000000001</v>
      </c>
    </row>
    <row r="33" spans="26:30" x14ac:dyDescent="0.55000000000000004">
      <c r="Z33" s="31" t="s">
        <v>24</v>
      </c>
      <c r="AA33" s="32">
        <v>6454300</v>
      </c>
      <c r="AC33" t="str">
        <f t="shared" si="2"/>
        <v>West Bengal</v>
      </c>
      <c r="AD33" s="35">
        <f t="shared" si="3"/>
        <v>6.4542999999999999</v>
      </c>
    </row>
    <row r="34" spans="26:30" x14ac:dyDescent="0.55000000000000004">
      <c r="Z34" s="31" t="s">
        <v>134</v>
      </c>
      <c r="AA34" s="32">
        <v>143341700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Design</vt:lpstr>
      <vt:lpstr>DB</vt:lpstr>
      <vt:lpstr>Helping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pc</dc:creator>
  <cp:lastModifiedBy>dell pc</cp:lastModifiedBy>
  <dcterms:created xsi:type="dcterms:W3CDTF">2025-04-06T04:31:33Z</dcterms:created>
  <dcterms:modified xsi:type="dcterms:W3CDTF">2025-08-30T10:06:53Z</dcterms:modified>
</cp:coreProperties>
</file>