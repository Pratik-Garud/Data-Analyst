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13_ncr:1_{4AC891B7-CE4A-43D2-B187-20AD910942B4}" xr6:coauthVersionLast="47" xr6:coauthVersionMax="47" xr10:uidLastSave="{00000000-0000-0000-0000-000000000000}"/>
  <bookViews>
    <workbookView xWindow="11424" yWindow="0" windowWidth="11712" windowHeight="12336" firstSheet="2" activeTab="3" xr2:uid="{D8D56A5F-8B80-481F-9018-A4195EAAD011}"/>
  </bookViews>
  <sheets>
    <sheet name="Raw" sheetId="1" r:id="rId1"/>
    <sheet name="Design" sheetId="2" r:id="rId2"/>
    <sheet name="DB" sheetId="3" r:id="rId3"/>
    <sheet name="Helping Sheet" sheetId="4" r:id="rId4"/>
  </sheets>
  <definedNames>
    <definedName name="_xlchart.v5.0" hidden="1">'Helping Sheet'!$E$29</definedName>
    <definedName name="_xlchart.v5.1" hidden="1">'Helping Sheet'!$E$30:$E$59</definedName>
    <definedName name="_xlchart.v5.2" hidden="1">'Helping Sheet'!$F$29</definedName>
    <definedName name="_xlchart.v5.3" hidden="1">'Helping Sheet'!$F$30:$F$59</definedName>
    <definedName name="_xlchart.v5.4" hidden="1">'Helping Sheet'!$E$29</definedName>
    <definedName name="_xlchart.v5.5" hidden="1">'Helping Sheet'!$E$30:$E$59</definedName>
    <definedName name="_xlchart.v5.6" hidden="1">'Helping Sheet'!$F$29</definedName>
    <definedName name="_xlchart.v5.7" hidden="1">'Helping Sheet'!$F$30:$F$59</definedName>
  </definedName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30" i="4"/>
  <c r="S12" i="1"/>
  <c r="S11" i="1"/>
  <c r="S10" i="1"/>
  <c r="S9" i="1"/>
  <c r="U8" i="1"/>
  <c r="N684" i="1"/>
  <c r="M684" i="1"/>
  <c r="O684" i="1" s="1"/>
  <c r="D684" i="1"/>
  <c r="C684" i="1"/>
  <c r="N683" i="1"/>
  <c r="M683" i="1"/>
  <c r="D683" i="1"/>
  <c r="C683" i="1"/>
  <c r="N682" i="1"/>
  <c r="M682" i="1"/>
  <c r="O682" i="1" s="1"/>
  <c r="D682" i="1"/>
  <c r="C682" i="1"/>
  <c r="N681" i="1"/>
  <c r="M681" i="1"/>
  <c r="O681" i="1" s="1"/>
  <c r="D681" i="1"/>
  <c r="C681" i="1"/>
  <c r="N680" i="1"/>
  <c r="M680" i="1"/>
  <c r="D680" i="1"/>
  <c r="C680" i="1"/>
  <c r="N679" i="1"/>
  <c r="M679" i="1"/>
  <c r="O679" i="1" s="1"/>
  <c r="D679" i="1"/>
  <c r="C679" i="1"/>
  <c r="N678" i="1"/>
  <c r="M678" i="1"/>
  <c r="O678" i="1" s="1"/>
  <c r="D678" i="1"/>
  <c r="C678" i="1"/>
  <c r="N677" i="1"/>
  <c r="M677" i="1"/>
  <c r="D677" i="1"/>
  <c r="C677" i="1"/>
  <c r="N676" i="1"/>
  <c r="M676" i="1"/>
  <c r="O676" i="1" s="1"/>
  <c r="D676" i="1"/>
  <c r="C676" i="1"/>
  <c r="N675" i="1"/>
  <c r="M675" i="1"/>
  <c r="O675" i="1" s="1"/>
  <c r="D675" i="1"/>
  <c r="C675" i="1"/>
  <c r="N674" i="1"/>
  <c r="M674" i="1"/>
  <c r="D674" i="1"/>
  <c r="C674" i="1"/>
  <c r="N673" i="1"/>
  <c r="M673" i="1"/>
  <c r="O673" i="1" s="1"/>
  <c r="D673" i="1"/>
  <c r="C673" i="1"/>
  <c r="N672" i="1"/>
  <c r="M672" i="1"/>
  <c r="D672" i="1"/>
  <c r="C672" i="1"/>
  <c r="N671" i="1"/>
  <c r="M671" i="1"/>
  <c r="D671" i="1"/>
  <c r="C671" i="1"/>
  <c r="N670" i="1"/>
  <c r="M670" i="1"/>
  <c r="O670" i="1" s="1"/>
  <c r="D670" i="1"/>
  <c r="C670" i="1"/>
  <c r="N669" i="1"/>
  <c r="M669" i="1"/>
  <c r="O669" i="1" s="1"/>
  <c r="D669" i="1"/>
  <c r="C669" i="1"/>
  <c r="N668" i="1"/>
  <c r="M668" i="1"/>
  <c r="D668" i="1"/>
  <c r="C668" i="1"/>
  <c r="N667" i="1"/>
  <c r="M667" i="1"/>
  <c r="D667" i="1"/>
  <c r="C667" i="1"/>
  <c r="N666" i="1"/>
  <c r="M666" i="1"/>
  <c r="D666" i="1"/>
  <c r="C666" i="1"/>
  <c r="N665" i="1"/>
  <c r="M665" i="1"/>
  <c r="D665" i="1"/>
  <c r="C665" i="1"/>
  <c r="N664" i="1"/>
  <c r="M664" i="1"/>
  <c r="D664" i="1"/>
  <c r="C664" i="1"/>
  <c r="N663" i="1"/>
  <c r="M663" i="1"/>
  <c r="O663" i="1" s="1"/>
  <c r="D663" i="1"/>
  <c r="C663" i="1"/>
  <c r="N662" i="1"/>
  <c r="M662" i="1"/>
  <c r="D662" i="1"/>
  <c r="C662" i="1"/>
  <c r="N661" i="1"/>
  <c r="M661" i="1"/>
  <c r="O661" i="1" s="1"/>
  <c r="D661" i="1"/>
  <c r="C661" i="1"/>
  <c r="N660" i="1"/>
  <c r="M660" i="1"/>
  <c r="O660" i="1" s="1"/>
  <c r="D660" i="1"/>
  <c r="C660" i="1"/>
  <c r="N659" i="1"/>
  <c r="M659" i="1"/>
  <c r="D659" i="1"/>
  <c r="C659" i="1"/>
  <c r="N658" i="1"/>
  <c r="M658" i="1"/>
  <c r="O658" i="1" s="1"/>
  <c r="D658" i="1"/>
  <c r="C658" i="1"/>
  <c r="N657" i="1"/>
  <c r="M657" i="1"/>
  <c r="O657" i="1" s="1"/>
  <c r="D657" i="1"/>
  <c r="C657" i="1"/>
  <c r="N656" i="1"/>
  <c r="M656" i="1"/>
  <c r="D656" i="1"/>
  <c r="C656" i="1"/>
  <c r="N655" i="1"/>
  <c r="M655" i="1"/>
  <c r="O655" i="1" s="1"/>
  <c r="D655" i="1"/>
  <c r="C655" i="1"/>
  <c r="N654" i="1"/>
  <c r="M654" i="1"/>
  <c r="O654" i="1" s="1"/>
  <c r="D654" i="1"/>
  <c r="C654" i="1"/>
  <c r="N653" i="1"/>
  <c r="M653" i="1"/>
  <c r="D653" i="1"/>
  <c r="C653" i="1"/>
  <c r="N652" i="1"/>
  <c r="M652" i="1"/>
  <c r="O652" i="1" s="1"/>
  <c r="D652" i="1"/>
  <c r="C652" i="1"/>
  <c r="N651" i="1"/>
  <c r="M651" i="1"/>
  <c r="D651" i="1"/>
  <c r="C651" i="1"/>
  <c r="N650" i="1"/>
  <c r="M650" i="1"/>
  <c r="D650" i="1"/>
  <c r="C650" i="1"/>
  <c r="N649" i="1"/>
  <c r="M649" i="1"/>
  <c r="D649" i="1"/>
  <c r="C649" i="1"/>
  <c r="N648" i="1"/>
  <c r="M648" i="1"/>
  <c r="D648" i="1"/>
  <c r="C648" i="1"/>
  <c r="N647" i="1"/>
  <c r="M647" i="1"/>
  <c r="D647" i="1"/>
  <c r="C647" i="1"/>
  <c r="N646" i="1"/>
  <c r="M646" i="1"/>
  <c r="O646" i="1" s="1"/>
  <c r="D646" i="1"/>
  <c r="C646" i="1"/>
  <c r="N645" i="1"/>
  <c r="M645" i="1"/>
  <c r="D645" i="1"/>
  <c r="C645" i="1"/>
  <c r="N644" i="1"/>
  <c r="M644" i="1"/>
  <c r="D644" i="1"/>
  <c r="C644" i="1"/>
  <c r="N643" i="1"/>
  <c r="M643" i="1"/>
  <c r="O643" i="1" s="1"/>
  <c r="D643" i="1"/>
  <c r="C643" i="1"/>
  <c r="N642" i="1"/>
  <c r="M642" i="1"/>
  <c r="D642" i="1"/>
  <c r="C642" i="1"/>
  <c r="N641" i="1"/>
  <c r="M641" i="1"/>
  <c r="D641" i="1"/>
  <c r="C641" i="1"/>
  <c r="N640" i="1"/>
  <c r="M640" i="1"/>
  <c r="D640" i="1"/>
  <c r="C640" i="1"/>
  <c r="N639" i="1"/>
  <c r="M639" i="1"/>
  <c r="D639" i="1"/>
  <c r="C639" i="1"/>
  <c r="N638" i="1"/>
  <c r="M638" i="1"/>
  <c r="D638" i="1"/>
  <c r="C638" i="1"/>
  <c r="N637" i="1"/>
  <c r="M637" i="1"/>
  <c r="O637" i="1" s="1"/>
  <c r="D637" i="1"/>
  <c r="C637" i="1"/>
  <c r="N636" i="1"/>
  <c r="M636" i="1"/>
  <c r="D636" i="1"/>
  <c r="C636" i="1"/>
  <c r="N635" i="1"/>
  <c r="M635" i="1"/>
  <c r="D635" i="1"/>
  <c r="C635" i="1"/>
  <c r="N634" i="1"/>
  <c r="M634" i="1"/>
  <c r="D634" i="1"/>
  <c r="C634" i="1"/>
  <c r="N633" i="1"/>
  <c r="M633" i="1"/>
  <c r="D633" i="1"/>
  <c r="C633" i="1"/>
  <c r="N632" i="1"/>
  <c r="M632" i="1"/>
  <c r="D632" i="1"/>
  <c r="C632" i="1"/>
  <c r="N631" i="1"/>
  <c r="M631" i="1"/>
  <c r="O631" i="1" s="1"/>
  <c r="D631" i="1"/>
  <c r="C631" i="1"/>
  <c r="N630" i="1"/>
  <c r="M630" i="1"/>
  <c r="D630" i="1"/>
  <c r="C630" i="1"/>
  <c r="N629" i="1"/>
  <c r="M629" i="1"/>
  <c r="D629" i="1"/>
  <c r="C629" i="1"/>
  <c r="N628" i="1"/>
  <c r="M628" i="1"/>
  <c r="O628" i="1" s="1"/>
  <c r="D628" i="1"/>
  <c r="C628" i="1"/>
  <c r="N627" i="1"/>
  <c r="M627" i="1"/>
  <c r="D627" i="1"/>
  <c r="C627" i="1"/>
  <c r="N626" i="1"/>
  <c r="M626" i="1"/>
  <c r="D626" i="1"/>
  <c r="C626" i="1"/>
  <c r="N625" i="1"/>
  <c r="M625" i="1"/>
  <c r="O625" i="1" s="1"/>
  <c r="D625" i="1"/>
  <c r="C625" i="1"/>
  <c r="N624" i="1"/>
  <c r="M624" i="1"/>
  <c r="D624" i="1"/>
  <c r="C624" i="1"/>
  <c r="N623" i="1"/>
  <c r="M623" i="1"/>
  <c r="D623" i="1"/>
  <c r="C623" i="1"/>
  <c r="N622" i="1"/>
  <c r="M622" i="1"/>
  <c r="O622" i="1" s="1"/>
  <c r="D622" i="1"/>
  <c r="C622" i="1"/>
  <c r="N621" i="1"/>
  <c r="M621" i="1"/>
  <c r="D621" i="1"/>
  <c r="C621" i="1"/>
  <c r="N620" i="1"/>
  <c r="M620" i="1"/>
  <c r="D620" i="1"/>
  <c r="C620" i="1"/>
  <c r="N619" i="1"/>
  <c r="M619" i="1"/>
  <c r="D619" i="1"/>
  <c r="C619" i="1"/>
  <c r="N618" i="1"/>
  <c r="M618" i="1"/>
  <c r="D618" i="1"/>
  <c r="C618" i="1"/>
  <c r="N617" i="1"/>
  <c r="M617" i="1"/>
  <c r="D617" i="1"/>
  <c r="C617" i="1"/>
  <c r="N616" i="1"/>
  <c r="M616" i="1"/>
  <c r="D616" i="1"/>
  <c r="C616" i="1"/>
  <c r="N615" i="1"/>
  <c r="M615" i="1"/>
  <c r="D615" i="1"/>
  <c r="C615" i="1"/>
  <c r="N614" i="1"/>
  <c r="M614" i="1"/>
  <c r="D614" i="1"/>
  <c r="C614" i="1"/>
  <c r="N613" i="1"/>
  <c r="M613" i="1"/>
  <c r="O613" i="1" s="1"/>
  <c r="D613" i="1"/>
  <c r="C613" i="1"/>
  <c r="N612" i="1"/>
  <c r="M612" i="1"/>
  <c r="D612" i="1"/>
  <c r="C612" i="1"/>
  <c r="N611" i="1"/>
  <c r="M611" i="1"/>
  <c r="D611" i="1"/>
  <c r="C611" i="1"/>
  <c r="N610" i="1"/>
  <c r="M610" i="1"/>
  <c r="O610" i="1" s="1"/>
  <c r="D610" i="1"/>
  <c r="C610" i="1"/>
  <c r="N609" i="1"/>
  <c r="M609" i="1"/>
  <c r="D609" i="1"/>
  <c r="C609" i="1"/>
  <c r="N608" i="1"/>
  <c r="M608" i="1"/>
  <c r="D608" i="1"/>
  <c r="C608" i="1"/>
  <c r="N607" i="1"/>
  <c r="M607" i="1"/>
  <c r="O607" i="1" s="1"/>
  <c r="D607" i="1"/>
  <c r="C607" i="1"/>
  <c r="N606" i="1"/>
  <c r="M606" i="1"/>
  <c r="D606" i="1"/>
  <c r="C606" i="1"/>
  <c r="N605" i="1"/>
  <c r="M605" i="1"/>
  <c r="D605" i="1"/>
  <c r="C605" i="1"/>
  <c r="N604" i="1"/>
  <c r="M604" i="1"/>
  <c r="O604" i="1" s="1"/>
  <c r="D604" i="1"/>
  <c r="C604" i="1"/>
  <c r="N603" i="1"/>
  <c r="M603" i="1"/>
  <c r="D603" i="1"/>
  <c r="C603" i="1"/>
  <c r="N602" i="1"/>
  <c r="M602" i="1"/>
  <c r="D602" i="1"/>
  <c r="C602" i="1"/>
  <c r="N601" i="1"/>
  <c r="M601" i="1"/>
  <c r="D601" i="1"/>
  <c r="C601" i="1"/>
  <c r="N600" i="1"/>
  <c r="M600" i="1"/>
  <c r="D600" i="1"/>
  <c r="C600" i="1"/>
  <c r="N599" i="1"/>
  <c r="M599" i="1"/>
  <c r="D599" i="1"/>
  <c r="C599" i="1"/>
  <c r="N598" i="1"/>
  <c r="M598" i="1"/>
  <c r="O598" i="1" s="1"/>
  <c r="D598" i="1"/>
  <c r="C598" i="1"/>
  <c r="N597" i="1"/>
  <c r="M597" i="1"/>
  <c r="D597" i="1"/>
  <c r="C597" i="1"/>
  <c r="N596" i="1"/>
  <c r="M596" i="1"/>
  <c r="D596" i="1"/>
  <c r="C596" i="1"/>
  <c r="N595" i="1"/>
  <c r="M595" i="1"/>
  <c r="O595" i="1" s="1"/>
  <c r="D595" i="1"/>
  <c r="C595" i="1"/>
  <c r="N594" i="1"/>
  <c r="M594" i="1"/>
  <c r="O594" i="1" s="1"/>
  <c r="D594" i="1"/>
  <c r="C594" i="1"/>
  <c r="N593" i="1"/>
  <c r="M593" i="1"/>
  <c r="D593" i="1"/>
  <c r="C593" i="1"/>
  <c r="N592" i="1"/>
  <c r="M592" i="1"/>
  <c r="D592" i="1"/>
  <c r="C592" i="1"/>
  <c r="N591" i="1"/>
  <c r="M591" i="1"/>
  <c r="O591" i="1" s="1"/>
  <c r="D591" i="1"/>
  <c r="C591" i="1"/>
  <c r="N590" i="1"/>
  <c r="M590" i="1"/>
  <c r="D590" i="1"/>
  <c r="C590" i="1"/>
  <c r="N589" i="1"/>
  <c r="M589" i="1"/>
  <c r="O589" i="1" s="1"/>
  <c r="D589" i="1"/>
  <c r="C589" i="1"/>
  <c r="N588" i="1"/>
  <c r="M588" i="1"/>
  <c r="O588" i="1" s="1"/>
  <c r="D588" i="1"/>
  <c r="C588" i="1"/>
  <c r="N587" i="1"/>
  <c r="M587" i="1"/>
  <c r="D587" i="1"/>
  <c r="C587" i="1"/>
  <c r="N586" i="1"/>
  <c r="M586" i="1"/>
  <c r="D586" i="1"/>
  <c r="C586" i="1"/>
  <c r="N585" i="1"/>
  <c r="M585" i="1"/>
  <c r="D585" i="1"/>
  <c r="C585" i="1"/>
  <c r="N584" i="1"/>
  <c r="M584" i="1"/>
  <c r="D584" i="1"/>
  <c r="C584" i="1"/>
  <c r="N583" i="1"/>
  <c r="M583" i="1"/>
  <c r="D583" i="1"/>
  <c r="C583" i="1"/>
  <c r="N582" i="1"/>
  <c r="M582" i="1"/>
  <c r="O582" i="1" s="1"/>
  <c r="D582" i="1"/>
  <c r="C582" i="1"/>
  <c r="N581" i="1"/>
  <c r="M581" i="1"/>
  <c r="D581" i="1"/>
  <c r="C581" i="1"/>
  <c r="N580" i="1"/>
  <c r="M580" i="1"/>
  <c r="D580" i="1"/>
  <c r="C580" i="1"/>
  <c r="N579" i="1"/>
  <c r="M579" i="1"/>
  <c r="O579" i="1" s="1"/>
  <c r="D579" i="1"/>
  <c r="C579" i="1"/>
  <c r="N578" i="1"/>
  <c r="M578" i="1"/>
  <c r="D578" i="1"/>
  <c r="C578" i="1"/>
  <c r="N577" i="1"/>
  <c r="M577" i="1"/>
  <c r="D577" i="1"/>
  <c r="C577" i="1"/>
  <c r="N576" i="1"/>
  <c r="M576" i="1"/>
  <c r="D576" i="1"/>
  <c r="C576" i="1"/>
  <c r="N575" i="1"/>
  <c r="M575" i="1"/>
  <c r="D575" i="1"/>
  <c r="C575" i="1"/>
  <c r="N574" i="1"/>
  <c r="M574" i="1"/>
  <c r="D574" i="1"/>
  <c r="C574" i="1"/>
  <c r="N573" i="1"/>
  <c r="M573" i="1"/>
  <c r="O573" i="1" s="1"/>
  <c r="D573" i="1"/>
  <c r="C573" i="1"/>
  <c r="N572" i="1"/>
  <c r="M572" i="1"/>
  <c r="D572" i="1"/>
  <c r="C572" i="1"/>
  <c r="N571" i="1"/>
  <c r="M571" i="1"/>
  <c r="D571" i="1"/>
  <c r="C571" i="1"/>
  <c r="N570" i="1"/>
  <c r="M570" i="1"/>
  <c r="D570" i="1"/>
  <c r="C570" i="1"/>
  <c r="N569" i="1"/>
  <c r="M569" i="1"/>
  <c r="D569" i="1"/>
  <c r="C569" i="1"/>
  <c r="N568" i="1"/>
  <c r="M568" i="1"/>
  <c r="D568" i="1"/>
  <c r="C568" i="1"/>
  <c r="N567" i="1"/>
  <c r="M567" i="1"/>
  <c r="O567" i="1" s="1"/>
  <c r="D567" i="1"/>
  <c r="C567" i="1"/>
  <c r="N566" i="1"/>
  <c r="M566" i="1"/>
  <c r="D566" i="1"/>
  <c r="C566" i="1"/>
  <c r="N565" i="1"/>
  <c r="M565" i="1"/>
  <c r="O565" i="1" s="1"/>
  <c r="D565" i="1"/>
  <c r="C565" i="1"/>
  <c r="N564" i="1"/>
  <c r="M564" i="1"/>
  <c r="O564" i="1" s="1"/>
  <c r="D564" i="1"/>
  <c r="C564" i="1"/>
  <c r="N563" i="1"/>
  <c r="M563" i="1"/>
  <c r="D563" i="1"/>
  <c r="C563" i="1"/>
  <c r="N562" i="1"/>
  <c r="M562" i="1"/>
  <c r="O562" i="1" s="1"/>
  <c r="D562" i="1"/>
  <c r="C562" i="1"/>
  <c r="N561" i="1"/>
  <c r="M561" i="1"/>
  <c r="O561" i="1" s="1"/>
  <c r="D561" i="1"/>
  <c r="C561" i="1"/>
  <c r="N560" i="1"/>
  <c r="M560" i="1"/>
  <c r="D560" i="1"/>
  <c r="C560" i="1"/>
  <c r="N559" i="1"/>
  <c r="M559" i="1"/>
  <c r="O559" i="1" s="1"/>
  <c r="D559" i="1"/>
  <c r="C559" i="1"/>
  <c r="N558" i="1"/>
  <c r="M558" i="1"/>
  <c r="O558" i="1" s="1"/>
  <c r="D558" i="1"/>
  <c r="C558" i="1"/>
  <c r="N557" i="1"/>
  <c r="M557" i="1"/>
  <c r="D557" i="1"/>
  <c r="C557" i="1"/>
  <c r="N556" i="1"/>
  <c r="M556" i="1"/>
  <c r="D556" i="1"/>
  <c r="C556" i="1"/>
  <c r="N555" i="1"/>
  <c r="M555" i="1"/>
  <c r="O555" i="1" s="1"/>
  <c r="D555" i="1"/>
  <c r="C555" i="1"/>
  <c r="N554" i="1"/>
  <c r="M554" i="1"/>
  <c r="D554" i="1"/>
  <c r="C554" i="1"/>
  <c r="N553" i="1"/>
  <c r="M553" i="1"/>
  <c r="O553" i="1" s="1"/>
  <c r="D553" i="1"/>
  <c r="C553" i="1"/>
  <c r="N552" i="1"/>
  <c r="M552" i="1"/>
  <c r="O552" i="1" s="1"/>
  <c r="D552" i="1"/>
  <c r="C552" i="1"/>
  <c r="N551" i="1"/>
  <c r="M551" i="1"/>
  <c r="D551" i="1"/>
  <c r="C551" i="1"/>
  <c r="N550" i="1"/>
  <c r="M550" i="1"/>
  <c r="D550" i="1"/>
  <c r="C550" i="1"/>
  <c r="N549" i="1"/>
  <c r="M549" i="1"/>
  <c r="D549" i="1"/>
  <c r="C549" i="1"/>
  <c r="N548" i="1"/>
  <c r="M548" i="1"/>
  <c r="D548" i="1"/>
  <c r="C548" i="1"/>
  <c r="N547" i="1"/>
  <c r="M547" i="1"/>
  <c r="O547" i="1" s="1"/>
  <c r="D547" i="1"/>
  <c r="C547" i="1"/>
  <c r="N546" i="1"/>
  <c r="M546" i="1"/>
  <c r="D546" i="1"/>
  <c r="C546" i="1"/>
  <c r="N545" i="1"/>
  <c r="M545" i="1"/>
  <c r="D545" i="1"/>
  <c r="C545" i="1"/>
  <c r="N544" i="1"/>
  <c r="M544" i="1"/>
  <c r="D544" i="1"/>
  <c r="C544" i="1"/>
  <c r="N543" i="1"/>
  <c r="M543" i="1"/>
  <c r="D543" i="1"/>
  <c r="C543" i="1"/>
  <c r="N542" i="1"/>
  <c r="M542" i="1"/>
  <c r="D542" i="1"/>
  <c r="C542" i="1"/>
  <c r="N541" i="1"/>
  <c r="M541" i="1"/>
  <c r="D541" i="1"/>
  <c r="C541" i="1"/>
  <c r="N540" i="1"/>
  <c r="M540" i="1"/>
  <c r="D540" i="1"/>
  <c r="C540" i="1"/>
  <c r="N539" i="1"/>
  <c r="M539" i="1"/>
  <c r="D539" i="1"/>
  <c r="C539" i="1"/>
  <c r="N538" i="1"/>
  <c r="M538" i="1"/>
  <c r="D538" i="1"/>
  <c r="C538" i="1"/>
  <c r="N537" i="1"/>
  <c r="M537" i="1"/>
  <c r="D537" i="1"/>
  <c r="C537" i="1"/>
  <c r="N536" i="1"/>
  <c r="M536" i="1"/>
  <c r="D536" i="1"/>
  <c r="C536" i="1"/>
  <c r="N535" i="1"/>
  <c r="M535" i="1"/>
  <c r="D535" i="1"/>
  <c r="C535" i="1"/>
  <c r="N534" i="1"/>
  <c r="M534" i="1"/>
  <c r="D534" i="1"/>
  <c r="C534" i="1"/>
  <c r="N533" i="1"/>
  <c r="M533" i="1"/>
  <c r="D533" i="1"/>
  <c r="C533" i="1"/>
  <c r="N532" i="1"/>
  <c r="M532" i="1"/>
  <c r="D532" i="1"/>
  <c r="C532" i="1"/>
  <c r="N531" i="1"/>
  <c r="M531" i="1"/>
  <c r="O531" i="1" s="1"/>
  <c r="D531" i="1"/>
  <c r="C531" i="1"/>
  <c r="N530" i="1"/>
  <c r="M530" i="1"/>
  <c r="O530" i="1" s="1"/>
  <c r="D530" i="1"/>
  <c r="C530" i="1"/>
  <c r="N529" i="1"/>
  <c r="M529" i="1"/>
  <c r="D529" i="1"/>
  <c r="C529" i="1"/>
  <c r="N528" i="1"/>
  <c r="M528" i="1"/>
  <c r="D528" i="1"/>
  <c r="C528" i="1"/>
  <c r="N527" i="1"/>
  <c r="M527" i="1"/>
  <c r="O527" i="1" s="1"/>
  <c r="D527" i="1"/>
  <c r="C527" i="1"/>
  <c r="N526" i="1"/>
  <c r="M526" i="1"/>
  <c r="D526" i="1"/>
  <c r="C526" i="1"/>
  <c r="N525" i="1"/>
  <c r="M525" i="1"/>
  <c r="D525" i="1"/>
  <c r="C525" i="1"/>
  <c r="N524" i="1"/>
  <c r="M524" i="1"/>
  <c r="D524" i="1"/>
  <c r="C524" i="1"/>
  <c r="N523" i="1"/>
  <c r="M523" i="1"/>
  <c r="D523" i="1"/>
  <c r="C523" i="1"/>
  <c r="N522" i="1"/>
  <c r="M522" i="1"/>
  <c r="D522" i="1"/>
  <c r="C522" i="1"/>
  <c r="N521" i="1"/>
  <c r="M521" i="1"/>
  <c r="O521" i="1" s="1"/>
  <c r="D521" i="1"/>
  <c r="C521" i="1"/>
  <c r="N520" i="1"/>
  <c r="M520" i="1"/>
  <c r="D520" i="1"/>
  <c r="C520" i="1"/>
  <c r="N519" i="1"/>
  <c r="M519" i="1"/>
  <c r="D519" i="1"/>
  <c r="C519" i="1"/>
  <c r="N518" i="1"/>
  <c r="M518" i="1"/>
  <c r="D518" i="1"/>
  <c r="C518" i="1"/>
  <c r="N517" i="1"/>
  <c r="M517" i="1"/>
  <c r="D517" i="1"/>
  <c r="C517" i="1"/>
  <c r="N516" i="1"/>
  <c r="M516" i="1"/>
  <c r="D516" i="1"/>
  <c r="C516" i="1"/>
  <c r="N515" i="1"/>
  <c r="M515" i="1"/>
  <c r="D515" i="1"/>
  <c r="C515" i="1"/>
  <c r="N514" i="1"/>
  <c r="M514" i="1"/>
  <c r="D514" i="1"/>
  <c r="C514" i="1"/>
  <c r="N513" i="1"/>
  <c r="M513" i="1"/>
  <c r="O513" i="1" s="1"/>
  <c r="D513" i="1"/>
  <c r="C513" i="1"/>
  <c r="N512" i="1"/>
  <c r="M512" i="1"/>
  <c r="D512" i="1"/>
  <c r="C512" i="1"/>
  <c r="N511" i="1"/>
  <c r="M511" i="1"/>
  <c r="D511" i="1"/>
  <c r="C511" i="1"/>
  <c r="N510" i="1"/>
  <c r="M510" i="1"/>
  <c r="O510" i="1" s="1"/>
  <c r="D510" i="1"/>
  <c r="C510" i="1"/>
  <c r="N509" i="1"/>
  <c r="M509" i="1"/>
  <c r="D509" i="1"/>
  <c r="C509" i="1"/>
  <c r="N508" i="1"/>
  <c r="M508" i="1"/>
  <c r="D508" i="1"/>
  <c r="C508" i="1"/>
  <c r="N507" i="1"/>
  <c r="M507" i="1"/>
  <c r="O507" i="1" s="1"/>
  <c r="D507" i="1"/>
  <c r="C507" i="1"/>
  <c r="N506" i="1"/>
  <c r="M506" i="1"/>
  <c r="D506" i="1"/>
  <c r="C506" i="1"/>
  <c r="N505" i="1"/>
  <c r="M505" i="1"/>
  <c r="D505" i="1"/>
  <c r="C505" i="1"/>
  <c r="N504" i="1"/>
  <c r="M504" i="1"/>
  <c r="O504" i="1" s="1"/>
  <c r="D504" i="1"/>
  <c r="C504" i="1"/>
  <c r="N503" i="1"/>
  <c r="M503" i="1"/>
  <c r="D503" i="1"/>
  <c r="C503" i="1"/>
  <c r="N502" i="1"/>
  <c r="M502" i="1"/>
  <c r="D502" i="1"/>
  <c r="C502" i="1"/>
  <c r="N501" i="1"/>
  <c r="M501" i="1"/>
  <c r="D501" i="1"/>
  <c r="C501" i="1"/>
  <c r="N500" i="1"/>
  <c r="M500" i="1"/>
  <c r="D500" i="1"/>
  <c r="C500" i="1"/>
  <c r="N499" i="1"/>
  <c r="M499" i="1"/>
  <c r="O499" i="1" s="1"/>
  <c r="D499" i="1"/>
  <c r="C499" i="1"/>
  <c r="N498" i="1"/>
  <c r="M498" i="1"/>
  <c r="D498" i="1"/>
  <c r="C498" i="1"/>
  <c r="N497" i="1"/>
  <c r="M497" i="1"/>
  <c r="O497" i="1" s="1"/>
  <c r="D497" i="1"/>
  <c r="C497" i="1"/>
  <c r="N496" i="1"/>
  <c r="M496" i="1"/>
  <c r="D496" i="1"/>
  <c r="C496" i="1"/>
  <c r="N495" i="1"/>
  <c r="M495" i="1"/>
  <c r="D495" i="1"/>
  <c r="C495" i="1"/>
  <c r="N494" i="1"/>
  <c r="M494" i="1"/>
  <c r="O494" i="1" s="1"/>
  <c r="D494" i="1"/>
  <c r="C494" i="1"/>
  <c r="N493" i="1"/>
  <c r="M493" i="1"/>
  <c r="O493" i="1" s="1"/>
  <c r="D493" i="1"/>
  <c r="C493" i="1"/>
  <c r="N492" i="1"/>
  <c r="M492" i="1"/>
  <c r="D492" i="1"/>
  <c r="C492" i="1"/>
  <c r="N491" i="1"/>
  <c r="M491" i="1"/>
  <c r="O491" i="1" s="1"/>
  <c r="D491" i="1"/>
  <c r="C491" i="1"/>
  <c r="N490" i="1"/>
  <c r="M490" i="1"/>
  <c r="O490" i="1" s="1"/>
  <c r="D490" i="1"/>
  <c r="C490" i="1"/>
  <c r="N489" i="1"/>
  <c r="M489" i="1"/>
  <c r="D489" i="1"/>
  <c r="C489" i="1"/>
  <c r="N488" i="1"/>
  <c r="M488" i="1"/>
  <c r="O488" i="1" s="1"/>
  <c r="D488" i="1"/>
  <c r="C488" i="1"/>
  <c r="N487" i="1"/>
  <c r="M487" i="1"/>
  <c r="O487" i="1" s="1"/>
  <c r="D487" i="1"/>
  <c r="C487" i="1"/>
  <c r="N486" i="1"/>
  <c r="M486" i="1"/>
  <c r="D486" i="1"/>
  <c r="C486" i="1"/>
  <c r="N485" i="1"/>
  <c r="M485" i="1"/>
  <c r="D485" i="1"/>
  <c r="C485" i="1"/>
  <c r="N484" i="1"/>
  <c r="M484" i="1"/>
  <c r="D484" i="1"/>
  <c r="C484" i="1"/>
  <c r="N483" i="1"/>
  <c r="M483" i="1"/>
  <c r="O483" i="1" s="1"/>
  <c r="D483" i="1"/>
  <c r="C483" i="1"/>
  <c r="N482" i="1"/>
  <c r="M482" i="1"/>
  <c r="D482" i="1"/>
  <c r="C482" i="1"/>
  <c r="N481" i="1"/>
  <c r="M481" i="1"/>
  <c r="D481" i="1"/>
  <c r="C481" i="1"/>
  <c r="N480" i="1"/>
  <c r="M480" i="1"/>
  <c r="D480" i="1"/>
  <c r="C480" i="1"/>
  <c r="N479" i="1"/>
  <c r="M479" i="1"/>
  <c r="D479" i="1"/>
  <c r="C479" i="1"/>
  <c r="N478" i="1"/>
  <c r="M478" i="1"/>
  <c r="D478" i="1"/>
  <c r="C478" i="1"/>
  <c r="N477" i="1"/>
  <c r="M477" i="1"/>
  <c r="O477" i="1" s="1"/>
  <c r="D477" i="1"/>
  <c r="C477" i="1"/>
  <c r="N476" i="1"/>
  <c r="M476" i="1"/>
  <c r="D476" i="1"/>
  <c r="C476" i="1"/>
  <c r="N475" i="1"/>
  <c r="M475" i="1"/>
  <c r="D475" i="1"/>
  <c r="C475" i="1"/>
  <c r="N474" i="1"/>
  <c r="M474" i="1"/>
  <c r="O474" i="1" s="1"/>
  <c r="D474" i="1"/>
  <c r="C474" i="1"/>
  <c r="N473" i="1"/>
  <c r="M473" i="1"/>
  <c r="D473" i="1"/>
  <c r="C473" i="1"/>
  <c r="N472" i="1"/>
  <c r="M472" i="1"/>
  <c r="D472" i="1"/>
  <c r="C472" i="1"/>
  <c r="N471" i="1"/>
  <c r="M471" i="1"/>
  <c r="O471" i="1" s="1"/>
  <c r="D471" i="1"/>
  <c r="C471" i="1"/>
  <c r="N470" i="1"/>
  <c r="M470" i="1"/>
  <c r="D470" i="1"/>
  <c r="C470" i="1"/>
  <c r="N469" i="1"/>
  <c r="M469" i="1"/>
  <c r="D469" i="1"/>
  <c r="C469" i="1"/>
  <c r="N468" i="1"/>
  <c r="M468" i="1"/>
  <c r="D468" i="1"/>
  <c r="C468" i="1"/>
  <c r="N467" i="1"/>
  <c r="M467" i="1"/>
  <c r="O467" i="1" s="1"/>
  <c r="D467" i="1"/>
  <c r="C467" i="1"/>
  <c r="N466" i="1"/>
  <c r="M466" i="1"/>
  <c r="D466" i="1"/>
  <c r="C466" i="1"/>
  <c r="N465" i="1"/>
  <c r="M465" i="1"/>
  <c r="D465" i="1"/>
  <c r="C465" i="1"/>
  <c r="N464" i="1"/>
  <c r="M464" i="1"/>
  <c r="D464" i="1"/>
  <c r="C464" i="1"/>
  <c r="N463" i="1"/>
  <c r="M463" i="1"/>
  <c r="D463" i="1"/>
  <c r="C463" i="1"/>
  <c r="N462" i="1"/>
  <c r="M462" i="1"/>
  <c r="D462" i="1"/>
  <c r="C462" i="1"/>
  <c r="N461" i="1"/>
  <c r="M461" i="1"/>
  <c r="D461" i="1"/>
  <c r="C461" i="1"/>
  <c r="N460" i="1"/>
  <c r="M460" i="1"/>
  <c r="D460" i="1"/>
  <c r="C460" i="1"/>
  <c r="N459" i="1"/>
  <c r="M459" i="1"/>
  <c r="D459" i="1"/>
  <c r="C459" i="1"/>
  <c r="N458" i="1"/>
  <c r="M458" i="1"/>
  <c r="D458" i="1"/>
  <c r="C458" i="1"/>
  <c r="N457" i="1"/>
  <c r="M457" i="1"/>
  <c r="D457" i="1"/>
  <c r="C457" i="1"/>
  <c r="N456" i="1"/>
  <c r="M456" i="1"/>
  <c r="D456" i="1"/>
  <c r="C456" i="1"/>
  <c r="N455" i="1"/>
  <c r="M455" i="1"/>
  <c r="D455" i="1"/>
  <c r="C455" i="1"/>
  <c r="N454" i="1"/>
  <c r="M454" i="1"/>
  <c r="D454" i="1"/>
  <c r="C454" i="1"/>
  <c r="N453" i="1"/>
  <c r="M453" i="1"/>
  <c r="D453" i="1"/>
  <c r="C453" i="1"/>
  <c r="N452" i="1"/>
  <c r="M452" i="1"/>
  <c r="D452" i="1"/>
  <c r="C452" i="1"/>
  <c r="N451" i="1"/>
  <c r="M451" i="1"/>
  <c r="O451" i="1" s="1"/>
  <c r="D451" i="1"/>
  <c r="C451" i="1"/>
  <c r="N450" i="1"/>
  <c r="M450" i="1"/>
  <c r="D450" i="1"/>
  <c r="C450" i="1"/>
  <c r="N449" i="1"/>
  <c r="M449" i="1"/>
  <c r="D449" i="1"/>
  <c r="C449" i="1"/>
  <c r="N448" i="1"/>
  <c r="M448" i="1"/>
  <c r="D448" i="1"/>
  <c r="C448" i="1"/>
  <c r="N447" i="1"/>
  <c r="M447" i="1"/>
  <c r="D447" i="1"/>
  <c r="C447" i="1"/>
  <c r="N446" i="1"/>
  <c r="M446" i="1"/>
  <c r="D446" i="1"/>
  <c r="C446" i="1"/>
  <c r="N445" i="1"/>
  <c r="M445" i="1"/>
  <c r="D445" i="1"/>
  <c r="C445" i="1"/>
  <c r="N444" i="1"/>
  <c r="M444" i="1"/>
  <c r="D444" i="1"/>
  <c r="C444" i="1"/>
  <c r="N443" i="1"/>
  <c r="M443" i="1"/>
  <c r="D443" i="1"/>
  <c r="C443" i="1"/>
  <c r="N442" i="1"/>
  <c r="M442" i="1"/>
  <c r="D442" i="1"/>
  <c r="C442" i="1"/>
  <c r="N441" i="1"/>
  <c r="M441" i="1"/>
  <c r="D441" i="1"/>
  <c r="C441" i="1"/>
  <c r="N440" i="1"/>
  <c r="M440" i="1"/>
  <c r="D440" i="1"/>
  <c r="C440" i="1"/>
  <c r="N439" i="1"/>
  <c r="M439" i="1"/>
  <c r="D439" i="1"/>
  <c r="C439" i="1"/>
  <c r="N438" i="1"/>
  <c r="M438" i="1"/>
  <c r="D438" i="1"/>
  <c r="C438" i="1"/>
  <c r="N437" i="1"/>
  <c r="M437" i="1"/>
  <c r="D437" i="1"/>
  <c r="C437" i="1"/>
  <c r="N436" i="1"/>
  <c r="M436" i="1"/>
  <c r="D436" i="1"/>
  <c r="C436" i="1"/>
  <c r="N435" i="1"/>
  <c r="M435" i="1"/>
  <c r="O435" i="1" s="1"/>
  <c r="D435" i="1"/>
  <c r="C435" i="1"/>
  <c r="N434" i="1"/>
  <c r="M434" i="1"/>
  <c r="D434" i="1"/>
  <c r="C434" i="1"/>
  <c r="N433" i="1"/>
  <c r="M433" i="1"/>
  <c r="D433" i="1"/>
  <c r="C433" i="1"/>
  <c r="N432" i="1"/>
  <c r="M432" i="1"/>
  <c r="D432" i="1"/>
  <c r="C432" i="1"/>
  <c r="N431" i="1"/>
  <c r="M431" i="1"/>
  <c r="D431" i="1"/>
  <c r="C431" i="1"/>
  <c r="N430" i="1"/>
  <c r="M430" i="1"/>
  <c r="D430" i="1"/>
  <c r="C430" i="1"/>
  <c r="N429" i="1"/>
  <c r="M429" i="1"/>
  <c r="D429" i="1"/>
  <c r="C429" i="1"/>
  <c r="N428" i="1"/>
  <c r="M428" i="1"/>
  <c r="D428" i="1"/>
  <c r="C428" i="1"/>
  <c r="N427" i="1"/>
  <c r="M427" i="1"/>
  <c r="D427" i="1"/>
  <c r="C427" i="1"/>
  <c r="N426" i="1"/>
  <c r="M426" i="1"/>
  <c r="D426" i="1"/>
  <c r="C426" i="1"/>
  <c r="N425" i="1"/>
  <c r="M425" i="1"/>
  <c r="D425" i="1"/>
  <c r="C425" i="1"/>
  <c r="N424" i="1"/>
  <c r="M424" i="1"/>
  <c r="D424" i="1"/>
  <c r="C424" i="1"/>
  <c r="N423" i="1"/>
  <c r="M423" i="1"/>
  <c r="D423" i="1"/>
  <c r="C423" i="1"/>
  <c r="N422" i="1"/>
  <c r="M422" i="1"/>
  <c r="D422" i="1"/>
  <c r="C422" i="1"/>
  <c r="N421" i="1"/>
  <c r="M421" i="1"/>
  <c r="D421" i="1"/>
  <c r="C421" i="1"/>
  <c r="N420" i="1"/>
  <c r="M420" i="1"/>
  <c r="D420" i="1"/>
  <c r="C420" i="1"/>
  <c r="N419" i="1"/>
  <c r="M419" i="1"/>
  <c r="D419" i="1"/>
  <c r="C419" i="1"/>
  <c r="N418" i="1"/>
  <c r="M418" i="1"/>
  <c r="O418" i="1" s="1"/>
  <c r="D418" i="1"/>
  <c r="C418" i="1"/>
  <c r="N417" i="1"/>
  <c r="M417" i="1"/>
  <c r="D417" i="1"/>
  <c r="C417" i="1"/>
  <c r="N416" i="1"/>
  <c r="M416" i="1"/>
  <c r="D416" i="1"/>
  <c r="C416" i="1"/>
  <c r="N415" i="1"/>
  <c r="M415" i="1"/>
  <c r="O415" i="1" s="1"/>
  <c r="D415" i="1"/>
  <c r="C415" i="1"/>
  <c r="N414" i="1"/>
  <c r="M414" i="1"/>
  <c r="D414" i="1"/>
  <c r="C414" i="1"/>
  <c r="N413" i="1"/>
  <c r="M413" i="1"/>
  <c r="D413" i="1"/>
  <c r="C413" i="1"/>
  <c r="N412" i="1"/>
  <c r="M412" i="1"/>
  <c r="D412" i="1"/>
  <c r="C412" i="1"/>
  <c r="N411" i="1"/>
  <c r="M411" i="1"/>
  <c r="D411" i="1"/>
  <c r="C411" i="1"/>
  <c r="N410" i="1"/>
  <c r="M410" i="1"/>
  <c r="D410" i="1"/>
  <c r="C410" i="1"/>
  <c r="N409" i="1"/>
  <c r="M409" i="1"/>
  <c r="O409" i="1" s="1"/>
  <c r="D409" i="1"/>
  <c r="C409" i="1"/>
  <c r="N408" i="1"/>
  <c r="M408" i="1"/>
  <c r="D408" i="1"/>
  <c r="C408" i="1"/>
  <c r="N407" i="1"/>
  <c r="M407" i="1"/>
  <c r="D407" i="1"/>
  <c r="C407" i="1"/>
  <c r="N406" i="1"/>
  <c r="M406" i="1"/>
  <c r="D406" i="1"/>
  <c r="C406" i="1"/>
  <c r="N405" i="1"/>
  <c r="M405" i="1"/>
  <c r="D405" i="1"/>
  <c r="C405" i="1"/>
  <c r="N404" i="1"/>
  <c r="M404" i="1"/>
  <c r="D404" i="1"/>
  <c r="C404" i="1"/>
  <c r="N403" i="1"/>
  <c r="M403" i="1"/>
  <c r="O403" i="1" s="1"/>
  <c r="D403" i="1"/>
  <c r="C403" i="1"/>
  <c r="N402" i="1"/>
  <c r="M402" i="1"/>
  <c r="D402" i="1"/>
  <c r="C402" i="1"/>
  <c r="N401" i="1"/>
  <c r="M401" i="1"/>
  <c r="D401" i="1"/>
  <c r="C401" i="1"/>
  <c r="N400" i="1"/>
  <c r="M400" i="1"/>
  <c r="D400" i="1"/>
  <c r="C400" i="1"/>
  <c r="N399" i="1"/>
  <c r="M399" i="1"/>
  <c r="D399" i="1"/>
  <c r="C399" i="1"/>
  <c r="N398" i="1"/>
  <c r="M398" i="1"/>
  <c r="D398" i="1"/>
  <c r="C398" i="1"/>
  <c r="N397" i="1"/>
  <c r="M397" i="1"/>
  <c r="O397" i="1" s="1"/>
  <c r="D397" i="1"/>
  <c r="C397" i="1"/>
  <c r="N396" i="1"/>
  <c r="M396" i="1"/>
  <c r="D396" i="1"/>
  <c r="C396" i="1"/>
  <c r="N395" i="1"/>
  <c r="M395" i="1"/>
  <c r="D395" i="1"/>
  <c r="C395" i="1"/>
  <c r="N394" i="1"/>
  <c r="M394" i="1"/>
  <c r="O394" i="1" s="1"/>
  <c r="D394" i="1"/>
  <c r="C394" i="1"/>
  <c r="N393" i="1"/>
  <c r="M393" i="1"/>
  <c r="D393" i="1"/>
  <c r="C393" i="1"/>
  <c r="N392" i="1"/>
  <c r="M392" i="1"/>
  <c r="D392" i="1"/>
  <c r="C392" i="1"/>
  <c r="N391" i="1"/>
  <c r="M391" i="1"/>
  <c r="O391" i="1" s="1"/>
  <c r="D391" i="1"/>
  <c r="C391" i="1"/>
  <c r="N390" i="1"/>
  <c r="M390" i="1"/>
  <c r="D390" i="1"/>
  <c r="C390" i="1"/>
  <c r="N389" i="1"/>
  <c r="M389" i="1"/>
  <c r="D389" i="1"/>
  <c r="C389" i="1"/>
  <c r="N388" i="1"/>
  <c r="M388" i="1"/>
  <c r="O388" i="1" s="1"/>
  <c r="D388" i="1"/>
  <c r="C388" i="1"/>
  <c r="N387" i="1"/>
  <c r="M387" i="1"/>
  <c r="D387" i="1"/>
  <c r="C387" i="1"/>
  <c r="N386" i="1"/>
  <c r="M386" i="1"/>
  <c r="D386" i="1"/>
  <c r="C386" i="1"/>
  <c r="N385" i="1"/>
  <c r="M385" i="1"/>
  <c r="D385" i="1"/>
  <c r="C385" i="1"/>
  <c r="N384" i="1"/>
  <c r="M384" i="1"/>
  <c r="D384" i="1"/>
  <c r="C384" i="1"/>
  <c r="N383" i="1"/>
  <c r="M383" i="1"/>
  <c r="O383" i="1" s="1"/>
  <c r="D383" i="1"/>
  <c r="C383" i="1"/>
  <c r="N382" i="1"/>
  <c r="M382" i="1"/>
  <c r="D382" i="1"/>
  <c r="C382" i="1"/>
  <c r="N381" i="1"/>
  <c r="M381" i="1"/>
  <c r="O381" i="1" s="1"/>
  <c r="D381" i="1"/>
  <c r="C381" i="1"/>
  <c r="N380" i="1"/>
  <c r="M380" i="1"/>
  <c r="D380" i="1"/>
  <c r="C380" i="1"/>
  <c r="N379" i="1"/>
  <c r="M379" i="1"/>
  <c r="D379" i="1"/>
  <c r="C379" i="1"/>
  <c r="N378" i="1"/>
  <c r="M378" i="1"/>
  <c r="O378" i="1" s="1"/>
  <c r="D378" i="1"/>
  <c r="C378" i="1"/>
  <c r="N377" i="1"/>
  <c r="M377" i="1"/>
  <c r="O377" i="1" s="1"/>
  <c r="D377" i="1"/>
  <c r="C377" i="1"/>
  <c r="N376" i="1"/>
  <c r="M376" i="1"/>
  <c r="D376" i="1"/>
  <c r="C376" i="1"/>
  <c r="N375" i="1"/>
  <c r="M375" i="1"/>
  <c r="O375" i="1" s="1"/>
  <c r="D375" i="1"/>
  <c r="C375" i="1"/>
  <c r="N374" i="1"/>
  <c r="M374" i="1"/>
  <c r="O374" i="1" s="1"/>
  <c r="D374" i="1"/>
  <c r="C374" i="1"/>
  <c r="N373" i="1"/>
  <c r="M373" i="1"/>
  <c r="D373" i="1"/>
  <c r="C373" i="1"/>
  <c r="N372" i="1"/>
  <c r="M372" i="1"/>
  <c r="O372" i="1" s="1"/>
  <c r="D372" i="1"/>
  <c r="C372" i="1"/>
  <c r="N371" i="1"/>
  <c r="M371" i="1"/>
  <c r="D371" i="1"/>
  <c r="C371" i="1"/>
  <c r="N370" i="1"/>
  <c r="M370" i="1"/>
  <c r="D370" i="1"/>
  <c r="C370" i="1"/>
  <c r="N369" i="1"/>
  <c r="M369" i="1"/>
  <c r="D369" i="1"/>
  <c r="C369" i="1"/>
  <c r="N368" i="1"/>
  <c r="M368" i="1"/>
  <c r="D368" i="1"/>
  <c r="C368" i="1"/>
  <c r="N367" i="1"/>
  <c r="M367" i="1"/>
  <c r="O367" i="1" s="1"/>
  <c r="D367" i="1"/>
  <c r="C367" i="1"/>
  <c r="N366" i="1"/>
  <c r="M366" i="1"/>
  <c r="O366" i="1" s="1"/>
  <c r="D366" i="1"/>
  <c r="C366" i="1"/>
  <c r="N365" i="1"/>
  <c r="M365" i="1"/>
  <c r="D365" i="1"/>
  <c r="C365" i="1"/>
  <c r="N364" i="1"/>
  <c r="M364" i="1"/>
  <c r="D364" i="1"/>
  <c r="C364" i="1"/>
  <c r="N363" i="1"/>
  <c r="M363" i="1"/>
  <c r="O363" i="1" s="1"/>
  <c r="D363" i="1"/>
  <c r="C363" i="1"/>
  <c r="N362" i="1"/>
  <c r="M362" i="1"/>
  <c r="D362" i="1"/>
  <c r="C362" i="1"/>
  <c r="N361" i="1"/>
  <c r="M361" i="1"/>
  <c r="D361" i="1"/>
  <c r="C361" i="1"/>
  <c r="N360" i="1"/>
  <c r="M360" i="1"/>
  <c r="O360" i="1" s="1"/>
  <c r="D360" i="1"/>
  <c r="C360" i="1"/>
  <c r="N359" i="1"/>
  <c r="M359" i="1"/>
  <c r="D359" i="1"/>
  <c r="C359" i="1"/>
  <c r="N358" i="1"/>
  <c r="M358" i="1"/>
  <c r="D358" i="1"/>
  <c r="C358" i="1"/>
  <c r="N357" i="1"/>
  <c r="M357" i="1"/>
  <c r="O357" i="1" s="1"/>
  <c r="D357" i="1"/>
  <c r="C357" i="1"/>
  <c r="N356" i="1"/>
  <c r="M356" i="1"/>
  <c r="D356" i="1"/>
  <c r="C356" i="1"/>
  <c r="N355" i="1"/>
  <c r="M355" i="1"/>
  <c r="D355" i="1"/>
  <c r="C355" i="1"/>
  <c r="N354" i="1"/>
  <c r="M354" i="1"/>
  <c r="O354" i="1" s="1"/>
  <c r="D354" i="1"/>
  <c r="C354" i="1"/>
  <c r="N353" i="1"/>
  <c r="M353" i="1"/>
  <c r="D353" i="1"/>
  <c r="C353" i="1"/>
  <c r="N352" i="1"/>
  <c r="M352" i="1"/>
  <c r="D352" i="1"/>
  <c r="C352" i="1"/>
  <c r="N351" i="1"/>
  <c r="M351" i="1"/>
  <c r="D351" i="1"/>
  <c r="C351" i="1"/>
  <c r="N350" i="1"/>
  <c r="M350" i="1"/>
  <c r="D350" i="1"/>
  <c r="C350" i="1"/>
  <c r="N349" i="1"/>
  <c r="M349" i="1"/>
  <c r="D349" i="1"/>
  <c r="C349" i="1"/>
  <c r="N348" i="1"/>
  <c r="M348" i="1"/>
  <c r="D348" i="1"/>
  <c r="C348" i="1"/>
  <c r="N347" i="1"/>
  <c r="M347" i="1"/>
  <c r="D347" i="1"/>
  <c r="C347" i="1"/>
  <c r="N346" i="1"/>
  <c r="M346" i="1"/>
  <c r="D346" i="1"/>
  <c r="C346" i="1"/>
  <c r="N345" i="1"/>
  <c r="M345" i="1"/>
  <c r="D345" i="1"/>
  <c r="C345" i="1"/>
  <c r="N344" i="1"/>
  <c r="M344" i="1"/>
  <c r="D344" i="1"/>
  <c r="C344" i="1"/>
  <c r="N343" i="1"/>
  <c r="M343" i="1"/>
  <c r="D343" i="1"/>
  <c r="C343" i="1"/>
  <c r="N342" i="1"/>
  <c r="M342" i="1"/>
  <c r="D342" i="1"/>
  <c r="C342" i="1"/>
  <c r="N341" i="1"/>
  <c r="M341" i="1"/>
  <c r="D341" i="1"/>
  <c r="C341" i="1"/>
  <c r="N340" i="1"/>
  <c r="M340" i="1"/>
  <c r="D340" i="1"/>
  <c r="C340" i="1"/>
  <c r="N339" i="1"/>
  <c r="M339" i="1"/>
  <c r="D339" i="1"/>
  <c r="C339" i="1"/>
  <c r="N338" i="1"/>
  <c r="M338" i="1"/>
  <c r="D338" i="1"/>
  <c r="C338" i="1"/>
  <c r="N337" i="1"/>
  <c r="M337" i="1"/>
  <c r="D337" i="1"/>
  <c r="C337" i="1"/>
  <c r="N336" i="1"/>
  <c r="M336" i="1"/>
  <c r="D336" i="1"/>
  <c r="C336" i="1"/>
  <c r="N335" i="1"/>
  <c r="M335" i="1"/>
  <c r="D335" i="1"/>
  <c r="C335" i="1"/>
  <c r="N334" i="1"/>
  <c r="M334" i="1"/>
  <c r="D334" i="1"/>
  <c r="C334" i="1"/>
  <c r="N333" i="1"/>
  <c r="M333" i="1"/>
  <c r="D333" i="1"/>
  <c r="C333" i="1"/>
  <c r="N332" i="1"/>
  <c r="M332" i="1"/>
  <c r="D332" i="1"/>
  <c r="C332" i="1"/>
  <c r="N331" i="1"/>
  <c r="M331" i="1"/>
  <c r="D331" i="1"/>
  <c r="C331" i="1"/>
  <c r="N330" i="1"/>
  <c r="M330" i="1"/>
  <c r="D330" i="1"/>
  <c r="C330" i="1"/>
  <c r="N329" i="1"/>
  <c r="M329" i="1"/>
  <c r="D329" i="1"/>
  <c r="C329" i="1"/>
  <c r="N328" i="1"/>
  <c r="M328" i="1"/>
  <c r="D328" i="1"/>
  <c r="C328" i="1"/>
  <c r="N327" i="1"/>
  <c r="M327" i="1"/>
  <c r="D327" i="1"/>
  <c r="C327" i="1"/>
  <c r="N326" i="1"/>
  <c r="M326" i="1"/>
  <c r="D326" i="1"/>
  <c r="C326" i="1"/>
  <c r="N325" i="1"/>
  <c r="M325" i="1"/>
  <c r="D325" i="1"/>
  <c r="C325" i="1"/>
  <c r="N324" i="1"/>
  <c r="M324" i="1"/>
  <c r="D324" i="1"/>
  <c r="C324" i="1"/>
  <c r="N323" i="1"/>
  <c r="M323" i="1"/>
  <c r="D323" i="1"/>
  <c r="C323" i="1"/>
  <c r="N322" i="1"/>
  <c r="M322" i="1"/>
  <c r="D322" i="1"/>
  <c r="C322" i="1"/>
  <c r="N321" i="1"/>
  <c r="M321" i="1"/>
  <c r="D321" i="1"/>
  <c r="C321" i="1"/>
  <c r="N320" i="1"/>
  <c r="M320" i="1"/>
  <c r="D320" i="1"/>
  <c r="C320" i="1"/>
  <c r="N319" i="1"/>
  <c r="M319" i="1"/>
  <c r="D319" i="1"/>
  <c r="C319" i="1"/>
  <c r="N318" i="1"/>
  <c r="M318" i="1"/>
  <c r="D318" i="1"/>
  <c r="C318" i="1"/>
  <c r="N317" i="1"/>
  <c r="M317" i="1"/>
  <c r="D317" i="1"/>
  <c r="C317" i="1"/>
  <c r="N316" i="1"/>
  <c r="M316" i="1"/>
  <c r="D316" i="1"/>
  <c r="C316" i="1"/>
  <c r="N315" i="1"/>
  <c r="M315" i="1"/>
  <c r="D315" i="1"/>
  <c r="C315" i="1"/>
  <c r="N314" i="1"/>
  <c r="M314" i="1"/>
  <c r="D314" i="1"/>
  <c r="C314" i="1"/>
  <c r="N313" i="1"/>
  <c r="M313" i="1"/>
  <c r="D313" i="1"/>
  <c r="C313" i="1"/>
  <c r="N312" i="1"/>
  <c r="M312" i="1"/>
  <c r="D312" i="1"/>
  <c r="C312" i="1"/>
  <c r="N311" i="1"/>
  <c r="M311" i="1"/>
  <c r="D311" i="1"/>
  <c r="C311" i="1"/>
  <c r="N310" i="1"/>
  <c r="M310" i="1"/>
  <c r="D310" i="1"/>
  <c r="C310" i="1"/>
  <c r="N309" i="1"/>
  <c r="M309" i="1"/>
  <c r="D309" i="1"/>
  <c r="C309" i="1"/>
  <c r="N308" i="1"/>
  <c r="M308" i="1"/>
  <c r="D308" i="1"/>
  <c r="C308" i="1"/>
  <c r="N307" i="1"/>
  <c r="M307" i="1"/>
  <c r="D307" i="1"/>
  <c r="C307" i="1"/>
  <c r="N306" i="1"/>
  <c r="M306" i="1"/>
  <c r="D306" i="1"/>
  <c r="C306" i="1"/>
  <c r="N305" i="1"/>
  <c r="M305" i="1"/>
  <c r="D305" i="1"/>
  <c r="C305" i="1"/>
  <c r="N304" i="1"/>
  <c r="M304" i="1"/>
  <c r="D304" i="1"/>
  <c r="C304" i="1"/>
  <c r="N303" i="1"/>
  <c r="M303" i="1"/>
  <c r="D303" i="1"/>
  <c r="C303" i="1"/>
  <c r="N302" i="1"/>
  <c r="M302" i="1"/>
  <c r="D302" i="1"/>
  <c r="C302" i="1"/>
  <c r="N301" i="1"/>
  <c r="M301" i="1"/>
  <c r="D301" i="1"/>
  <c r="C301" i="1"/>
  <c r="N300" i="1"/>
  <c r="M300" i="1"/>
  <c r="D300" i="1"/>
  <c r="C300" i="1"/>
  <c r="N299" i="1"/>
  <c r="M299" i="1"/>
  <c r="D299" i="1"/>
  <c r="C299" i="1"/>
  <c r="N298" i="1"/>
  <c r="M298" i="1"/>
  <c r="D298" i="1"/>
  <c r="C298" i="1"/>
  <c r="N297" i="1"/>
  <c r="M297" i="1"/>
  <c r="D297" i="1"/>
  <c r="C297" i="1"/>
  <c r="N296" i="1"/>
  <c r="M296" i="1"/>
  <c r="D296" i="1"/>
  <c r="C296" i="1"/>
  <c r="N295" i="1"/>
  <c r="M295" i="1"/>
  <c r="D295" i="1"/>
  <c r="C295" i="1"/>
  <c r="N294" i="1"/>
  <c r="M294" i="1"/>
  <c r="D294" i="1"/>
  <c r="C294" i="1"/>
  <c r="N293" i="1"/>
  <c r="M293" i="1"/>
  <c r="D293" i="1"/>
  <c r="C293" i="1"/>
  <c r="N292" i="1"/>
  <c r="M292" i="1"/>
  <c r="D292" i="1"/>
  <c r="C292" i="1"/>
  <c r="N291" i="1"/>
  <c r="M291" i="1"/>
  <c r="D291" i="1"/>
  <c r="C291" i="1"/>
  <c r="N290" i="1"/>
  <c r="M290" i="1"/>
  <c r="D290" i="1"/>
  <c r="C290" i="1"/>
  <c r="N289" i="1"/>
  <c r="M289" i="1"/>
  <c r="D289" i="1"/>
  <c r="C289" i="1"/>
  <c r="N288" i="1"/>
  <c r="M288" i="1"/>
  <c r="D288" i="1"/>
  <c r="C288" i="1"/>
  <c r="N287" i="1"/>
  <c r="M287" i="1"/>
  <c r="D287" i="1"/>
  <c r="C287" i="1"/>
  <c r="N286" i="1"/>
  <c r="M286" i="1"/>
  <c r="D286" i="1"/>
  <c r="C286" i="1"/>
  <c r="N285" i="1"/>
  <c r="M285" i="1"/>
  <c r="D285" i="1"/>
  <c r="C285" i="1"/>
  <c r="N284" i="1"/>
  <c r="M284" i="1"/>
  <c r="D284" i="1"/>
  <c r="C284" i="1"/>
  <c r="N283" i="1"/>
  <c r="M283" i="1"/>
  <c r="D283" i="1"/>
  <c r="C283" i="1"/>
  <c r="N282" i="1"/>
  <c r="M282" i="1"/>
  <c r="D282" i="1"/>
  <c r="C282" i="1"/>
  <c r="N281" i="1"/>
  <c r="M281" i="1"/>
  <c r="D281" i="1"/>
  <c r="C281" i="1"/>
  <c r="N280" i="1"/>
  <c r="M280" i="1"/>
  <c r="D280" i="1"/>
  <c r="C280" i="1"/>
  <c r="N279" i="1"/>
  <c r="M279" i="1"/>
  <c r="D279" i="1"/>
  <c r="C279" i="1"/>
  <c r="N278" i="1"/>
  <c r="M278" i="1"/>
  <c r="D278" i="1"/>
  <c r="C278" i="1"/>
  <c r="N277" i="1"/>
  <c r="M277" i="1"/>
  <c r="D277" i="1"/>
  <c r="C277" i="1"/>
  <c r="N276" i="1"/>
  <c r="M276" i="1"/>
  <c r="D276" i="1"/>
  <c r="C276" i="1"/>
  <c r="N275" i="1"/>
  <c r="M275" i="1"/>
  <c r="D275" i="1"/>
  <c r="C275" i="1"/>
  <c r="N274" i="1"/>
  <c r="M274" i="1"/>
  <c r="D274" i="1"/>
  <c r="C274" i="1"/>
  <c r="N273" i="1"/>
  <c r="M273" i="1"/>
  <c r="D273" i="1"/>
  <c r="C273" i="1"/>
  <c r="N272" i="1"/>
  <c r="O272" i="1" s="1"/>
  <c r="M272" i="1"/>
  <c r="D272" i="1"/>
  <c r="C272" i="1"/>
  <c r="N271" i="1"/>
  <c r="M271" i="1"/>
  <c r="D271" i="1"/>
  <c r="C271" i="1"/>
  <c r="N270" i="1"/>
  <c r="M270" i="1"/>
  <c r="D270" i="1"/>
  <c r="C270" i="1"/>
  <c r="N269" i="1"/>
  <c r="M269" i="1"/>
  <c r="D269" i="1"/>
  <c r="C269" i="1"/>
  <c r="N268" i="1"/>
  <c r="M268" i="1"/>
  <c r="D268" i="1"/>
  <c r="C268" i="1"/>
  <c r="N267" i="1"/>
  <c r="M267" i="1"/>
  <c r="D267" i="1"/>
  <c r="C267" i="1"/>
  <c r="N266" i="1"/>
  <c r="M266" i="1"/>
  <c r="D266" i="1"/>
  <c r="C266" i="1"/>
  <c r="N265" i="1"/>
  <c r="M265" i="1"/>
  <c r="D265" i="1"/>
  <c r="C265" i="1"/>
  <c r="N264" i="1"/>
  <c r="M264" i="1"/>
  <c r="D264" i="1"/>
  <c r="C264" i="1"/>
  <c r="N263" i="1"/>
  <c r="M263" i="1"/>
  <c r="D263" i="1"/>
  <c r="C263" i="1"/>
  <c r="N262" i="1"/>
  <c r="M262" i="1"/>
  <c r="D262" i="1"/>
  <c r="C262" i="1"/>
  <c r="N261" i="1"/>
  <c r="M261" i="1"/>
  <c r="D261" i="1"/>
  <c r="C261" i="1"/>
  <c r="N260" i="1"/>
  <c r="M260" i="1"/>
  <c r="D260" i="1"/>
  <c r="C260" i="1"/>
  <c r="N259" i="1"/>
  <c r="M259" i="1"/>
  <c r="D259" i="1"/>
  <c r="C259" i="1"/>
  <c r="N258" i="1"/>
  <c r="M258" i="1"/>
  <c r="D258" i="1"/>
  <c r="C258" i="1"/>
  <c r="N257" i="1"/>
  <c r="M257" i="1"/>
  <c r="D257" i="1"/>
  <c r="C257" i="1"/>
  <c r="N256" i="1"/>
  <c r="M256" i="1"/>
  <c r="D256" i="1"/>
  <c r="C256" i="1"/>
  <c r="N255" i="1"/>
  <c r="M255" i="1"/>
  <c r="D255" i="1"/>
  <c r="C255" i="1"/>
  <c r="N254" i="1"/>
  <c r="M254" i="1"/>
  <c r="D254" i="1"/>
  <c r="C254" i="1"/>
  <c r="N253" i="1"/>
  <c r="M253" i="1"/>
  <c r="D253" i="1"/>
  <c r="C253" i="1"/>
  <c r="N252" i="1"/>
  <c r="M252" i="1"/>
  <c r="D252" i="1"/>
  <c r="C252" i="1"/>
  <c r="N251" i="1"/>
  <c r="M251" i="1"/>
  <c r="D251" i="1"/>
  <c r="C251" i="1"/>
  <c r="N250" i="1"/>
  <c r="M250" i="1"/>
  <c r="D250" i="1"/>
  <c r="C250" i="1"/>
  <c r="N249" i="1"/>
  <c r="M249" i="1"/>
  <c r="D249" i="1"/>
  <c r="C249" i="1"/>
  <c r="N248" i="1"/>
  <c r="M248" i="1"/>
  <c r="D248" i="1"/>
  <c r="C248" i="1"/>
  <c r="N247" i="1"/>
  <c r="M247" i="1"/>
  <c r="D247" i="1"/>
  <c r="C247" i="1"/>
  <c r="N246" i="1"/>
  <c r="M246" i="1"/>
  <c r="D246" i="1"/>
  <c r="C246" i="1"/>
  <c r="N245" i="1"/>
  <c r="M245" i="1"/>
  <c r="D245" i="1"/>
  <c r="C245" i="1"/>
  <c r="N244" i="1"/>
  <c r="M244" i="1"/>
  <c r="D244" i="1"/>
  <c r="C244" i="1"/>
  <c r="N243" i="1"/>
  <c r="M243" i="1"/>
  <c r="D243" i="1"/>
  <c r="C243" i="1"/>
  <c r="N242" i="1"/>
  <c r="M242" i="1"/>
  <c r="D242" i="1"/>
  <c r="C242" i="1"/>
  <c r="N241" i="1"/>
  <c r="M241" i="1"/>
  <c r="D241" i="1"/>
  <c r="C241" i="1"/>
  <c r="N240" i="1"/>
  <c r="M240" i="1"/>
  <c r="D240" i="1"/>
  <c r="C240" i="1"/>
  <c r="N239" i="1"/>
  <c r="M239" i="1"/>
  <c r="D239" i="1"/>
  <c r="C239" i="1"/>
  <c r="N238" i="1"/>
  <c r="M238" i="1"/>
  <c r="D238" i="1"/>
  <c r="C238" i="1"/>
  <c r="N237" i="1"/>
  <c r="M237" i="1"/>
  <c r="D237" i="1"/>
  <c r="C237" i="1"/>
  <c r="N236" i="1"/>
  <c r="M236" i="1"/>
  <c r="D236" i="1"/>
  <c r="C236" i="1"/>
  <c r="N235" i="1"/>
  <c r="M235" i="1"/>
  <c r="D235" i="1"/>
  <c r="C235" i="1"/>
  <c r="N234" i="1"/>
  <c r="M234" i="1"/>
  <c r="D234" i="1"/>
  <c r="C234" i="1"/>
  <c r="N233" i="1"/>
  <c r="M233" i="1"/>
  <c r="D233" i="1"/>
  <c r="C233" i="1"/>
  <c r="N232" i="1"/>
  <c r="M232" i="1"/>
  <c r="D232" i="1"/>
  <c r="C232" i="1"/>
  <c r="N231" i="1"/>
  <c r="M231" i="1"/>
  <c r="D231" i="1"/>
  <c r="C231" i="1"/>
  <c r="N230" i="1"/>
  <c r="M230" i="1"/>
  <c r="D230" i="1"/>
  <c r="C230" i="1"/>
  <c r="N229" i="1"/>
  <c r="M229" i="1"/>
  <c r="D229" i="1"/>
  <c r="C229" i="1"/>
  <c r="N228" i="1"/>
  <c r="M228" i="1"/>
  <c r="D228" i="1"/>
  <c r="C228" i="1"/>
  <c r="N227" i="1"/>
  <c r="M227" i="1"/>
  <c r="D227" i="1"/>
  <c r="C227" i="1"/>
  <c r="N226" i="1"/>
  <c r="M226" i="1"/>
  <c r="D226" i="1"/>
  <c r="C226" i="1"/>
  <c r="N225" i="1"/>
  <c r="M225" i="1"/>
  <c r="D225" i="1"/>
  <c r="C225" i="1"/>
  <c r="N224" i="1"/>
  <c r="M224" i="1"/>
  <c r="D224" i="1"/>
  <c r="C224" i="1"/>
  <c r="N223" i="1"/>
  <c r="M223" i="1"/>
  <c r="D223" i="1"/>
  <c r="C223" i="1"/>
  <c r="N222" i="1"/>
  <c r="M222" i="1"/>
  <c r="D222" i="1"/>
  <c r="C222" i="1"/>
  <c r="N221" i="1"/>
  <c r="M221" i="1"/>
  <c r="D221" i="1"/>
  <c r="C221" i="1"/>
  <c r="N220" i="1"/>
  <c r="M220" i="1"/>
  <c r="D220" i="1"/>
  <c r="C220" i="1"/>
  <c r="N219" i="1"/>
  <c r="M219" i="1"/>
  <c r="D219" i="1"/>
  <c r="C219" i="1"/>
  <c r="N218" i="1"/>
  <c r="M218" i="1"/>
  <c r="D218" i="1"/>
  <c r="C218" i="1"/>
  <c r="N217" i="1"/>
  <c r="M217" i="1"/>
  <c r="D217" i="1"/>
  <c r="C217" i="1"/>
  <c r="N216" i="1"/>
  <c r="M216" i="1"/>
  <c r="D216" i="1"/>
  <c r="C216" i="1"/>
  <c r="N215" i="1"/>
  <c r="M215" i="1"/>
  <c r="D215" i="1"/>
  <c r="C215" i="1"/>
  <c r="N214" i="1"/>
  <c r="M214" i="1"/>
  <c r="D214" i="1"/>
  <c r="C214" i="1"/>
  <c r="N213" i="1"/>
  <c r="M213" i="1"/>
  <c r="D213" i="1"/>
  <c r="C213" i="1"/>
  <c r="N212" i="1"/>
  <c r="M212" i="1"/>
  <c r="D212" i="1"/>
  <c r="C212" i="1"/>
  <c r="N211" i="1"/>
  <c r="M211" i="1"/>
  <c r="D211" i="1"/>
  <c r="C211" i="1"/>
  <c r="N210" i="1"/>
  <c r="M210" i="1"/>
  <c r="D210" i="1"/>
  <c r="C210" i="1"/>
  <c r="N209" i="1"/>
  <c r="M209" i="1"/>
  <c r="D209" i="1"/>
  <c r="C209" i="1"/>
  <c r="N208" i="1"/>
  <c r="M208" i="1"/>
  <c r="D208" i="1"/>
  <c r="C208" i="1"/>
  <c r="N207" i="1"/>
  <c r="M207" i="1"/>
  <c r="D207" i="1"/>
  <c r="C207" i="1"/>
  <c r="N206" i="1"/>
  <c r="M206" i="1"/>
  <c r="D206" i="1"/>
  <c r="C206" i="1"/>
  <c r="N205" i="1"/>
  <c r="M205" i="1"/>
  <c r="D205" i="1"/>
  <c r="C205" i="1"/>
  <c r="N204" i="1"/>
  <c r="M204" i="1"/>
  <c r="D204" i="1"/>
  <c r="C204" i="1"/>
  <c r="N203" i="1"/>
  <c r="M203" i="1"/>
  <c r="D203" i="1"/>
  <c r="C203" i="1"/>
  <c r="N202" i="1"/>
  <c r="M202" i="1"/>
  <c r="D202" i="1"/>
  <c r="C202" i="1"/>
  <c r="N201" i="1"/>
  <c r="M201" i="1"/>
  <c r="D201" i="1"/>
  <c r="C201" i="1"/>
  <c r="N200" i="1"/>
  <c r="M200" i="1"/>
  <c r="D200" i="1"/>
  <c r="C200" i="1"/>
  <c r="N199" i="1"/>
  <c r="M199" i="1"/>
  <c r="D199" i="1"/>
  <c r="C199" i="1"/>
  <c r="N198" i="1"/>
  <c r="M198" i="1"/>
  <c r="D198" i="1"/>
  <c r="C198" i="1"/>
  <c r="N197" i="1"/>
  <c r="M197" i="1"/>
  <c r="D197" i="1"/>
  <c r="C197" i="1"/>
  <c r="N196" i="1"/>
  <c r="M196" i="1"/>
  <c r="D196" i="1"/>
  <c r="C196" i="1"/>
  <c r="N195" i="1"/>
  <c r="M195" i="1"/>
  <c r="D195" i="1"/>
  <c r="C195" i="1"/>
  <c r="N194" i="1"/>
  <c r="M194" i="1"/>
  <c r="D194" i="1"/>
  <c r="C194" i="1"/>
  <c r="N193" i="1"/>
  <c r="M193" i="1"/>
  <c r="D193" i="1"/>
  <c r="C193" i="1"/>
  <c r="N192" i="1"/>
  <c r="M192" i="1"/>
  <c r="D192" i="1"/>
  <c r="C192" i="1"/>
  <c r="N191" i="1"/>
  <c r="M191" i="1"/>
  <c r="D191" i="1"/>
  <c r="C191" i="1"/>
  <c r="N190" i="1"/>
  <c r="M190" i="1"/>
  <c r="D190" i="1"/>
  <c r="C190" i="1"/>
  <c r="N189" i="1"/>
  <c r="M189" i="1"/>
  <c r="D189" i="1"/>
  <c r="C189" i="1"/>
  <c r="N188" i="1"/>
  <c r="M188" i="1"/>
  <c r="D188" i="1"/>
  <c r="C188" i="1"/>
  <c r="N187" i="1"/>
  <c r="M187" i="1"/>
  <c r="D187" i="1"/>
  <c r="C187" i="1"/>
  <c r="N186" i="1"/>
  <c r="M186" i="1"/>
  <c r="D186" i="1"/>
  <c r="C186" i="1"/>
  <c r="N185" i="1"/>
  <c r="M185" i="1"/>
  <c r="D185" i="1"/>
  <c r="C185" i="1"/>
  <c r="N184" i="1"/>
  <c r="M184" i="1"/>
  <c r="D184" i="1"/>
  <c r="C184" i="1"/>
  <c r="N183" i="1"/>
  <c r="M183" i="1"/>
  <c r="D183" i="1"/>
  <c r="C183" i="1"/>
  <c r="N182" i="1"/>
  <c r="M182" i="1"/>
  <c r="D182" i="1"/>
  <c r="C182" i="1"/>
  <c r="N181" i="1"/>
  <c r="M181" i="1"/>
  <c r="D181" i="1"/>
  <c r="C181" i="1"/>
  <c r="N180" i="1"/>
  <c r="M180" i="1"/>
  <c r="D180" i="1"/>
  <c r="C180" i="1"/>
  <c r="N179" i="1"/>
  <c r="M179" i="1"/>
  <c r="D179" i="1"/>
  <c r="C179" i="1"/>
  <c r="N178" i="1"/>
  <c r="M178" i="1"/>
  <c r="D178" i="1"/>
  <c r="C178" i="1"/>
  <c r="N177" i="1"/>
  <c r="M177" i="1"/>
  <c r="D177" i="1"/>
  <c r="C177" i="1"/>
  <c r="N176" i="1"/>
  <c r="M176" i="1"/>
  <c r="D176" i="1"/>
  <c r="C176" i="1"/>
  <c r="N175" i="1"/>
  <c r="M175" i="1"/>
  <c r="D175" i="1"/>
  <c r="C175" i="1"/>
  <c r="N174" i="1"/>
  <c r="M174" i="1"/>
  <c r="D174" i="1"/>
  <c r="C174" i="1"/>
  <c r="N173" i="1"/>
  <c r="M173" i="1"/>
  <c r="D173" i="1"/>
  <c r="C173" i="1"/>
  <c r="N172" i="1"/>
  <c r="M172" i="1"/>
  <c r="D172" i="1"/>
  <c r="C172" i="1"/>
  <c r="N171" i="1"/>
  <c r="M171" i="1"/>
  <c r="D171" i="1"/>
  <c r="C171" i="1"/>
  <c r="N170" i="1"/>
  <c r="M170" i="1"/>
  <c r="D170" i="1"/>
  <c r="C170" i="1"/>
  <c r="N169" i="1"/>
  <c r="M169" i="1"/>
  <c r="D169" i="1"/>
  <c r="C169" i="1"/>
  <c r="N168" i="1"/>
  <c r="M168" i="1"/>
  <c r="D168" i="1"/>
  <c r="C168" i="1"/>
  <c r="N167" i="1"/>
  <c r="M167" i="1"/>
  <c r="D167" i="1"/>
  <c r="C167" i="1"/>
  <c r="N166" i="1"/>
  <c r="M166" i="1"/>
  <c r="D166" i="1"/>
  <c r="C166" i="1"/>
  <c r="N165" i="1"/>
  <c r="O165" i="1" s="1"/>
  <c r="M165" i="1"/>
  <c r="D165" i="1"/>
  <c r="C165" i="1"/>
  <c r="N164" i="1"/>
  <c r="M164" i="1"/>
  <c r="D164" i="1"/>
  <c r="C164" i="1"/>
  <c r="N163" i="1"/>
  <c r="M163" i="1"/>
  <c r="D163" i="1"/>
  <c r="C163" i="1"/>
  <c r="N162" i="1"/>
  <c r="M162" i="1"/>
  <c r="D162" i="1"/>
  <c r="C162" i="1"/>
  <c r="N161" i="1"/>
  <c r="M161" i="1"/>
  <c r="D161" i="1"/>
  <c r="C161" i="1"/>
  <c r="N160" i="1"/>
  <c r="M160" i="1"/>
  <c r="D160" i="1"/>
  <c r="C160" i="1"/>
  <c r="N159" i="1"/>
  <c r="M159" i="1"/>
  <c r="D159" i="1"/>
  <c r="C159" i="1"/>
  <c r="N158" i="1"/>
  <c r="M158" i="1"/>
  <c r="D158" i="1"/>
  <c r="C158" i="1"/>
  <c r="N157" i="1"/>
  <c r="M157" i="1"/>
  <c r="D157" i="1"/>
  <c r="C157" i="1"/>
  <c r="N156" i="1"/>
  <c r="M156" i="1"/>
  <c r="D156" i="1"/>
  <c r="C156" i="1"/>
  <c r="N155" i="1"/>
  <c r="M155" i="1"/>
  <c r="D155" i="1"/>
  <c r="C155" i="1"/>
  <c r="N154" i="1"/>
  <c r="M154" i="1"/>
  <c r="D154" i="1"/>
  <c r="C154" i="1"/>
  <c r="N153" i="1"/>
  <c r="M153" i="1"/>
  <c r="D153" i="1"/>
  <c r="C153" i="1"/>
  <c r="N152" i="1"/>
  <c r="M152" i="1"/>
  <c r="D152" i="1"/>
  <c r="C152" i="1"/>
  <c r="N151" i="1"/>
  <c r="M151" i="1"/>
  <c r="D151" i="1"/>
  <c r="C151" i="1"/>
  <c r="N150" i="1"/>
  <c r="M150" i="1"/>
  <c r="D150" i="1"/>
  <c r="C150" i="1"/>
  <c r="N149" i="1"/>
  <c r="M149" i="1"/>
  <c r="O149" i="1" s="1"/>
  <c r="D149" i="1"/>
  <c r="C149" i="1"/>
  <c r="N148" i="1"/>
  <c r="M148" i="1"/>
  <c r="D148" i="1"/>
  <c r="C148" i="1"/>
  <c r="N147" i="1"/>
  <c r="M147" i="1"/>
  <c r="D147" i="1"/>
  <c r="C147" i="1"/>
  <c r="N146" i="1"/>
  <c r="M146" i="1"/>
  <c r="D146" i="1"/>
  <c r="C146" i="1"/>
  <c r="N145" i="1"/>
  <c r="M145" i="1"/>
  <c r="D145" i="1"/>
  <c r="C145" i="1"/>
  <c r="N144" i="1"/>
  <c r="M144" i="1"/>
  <c r="D144" i="1"/>
  <c r="C144" i="1"/>
  <c r="N143" i="1"/>
  <c r="M143" i="1"/>
  <c r="D143" i="1"/>
  <c r="C143" i="1"/>
  <c r="N142" i="1"/>
  <c r="M142" i="1"/>
  <c r="D142" i="1"/>
  <c r="C142" i="1"/>
  <c r="N141" i="1"/>
  <c r="M141" i="1"/>
  <c r="D141" i="1"/>
  <c r="C141" i="1"/>
  <c r="N140" i="1"/>
  <c r="M140" i="1"/>
  <c r="D140" i="1"/>
  <c r="C140" i="1"/>
  <c r="N139" i="1"/>
  <c r="M139" i="1"/>
  <c r="D139" i="1"/>
  <c r="C139" i="1"/>
  <c r="N138" i="1"/>
  <c r="M138" i="1"/>
  <c r="D138" i="1"/>
  <c r="C138" i="1"/>
  <c r="N137" i="1"/>
  <c r="M137" i="1"/>
  <c r="D137" i="1"/>
  <c r="C137" i="1"/>
  <c r="N136" i="1"/>
  <c r="M136" i="1"/>
  <c r="D136" i="1"/>
  <c r="C136" i="1"/>
  <c r="N135" i="1"/>
  <c r="M135" i="1"/>
  <c r="D135" i="1"/>
  <c r="C135" i="1"/>
  <c r="N134" i="1"/>
  <c r="M134" i="1"/>
  <c r="D134" i="1"/>
  <c r="C134" i="1"/>
  <c r="N133" i="1"/>
  <c r="M133" i="1"/>
  <c r="D133" i="1"/>
  <c r="C133" i="1"/>
  <c r="N132" i="1"/>
  <c r="M132" i="1"/>
  <c r="O132" i="1" s="1"/>
  <c r="D132" i="1"/>
  <c r="C132" i="1"/>
  <c r="N131" i="1"/>
  <c r="M131" i="1"/>
  <c r="D131" i="1"/>
  <c r="C131" i="1"/>
  <c r="N130" i="1"/>
  <c r="M130" i="1"/>
  <c r="D130" i="1"/>
  <c r="C130" i="1"/>
  <c r="N129" i="1"/>
  <c r="M129" i="1"/>
  <c r="O129" i="1" s="1"/>
  <c r="D129" i="1"/>
  <c r="C129" i="1"/>
  <c r="N128" i="1"/>
  <c r="M128" i="1"/>
  <c r="D128" i="1"/>
  <c r="C128" i="1"/>
  <c r="N127" i="1"/>
  <c r="M127" i="1"/>
  <c r="D127" i="1"/>
  <c r="C127" i="1"/>
  <c r="N126" i="1"/>
  <c r="M126" i="1"/>
  <c r="O126" i="1" s="1"/>
  <c r="D126" i="1"/>
  <c r="C126" i="1"/>
  <c r="N125" i="1"/>
  <c r="M125" i="1"/>
  <c r="D125" i="1"/>
  <c r="C125" i="1"/>
  <c r="N124" i="1"/>
  <c r="M124" i="1"/>
  <c r="D124" i="1"/>
  <c r="C124" i="1"/>
  <c r="N123" i="1"/>
  <c r="M123" i="1"/>
  <c r="D123" i="1"/>
  <c r="C123" i="1"/>
  <c r="N122" i="1"/>
  <c r="M122" i="1"/>
  <c r="D122" i="1"/>
  <c r="C122" i="1"/>
  <c r="N121" i="1"/>
  <c r="M121" i="1"/>
  <c r="D121" i="1"/>
  <c r="C121" i="1"/>
  <c r="N120" i="1"/>
  <c r="M120" i="1"/>
  <c r="O120" i="1" s="1"/>
  <c r="D120" i="1"/>
  <c r="C120" i="1"/>
  <c r="N119" i="1"/>
  <c r="M119" i="1"/>
  <c r="D119" i="1"/>
  <c r="C119" i="1"/>
  <c r="N118" i="1"/>
  <c r="M118" i="1"/>
  <c r="D118" i="1"/>
  <c r="C118" i="1"/>
  <c r="N117" i="1"/>
  <c r="M117" i="1"/>
  <c r="D117" i="1"/>
  <c r="C117" i="1"/>
  <c r="N116" i="1"/>
  <c r="M116" i="1"/>
  <c r="D116" i="1"/>
  <c r="C116" i="1"/>
  <c r="N115" i="1"/>
  <c r="M115" i="1"/>
  <c r="D115" i="1"/>
  <c r="C115" i="1"/>
  <c r="N114" i="1"/>
  <c r="M114" i="1"/>
  <c r="D114" i="1"/>
  <c r="C114" i="1"/>
  <c r="N113" i="1"/>
  <c r="M113" i="1"/>
  <c r="D113" i="1"/>
  <c r="C113" i="1"/>
  <c r="N112" i="1"/>
  <c r="M112" i="1"/>
  <c r="O112" i="1" s="1"/>
  <c r="D112" i="1"/>
  <c r="C112" i="1"/>
  <c r="N111" i="1"/>
  <c r="M111" i="1"/>
  <c r="D111" i="1"/>
  <c r="C111" i="1"/>
  <c r="N110" i="1"/>
  <c r="M110" i="1"/>
  <c r="D110" i="1"/>
  <c r="C110" i="1"/>
  <c r="N109" i="1"/>
  <c r="M109" i="1"/>
  <c r="D109" i="1"/>
  <c r="C109" i="1"/>
  <c r="N108" i="1"/>
  <c r="M108" i="1"/>
  <c r="D108" i="1"/>
  <c r="C108" i="1"/>
  <c r="N107" i="1"/>
  <c r="M107" i="1"/>
  <c r="D107" i="1"/>
  <c r="C107" i="1"/>
  <c r="N106" i="1"/>
  <c r="M106" i="1"/>
  <c r="D106" i="1"/>
  <c r="C106" i="1"/>
  <c r="N105" i="1"/>
  <c r="M105" i="1"/>
  <c r="D105" i="1"/>
  <c r="C105" i="1"/>
  <c r="N104" i="1"/>
  <c r="M104" i="1"/>
  <c r="D104" i="1"/>
  <c r="C104" i="1"/>
  <c r="N103" i="1"/>
  <c r="M103" i="1"/>
  <c r="D103" i="1"/>
  <c r="C103" i="1"/>
  <c r="N102" i="1"/>
  <c r="M102" i="1"/>
  <c r="D102" i="1"/>
  <c r="C102" i="1"/>
  <c r="N101" i="1"/>
  <c r="M101" i="1"/>
  <c r="D101" i="1"/>
  <c r="C101" i="1"/>
  <c r="N100" i="1"/>
  <c r="M100" i="1"/>
  <c r="O100" i="1" s="1"/>
  <c r="D100" i="1"/>
  <c r="C100" i="1"/>
  <c r="N99" i="1"/>
  <c r="M99" i="1"/>
  <c r="D99" i="1"/>
  <c r="C99" i="1"/>
  <c r="N98" i="1"/>
  <c r="M98" i="1"/>
  <c r="D98" i="1"/>
  <c r="C98" i="1"/>
  <c r="N97" i="1"/>
  <c r="M97" i="1"/>
  <c r="D97" i="1"/>
  <c r="C97" i="1"/>
  <c r="N96" i="1"/>
  <c r="M96" i="1"/>
  <c r="D96" i="1"/>
  <c r="C96" i="1"/>
  <c r="N95" i="1"/>
  <c r="M95" i="1"/>
  <c r="O95" i="1" s="1"/>
  <c r="D95" i="1"/>
  <c r="C95" i="1"/>
  <c r="N94" i="1"/>
  <c r="M94" i="1"/>
  <c r="D94" i="1"/>
  <c r="C94" i="1"/>
  <c r="N93" i="1"/>
  <c r="M93" i="1"/>
  <c r="D93" i="1"/>
  <c r="C93" i="1"/>
  <c r="N92" i="1"/>
  <c r="M92" i="1"/>
  <c r="D92" i="1"/>
  <c r="C92" i="1"/>
  <c r="N91" i="1"/>
  <c r="M91" i="1"/>
  <c r="D91" i="1"/>
  <c r="C91" i="1"/>
  <c r="N90" i="1"/>
  <c r="M90" i="1"/>
  <c r="D90" i="1"/>
  <c r="C90" i="1"/>
  <c r="N89" i="1"/>
  <c r="M89" i="1"/>
  <c r="O89" i="1" s="1"/>
  <c r="D89" i="1"/>
  <c r="C89" i="1"/>
  <c r="N88" i="1"/>
  <c r="M88" i="1"/>
  <c r="O88" i="1" s="1"/>
  <c r="D88" i="1"/>
  <c r="C88" i="1"/>
  <c r="N87" i="1"/>
  <c r="M87" i="1"/>
  <c r="D87" i="1"/>
  <c r="C87" i="1"/>
  <c r="N86" i="1"/>
  <c r="M86" i="1"/>
  <c r="O86" i="1" s="1"/>
  <c r="D86" i="1"/>
  <c r="C86" i="1"/>
  <c r="N85" i="1"/>
  <c r="M85" i="1"/>
  <c r="D85" i="1"/>
  <c r="C85" i="1"/>
  <c r="N84" i="1"/>
  <c r="M84" i="1"/>
  <c r="D84" i="1"/>
  <c r="C84" i="1"/>
  <c r="N83" i="1"/>
  <c r="M83" i="1"/>
  <c r="O83" i="1" s="1"/>
  <c r="D83" i="1"/>
  <c r="C83" i="1"/>
  <c r="N82" i="1"/>
  <c r="M82" i="1"/>
  <c r="D82" i="1"/>
  <c r="C82" i="1"/>
  <c r="N81" i="1"/>
  <c r="M81" i="1"/>
  <c r="D81" i="1"/>
  <c r="C81" i="1"/>
  <c r="N80" i="1"/>
  <c r="M80" i="1"/>
  <c r="D80" i="1"/>
  <c r="C80" i="1"/>
  <c r="N79" i="1"/>
  <c r="M79" i="1"/>
  <c r="O79" i="1" s="1"/>
  <c r="D79" i="1"/>
  <c r="C79" i="1"/>
  <c r="N78" i="1"/>
  <c r="M78" i="1"/>
  <c r="D78" i="1"/>
  <c r="C78" i="1"/>
  <c r="N77" i="1"/>
  <c r="M77" i="1"/>
  <c r="D77" i="1"/>
  <c r="C77" i="1"/>
  <c r="N76" i="1"/>
  <c r="M76" i="1"/>
  <c r="O76" i="1" s="1"/>
  <c r="D76" i="1"/>
  <c r="C76" i="1"/>
  <c r="N75" i="1"/>
  <c r="M75" i="1"/>
  <c r="D75" i="1"/>
  <c r="C75" i="1"/>
  <c r="N74" i="1"/>
  <c r="M74" i="1"/>
  <c r="D74" i="1"/>
  <c r="C74" i="1"/>
  <c r="N73" i="1"/>
  <c r="M73" i="1"/>
  <c r="O73" i="1" s="1"/>
  <c r="D73" i="1"/>
  <c r="C73" i="1"/>
  <c r="N72" i="1"/>
  <c r="M72" i="1"/>
  <c r="D72" i="1"/>
  <c r="C72" i="1"/>
  <c r="N71" i="1"/>
  <c r="M71" i="1"/>
  <c r="D71" i="1"/>
  <c r="C71" i="1"/>
  <c r="N70" i="1"/>
  <c r="M70" i="1"/>
  <c r="D70" i="1"/>
  <c r="C70" i="1"/>
  <c r="N69" i="1"/>
  <c r="M69" i="1"/>
  <c r="D69" i="1"/>
  <c r="C69" i="1"/>
  <c r="N68" i="1"/>
  <c r="M68" i="1"/>
  <c r="O68" i="1" s="1"/>
  <c r="D68" i="1"/>
  <c r="C68" i="1"/>
  <c r="N67" i="1"/>
  <c r="M67" i="1"/>
  <c r="D67" i="1"/>
  <c r="C67" i="1"/>
  <c r="N66" i="1"/>
  <c r="M66" i="1"/>
  <c r="D66" i="1"/>
  <c r="C66" i="1"/>
  <c r="N65" i="1"/>
  <c r="M65" i="1"/>
  <c r="D65" i="1"/>
  <c r="C65" i="1"/>
  <c r="N64" i="1"/>
  <c r="M64" i="1"/>
  <c r="D64" i="1"/>
  <c r="C64" i="1"/>
  <c r="N63" i="1"/>
  <c r="M63" i="1"/>
  <c r="D63" i="1"/>
  <c r="C63" i="1"/>
  <c r="N62" i="1"/>
  <c r="M62" i="1"/>
  <c r="O62" i="1" s="1"/>
  <c r="D62" i="1"/>
  <c r="C62" i="1"/>
  <c r="N61" i="1"/>
  <c r="M61" i="1"/>
  <c r="D61" i="1"/>
  <c r="C61" i="1"/>
  <c r="N60" i="1"/>
  <c r="M60" i="1"/>
  <c r="D60" i="1"/>
  <c r="C60" i="1"/>
  <c r="N59" i="1"/>
  <c r="M59" i="1"/>
  <c r="D59" i="1"/>
  <c r="C59" i="1"/>
  <c r="N58" i="1"/>
  <c r="M58" i="1"/>
  <c r="D58" i="1"/>
  <c r="C58" i="1"/>
  <c r="N57" i="1"/>
  <c r="M57" i="1"/>
  <c r="D57" i="1"/>
  <c r="C57" i="1"/>
  <c r="N56" i="1"/>
  <c r="M56" i="1"/>
  <c r="O56" i="1" s="1"/>
  <c r="D56" i="1"/>
  <c r="C56" i="1"/>
  <c r="N55" i="1"/>
  <c r="M55" i="1"/>
  <c r="D55" i="1"/>
  <c r="C55" i="1"/>
  <c r="N54" i="1"/>
  <c r="M54" i="1"/>
  <c r="O54" i="1" s="1"/>
  <c r="D54" i="1"/>
  <c r="C54" i="1"/>
  <c r="N53" i="1"/>
  <c r="M53" i="1"/>
  <c r="D53" i="1"/>
  <c r="C53" i="1"/>
  <c r="N52" i="1"/>
  <c r="M52" i="1"/>
  <c r="D52" i="1"/>
  <c r="C52" i="1"/>
  <c r="N51" i="1"/>
  <c r="M51" i="1"/>
  <c r="D51" i="1"/>
  <c r="C51" i="1"/>
  <c r="N50" i="1"/>
  <c r="M50" i="1"/>
  <c r="D50" i="1"/>
  <c r="C50" i="1"/>
  <c r="N49" i="1"/>
  <c r="M49" i="1"/>
  <c r="D49" i="1"/>
  <c r="C49" i="1"/>
  <c r="N48" i="1"/>
  <c r="M48" i="1"/>
  <c r="O48" i="1" s="1"/>
  <c r="D48" i="1"/>
  <c r="C48" i="1"/>
  <c r="N47" i="1"/>
  <c r="M47" i="1"/>
  <c r="O47" i="1" s="1"/>
  <c r="D47" i="1"/>
  <c r="C47" i="1"/>
  <c r="N46" i="1"/>
  <c r="M46" i="1"/>
  <c r="D46" i="1"/>
  <c r="C46" i="1"/>
  <c r="N45" i="1"/>
  <c r="M45" i="1"/>
  <c r="D45" i="1"/>
  <c r="C45" i="1"/>
  <c r="N44" i="1"/>
  <c r="M44" i="1"/>
  <c r="O44" i="1" s="1"/>
  <c r="D44" i="1"/>
  <c r="C44" i="1"/>
  <c r="N43" i="1"/>
  <c r="M43" i="1"/>
  <c r="D43" i="1"/>
  <c r="C43" i="1"/>
  <c r="N42" i="1"/>
  <c r="M42" i="1"/>
  <c r="D42" i="1"/>
  <c r="C42" i="1"/>
  <c r="N41" i="1"/>
  <c r="M41" i="1"/>
  <c r="D41" i="1"/>
  <c r="C41" i="1"/>
  <c r="N40" i="1"/>
  <c r="M40" i="1"/>
  <c r="D40" i="1"/>
  <c r="C40" i="1"/>
  <c r="N39" i="1"/>
  <c r="M39" i="1"/>
  <c r="O39" i="1" s="1"/>
  <c r="D39" i="1"/>
  <c r="C39" i="1"/>
  <c r="N38" i="1"/>
  <c r="M38" i="1"/>
  <c r="O38" i="1" s="1"/>
  <c r="D38" i="1"/>
  <c r="C38" i="1"/>
  <c r="N37" i="1"/>
  <c r="M37" i="1"/>
  <c r="D37" i="1"/>
  <c r="C37" i="1"/>
  <c r="N36" i="1"/>
  <c r="M36" i="1"/>
  <c r="O36" i="1" s="1"/>
  <c r="D36" i="1"/>
  <c r="C36" i="1"/>
  <c r="N35" i="1"/>
  <c r="M35" i="1"/>
  <c r="D35" i="1"/>
  <c r="C35" i="1"/>
  <c r="N34" i="1"/>
  <c r="M34" i="1"/>
  <c r="D34" i="1"/>
  <c r="C34" i="1"/>
  <c r="N33" i="1"/>
  <c r="M33" i="1"/>
  <c r="D33" i="1"/>
  <c r="C33" i="1"/>
  <c r="N32" i="1"/>
  <c r="M32" i="1"/>
  <c r="O32" i="1" s="1"/>
  <c r="D32" i="1"/>
  <c r="C32" i="1"/>
  <c r="N31" i="1"/>
  <c r="M31" i="1"/>
  <c r="D31" i="1"/>
  <c r="C31" i="1"/>
  <c r="N30" i="1"/>
  <c r="M30" i="1"/>
  <c r="D30" i="1"/>
  <c r="C30" i="1"/>
  <c r="N29" i="1"/>
  <c r="M29" i="1"/>
  <c r="D29" i="1"/>
  <c r="C29" i="1"/>
  <c r="N28" i="1"/>
  <c r="M28" i="1"/>
  <c r="D28" i="1"/>
  <c r="C28" i="1"/>
  <c r="N27" i="1"/>
  <c r="M27" i="1"/>
  <c r="D27" i="1"/>
  <c r="C27" i="1"/>
  <c r="N26" i="1"/>
  <c r="M26" i="1"/>
  <c r="D26" i="1"/>
  <c r="C26" i="1"/>
  <c r="N25" i="1"/>
  <c r="M25" i="1"/>
  <c r="D25" i="1"/>
  <c r="C25" i="1"/>
  <c r="N24" i="1"/>
  <c r="M24" i="1"/>
  <c r="D24" i="1"/>
  <c r="C24" i="1"/>
  <c r="N23" i="1"/>
  <c r="M23" i="1"/>
  <c r="O23" i="1" s="1"/>
  <c r="D23" i="1"/>
  <c r="C23" i="1"/>
  <c r="N22" i="1"/>
  <c r="M22" i="1"/>
  <c r="D22" i="1"/>
  <c r="C22" i="1"/>
  <c r="N21" i="1"/>
  <c r="M21" i="1"/>
  <c r="D21" i="1"/>
  <c r="C21" i="1"/>
  <c r="N20" i="1"/>
  <c r="M20" i="1"/>
  <c r="O20" i="1" s="1"/>
  <c r="D20" i="1"/>
  <c r="C20" i="1"/>
  <c r="N19" i="1"/>
  <c r="M19" i="1"/>
  <c r="D19" i="1"/>
  <c r="C19" i="1"/>
  <c r="N18" i="1"/>
  <c r="M18" i="1"/>
  <c r="D18" i="1"/>
  <c r="C18" i="1"/>
  <c r="N17" i="1"/>
  <c r="M17" i="1"/>
  <c r="D17" i="1"/>
  <c r="C17" i="1"/>
  <c r="N16" i="1"/>
  <c r="M16" i="1"/>
  <c r="D16" i="1"/>
  <c r="C16" i="1"/>
  <c r="N15" i="1"/>
  <c r="M15" i="1"/>
  <c r="D15" i="1"/>
  <c r="C15" i="1"/>
  <c r="N14" i="1"/>
  <c r="M14" i="1"/>
  <c r="D14" i="1"/>
  <c r="C14" i="1"/>
  <c r="N13" i="1"/>
  <c r="M13" i="1"/>
  <c r="D13" i="1"/>
  <c r="C13" i="1"/>
  <c r="N12" i="1"/>
  <c r="M12" i="1"/>
  <c r="D12" i="1"/>
  <c r="C12" i="1"/>
  <c r="N11" i="1"/>
  <c r="M11" i="1"/>
  <c r="D11" i="1"/>
  <c r="C11" i="1"/>
  <c r="N10" i="1"/>
  <c r="M10" i="1"/>
  <c r="D10" i="1"/>
  <c r="C10" i="1"/>
  <c r="N9" i="1"/>
  <c r="M9" i="1"/>
  <c r="D9" i="1"/>
  <c r="C9" i="1"/>
  <c r="N8" i="1"/>
  <c r="M8" i="1"/>
  <c r="D8" i="1"/>
  <c r="C8" i="1"/>
  <c r="N7" i="1"/>
  <c r="M7" i="1"/>
  <c r="D7" i="1"/>
  <c r="C7" i="1"/>
  <c r="N6" i="1"/>
  <c r="M6" i="1"/>
  <c r="D6" i="1"/>
  <c r="C6" i="1"/>
  <c r="N5" i="1"/>
  <c r="M5" i="1"/>
  <c r="D5" i="1"/>
  <c r="C5" i="1"/>
  <c r="N4" i="1"/>
  <c r="M4" i="1"/>
  <c r="D4" i="1"/>
  <c r="C4" i="1"/>
  <c r="N3" i="1"/>
  <c r="M3" i="1"/>
  <c r="D3" i="1"/>
  <c r="C3" i="1"/>
  <c r="N2" i="1"/>
  <c r="M2" i="1"/>
  <c r="D2" i="1"/>
  <c r="C2" i="1"/>
  <c r="O113" i="1" l="1"/>
  <c r="O134" i="1"/>
  <c r="O137" i="1"/>
  <c r="O188" i="1"/>
  <c r="O191" i="1"/>
  <c r="O197" i="1"/>
  <c r="O218" i="1"/>
  <c r="O221" i="1"/>
  <c r="O224" i="1"/>
  <c r="O227" i="1"/>
  <c r="O251" i="1"/>
  <c r="O260" i="1"/>
  <c r="O281" i="1"/>
  <c r="O305" i="1"/>
  <c r="O317" i="1"/>
  <c r="O189" i="1"/>
  <c r="O192" i="1"/>
  <c r="O195" i="1"/>
  <c r="O204" i="1"/>
  <c r="O207" i="1"/>
  <c r="O213" i="1"/>
  <c r="O264" i="1"/>
  <c r="O587" i="1"/>
  <c r="O635" i="1"/>
  <c r="O321" i="1"/>
  <c r="O333" i="1"/>
  <c r="O387" i="1"/>
  <c r="O16" i="1"/>
  <c r="O121" i="1"/>
  <c r="O181" i="1"/>
  <c r="O235" i="1"/>
  <c r="O238" i="1"/>
  <c r="O241" i="1"/>
  <c r="O244" i="1"/>
  <c r="O250" i="1"/>
  <c r="O253" i="1"/>
  <c r="O256" i="1"/>
  <c r="O280" i="1"/>
  <c r="O337" i="1"/>
  <c r="O352" i="1"/>
  <c r="O169" i="1"/>
  <c r="O80" i="1"/>
  <c r="O101" i="1"/>
  <c r="O104" i="1"/>
  <c r="O217" i="1"/>
  <c r="O229" i="1"/>
  <c r="O268" i="1"/>
  <c r="O423" i="1"/>
  <c r="O426" i="1"/>
  <c r="O429" i="1"/>
  <c r="O515" i="1"/>
  <c r="O536" i="1"/>
  <c r="O539" i="1"/>
  <c r="O542" i="1"/>
  <c r="O545" i="1"/>
  <c r="O551" i="1"/>
  <c r="O554" i="1"/>
  <c r="O557" i="1"/>
  <c r="O563" i="1"/>
  <c r="O566" i="1"/>
  <c r="O638" i="1"/>
  <c r="O641" i="1"/>
  <c r="O644" i="1"/>
  <c r="O647" i="1"/>
  <c r="O653" i="1"/>
  <c r="O659" i="1"/>
  <c r="O662" i="1"/>
  <c r="O668" i="1"/>
  <c r="O671" i="1"/>
  <c r="O674" i="1"/>
  <c r="O677" i="1"/>
  <c r="O680" i="1"/>
  <c r="O683" i="1"/>
  <c r="O6" i="1"/>
  <c r="O12" i="1"/>
  <c r="O15" i="1"/>
  <c r="O283" i="1"/>
  <c r="O292" i="1"/>
  <c r="O295" i="1"/>
  <c r="O298" i="1"/>
  <c r="O301" i="1"/>
  <c r="O173" i="1"/>
  <c r="O176" i="1"/>
  <c r="O179" i="1"/>
  <c r="O456" i="1"/>
  <c r="O459" i="1"/>
  <c r="O462" i="1"/>
  <c r="O465" i="1"/>
  <c r="O69" i="1"/>
  <c r="O72" i="1"/>
  <c r="O81" i="1"/>
  <c r="O233" i="1"/>
  <c r="O245" i="1"/>
  <c r="O57" i="1"/>
  <c r="O4" i="1"/>
  <c r="O7" i="1"/>
  <c r="O156" i="1"/>
  <c r="O159" i="1"/>
  <c r="O323" i="1"/>
  <c r="O326" i="1"/>
  <c r="O329" i="1"/>
  <c r="O332" i="1"/>
  <c r="O439" i="1"/>
  <c r="O442" i="1"/>
  <c r="O445" i="1"/>
  <c r="O603" i="1"/>
  <c r="O651" i="1"/>
  <c r="O338" i="1"/>
  <c r="O341" i="1"/>
  <c r="O344" i="1"/>
  <c r="O347" i="1"/>
  <c r="O25" i="1"/>
  <c r="O49" i="1"/>
  <c r="O127" i="1"/>
  <c r="O133" i="1"/>
  <c r="O139" i="1"/>
  <c r="O145" i="1"/>
  <c r="O148" i="1"/>
  <c r="O249" i="1"/>
  <c r="O419" i="1"/>
  <c r="O425" i="1"/>
  <c r="O431" i="1"/>
  <c r="O434" i="1"/>
  <c r="O157" i="1"/>
  <c r="O160" i="1"/>
  <c r="O163" i="1"/>
  <c r="O276" i="1"/>
  <c r="O282" i="1"/>
  <c r="O285" i="1"/>
  <c r="O288" i="1"/>
  <c r="O306" i="1"/>
  <c r="O309" i="1"/>
  <c r="O312" i="1"/>
  <c r="O315" i="1"/>
  <c r="O571" i="1"/>
  <c r="O583" i="1"/>
  <c r="O667" i="1"/>
  <c r="O166" i="1"/>
  <c r="O273" i="1"/>
  <c r="O9" i="1"/>
  <c r="O24" i="1"/>
  <c r="O30" i="1"/>
  <c r="O115" i="1"/>
  <c r="O118" i="1"/>
  <c r="O150" i="1"/>
  <c r="O153" i="1"/>
  <c r="O171" i="1"/>
  <c r="O177" i="1"/>
  <c r="O180" i="1"/>
  <c r="O236" i="1"/>
  <c r="O239" i="1"/>
  <c r="O265" i="1"/>
  <c r="O274" i="1"/>
  <c r="O277" i="1"/>
  <c r="O324" i="1"/>
  <c r="O327" i="1"/>
  <c r="O330" i="1"/>
  <c r="O371" i="1"/>
  <c r="O389" i="1"/>
  <c r="O395" i="1"/>
  <c r="O398" i="1"/>
  <c r="O401" i="1"/>
  <c r="O457" i="1"/>
  <c r="O463" i="1"/>
  <c r="O466" i="1"/>
  <c r="O519" i="1"/>
  <c r="O522" i="1"/>
  <c r="O525" i="1"/>
  <c r="O590" i="1"/>
  <c r="O593" i="1"/>
  <c r="O596" i="1"/>
  <c r="O599" i="1"/>
  <c r="O605" i="1"/>
  <c r="O611" i="1"/>
  <c r="O614" i="1"/>
  <c r="O620" i="1"/>
  <c r="O623" i="1"/>
  <c r="O626" i="1"/>
  <c r="O629" i="1"/>
  <c r="O339" i="1"/>
  <c r="O342" i="1"/>
  <c r="O407" i="1"/>
  <c r="O410" i="1"/>
  <c r="O413" i="1"/>
  <c r="O472" i="1"/>
  <c r="O475" i="1"/>
  <c r="O478" i="1"/>
  <c r="O481" i="1"/>
  <c r="O537" i="1"/>
  <c r="O543" i="1"/>
  <c r="O546" i="1"/>
  <c r="O124" i="1"/>
  <c r="O63" i="1"/>
  <c r="O66" i="1"/>
  <c r="O92" i="1"/>
  <c r="O107" i="1"/>
  <c r="O110" i="1"/>
  <c r="O201" i="1"/>
  <c r="O219" i="1"/>
  <c r="O222" i="1"/>
  <c r="O225" i="1"/>
  <c r="O228" i="1"/>
  <c r="O257" i="1"/>
  <c r="O266" i="1"/>
  <c r="O269" i="1"/>
  <c r="O289" i="1"/>
  <c r="O307" i="1"/>
  <c r="O310" i="1"/>
  <c r="O313" i="1"/>
  <c r="O316" i="1"/>
  <c r="O351" i="1"/>
  <c r="O440" i="1"/>
  <c r="O443" i="1"/>
  <c r="O446" i="1"/>
  <c r="O449" i="1"/>
  <c r="O505" i="1"/>
  <c r="O511" i="1"/>
  <c r="O514" i="1"/>
  <c r="O33" i="1"/>
  <c r="O22" i="1"/>
  <c r="O28" i="1"/>
  <c r="O31" i="1"/>
  <c r="O75" i="1"/>
  <c r="O78" i="1"/>
  <c r="O116" i="1"/>
  <c r="O119" i="1"/>
  <c r="O172" i="1"/>
  <c r="O175" i="1"/>
  <c r="O234" i="1"/>
  <c r="O237" i="1"/>
  <c r="O240" i="1"/>
  <c r="O243" i="1"/>
  <c r="O275" i="1"/>
  <c r="O322" i="1"/>
  <c r="O325" i="1"/>
  <c r="O328" i="1"/>
  <c r="O331" i="1"/>
  <c r="O390" i="1"/>
  <c r="O393" i="1"/>
  <c r="O399" i="1"/>
  <c r="O402" i="1"/>
  <c r="O455" i="1"/>
  <c r="O458" i="1"/>
  <c r="O461" i="1"/>
  <c r="O520" i="1"/>
  <c r="O523" i="1"/>
  <c r="O526" i="1"/>
  <c r="O529" i="1"/>
  <c r="O597" i="1"/>
  <c r="O606" i="1"/>
  <c r="O609" i="1"/>
  <c r="O612" i="1"/>
  <c r="O615" i="1"/>
  <c r="O621" i="1"/>
  <c r="O627" i="1"/>
  <c r="O630" i="1"/>
  <c r="O636" i="1"/>
  <c r="O639" i="1"/>
  <c r="O642" i="1"/>
  <c r="O645" i="1"/>
  <c r="O40" i="1"/>
  <c r="O46" i="1"/>
  <c r="O84" i="1"/>
  <c r="O87" i="1"/>
  <c r="O128" i="1"/>
  <c r="O131" i="1"/>
  <c r="O187" i="1"/>
  <c r="O193" i="1"/>
  <c r="O196" i="1"/>
  <c r="O252" i="1"/>
  <c r="O284" i="1"/>
  <c r="O340" i="1"/>
  <c r="O346" i="1"/>
  <c r="O411" i="1"/>
  <c r="O414" i="1"/>
  <c r="O417" i="1"/>
  <c r="O473" i="1"/>
  <c r="O479" i="1"/>
  <c r="O482" i="1"/>
  <c r="O535" i="1"/>
  <c r="O538" i="1"/>
  <c r="O541" i="1"/>
  <c r="O52" i="1"/>
  <c r="O96" i="1"/>
  <c r="O99" i="1"/>
  <c r="O140" i="1"/>
  <c r="O143" i="1"/>
  <c r="O202" i="1"/>
  <c r="O205" i="1"/>
  <c r="O208" i="1"/>
  <c r="O211" i="1"/>
  <c r="O258" i="1"/>
  <c r="O261" i="1"/>
  <c r="O290" i="1"/>
  <c r="O293" i="1"/>
  <c r="O296" i="1"/>
  <c r="O299" i="1"/>
  <c r="O358" i="1"/>
  <c r="O8" i="1"/>
  <c r="O14" i="1"/>
  <c r="O64" i="1"/>
  <c r="O67" i="1"/>
  <c r="O105" i="1"/>
  <c r="O108" i="1"/>
  <c r="O111" i="1"/>
  <c r="O155" i="1"/>
  <c r="O161" i="1"/>
  <c r="O164" i="1"/>
  <c r="O220" i="1"/>
  <c r="O223" i="1"/>
  <c r="O267" i="1"/>
  <c r="O308" i="1"/>
  <c r="O311" i="1"/>
  <c r="O314" i="1"/>
  <c r="O373" i="1"/>
  <c r="O379" i="1"/>
  <c r="O382" i="1"/>
  <c r="O441" i="1"/>
  <c r="O447" i="1"/>
  <c r="O450" i="1"/>
  <c r="O503" i="1"/>
  <c r="O506" i="1"/>
  <c r="O509" i="1"/>
  <c r="O574" i="1"/>
  <c r="O577" i="1"/>
  <c r="O580" i="1"/>
  <c r="O41" i="1"/>
  <c r="O94" i="1"/>
  <c r="O97" i="1"/>
  <c r="O141" i="1"/>
  <c r="O144" i="1"/>
  <c r="O147" i="1"/>
  <c r="O182" i="1"/>
  <c r="O185" i="1"/>
  <c r="O203" i="1"/>
  <c r="O206" i="1"/>
  <c r="O209" i="1"/>
  <c r="O212" i="1"/>
  <c r="O259" i="1"/>
  <c r="O291" i="1"/>
  <c r="O294" i="1"/>
  <c r="O297" i="1"/>
  <c r="O300" i="1"/>
  <c r="O356" i="1"/>
  <c r="O362" i="1"/>
  <c r="O365" i="1"/>
  <c r="O427" i="1"/>
  <c r="O430" i="1"/>
  <c r="O433" i="1"/>
  <c r="O489" i="1"/>
  <c r="O495" i="1"/>
  <c r="O498" i="1"/>
  <c r="O17" i="1"/>
  <c r="O619" i="1"/>
  <c r="O572" i="1"/>
  <c r="O575" i="1"/>
  <c r="O578" i="1"/>
  <c r="O581" i="1"/>
  <c r="O2" i="1"/>
  <c r="O3" i="1"/>
  <c r="O13" i="1"/>
  <c r="O18" i="1"/>
  <c r="O19" i="1"/>
  <c r="O29" i="1"/>
  <c r="O34" i="1"/>
  <c r="O35" i="1"/>
  <c r="O45" i="1"/>
  <c r="O50" i="1"/>
  <c r="O51" i="1"/>
  <c r="O5" i="1"/>
  <c r="O10" i="1"/>
  <c r="O11" i="1"/>
  <c r="O21" i="1"/>
  <c r="O26" i="1"/>
  <c r="O27" i="1"/>
  <c r="O37" i="1"/>
  <c r="O42" i="1"/>
  <c r="O43" i="1"/>
  <c r="O53" i="1"/>
  <c r="O58" i="1"/>
  <c r="O59" i="1"/>
  <c r="O60" i="1"/>
  <c r="O93" i="1"/>
  <c r="O125" i="1"/>
  <c r="O138" i="1"/>
  <c r="O154" i="1"/>
  <c r="O170" i="1"/>
  <c r="O186" i="1"/>
  <c r="O355" i="1"/>
  <c r="O568" i="1"/>
  <c r="O569" i="1"/>
  <c r="O570" i="1"/>
  <c r="O584" i="1"/>
  <c r="O585" i="1"/>
  <c r="O586" i="1"/>
  <c r="O600" i="1"/>
  <c r="O601" i="1"/>
  <c r="O602" i="1"/>
  <c r="O616" i="1"/>
  <c r="O617" i="1"/>
  <c r="O618" i="1"/>
  <c r="O632" i="1"/>
  <c r="O633" i="1"/>
  <c r="O634" i="1"/>
  <c r="O648" i="1"/>
  <c r="O649" i="1"/>
  <c r="O650" i="1"/>
  <c r="O664" i="1"/>
  <c r="O665" i="1"/>
  <c r="O666" i="1"/>
  <c r="O61" i="1"/>
  <c r="O85" i="1"/>
  <c r="O117" i="1"/>
  <c r="O142" i="1"/>
  <c r="O158" i="1"/>
  <c r="O174" i="1"/>
  <c r="O190" i="1"/>
  <c r="O255" i="1"/>
  <c r="O263" i="1"/>
  <c r="O271" i="1"/>
  <c r="O278" i="1"/>
  <c r="O279" i="1"/>
  <c r="O286" i="1"/>
  <c r="O287" i="1"/>
  <c r="O343" i="1"/>
  <c r="O359" i="1"/>
  <c r="O55" i="1"/>
  <c r="O65" i="1"/>
  <c r="O70" i="1"/>
  <c r="O71" i="1"/>
  <c r="O77" i="1"/>
  <c r="O91" i="1"/>
  <c r="O102" i="1"/>
  <c r="O103" i="1"/>
  <c r="O109" i="1"/>
  <c r="O123" i="1"/>
  <c r="O135" i="1"/>
  <c r="O136" i="1"/>
  <c r="O146" i="1"/>
  <c r="O151" i="1"/>
  <c r="O152" i="1"/>
  <c r="O162" i="1"/>
  <c r="O167" i="1"/>
  <c r="O168" i="1"/>
  <c r="O178" i="1"/>
  <c r="O183" i="1"/>
  <c r="O184" i="1"/>
  <c r="O194" i="1"/>
  <c r="O199" i="1"/>
  <c r="O200" i="1"/>
  <c r="O215" i="1"/>
  <c r="O216" i="1"/>
  <c r="O231" i="1"/>
  <c r="O232" i="1"/>
  <c r="O247" i="1"/>
  <c r="O248" i="1"/>
  <c r="O303" i="1"/>
  <c r="O304" i="1"/>
  <c r="O319" i="1"/>
  <c r="O320" i="1"/>
  <c r="O335" i="1"/>
  <c r="O336" i="1"/>
  <c r="O349" i="1"/>
  <c r="O350" i="1"/>
  <c r="O369" i="1"/>
  <c r="O370" i="1"/>
  <c r="O385" i="1"/>
  <c r="O386" i="1"/>
  <c r="O404" i="1"/>
  <c r="O405" i="1"/>
  <c r="O406" i="1"/>
  <c r="O420" i="1"/>
  <c r="O421" i="1"/>
  <c r="O422" i="1"/>
  <c r="O436" i="1"/>
  <c r="O437" i="1"/>
  <c r="O438" i="1"/>
  <c r="O452" i="1"/>
  <c r="O453" i="1"/>
  <c r="O454" i="1"/>
  <c r="O468" i="1"/>
  <c r="O469" i="1"/>
  <c r="O470" i="1"/>
  <c r="O484" i="1"/>
  <c r="O485" i="1"/>
  <c r="O486" i="1"/>
  <c r="O500" i="1"/>
  <c r="O501" i="1"/>
  <c r="O502" i="1"/>
  <c r="O516" i="1"/>
  <c r="O517" i="1"/>
  <c r="O518" i="1"/>
  <c r="O532" i="1"/>
  <c r="O533" i="1"/>
  <c r="O534" i="1"/>
  <c r="O548" i="1"/>
  <c r="O549" i="1"/>
  <c r="O550" i="1"/>
  <c r="O74" i="1"/>
  <c r="O82" i="1"/>
  <c r="O90" i="1"/>
  <c r="O98" i="1"/>
  <c r="O106" i="1"/>
  <c r="O114" i="1"/>
  <c r="O122" i="1"/>
  <c r="O130" i="1"/>
  <c r="O210" i="1"/>
  <c r="O226" i="1"/>
  <c r="O242" i="1"/>
  <c r="O254" i="1"/>
  <c r="O262" i="1"/>
  <c r="O270" i="1"/>
  <c r="O198" i="1"/>
  <c r="O214" i="1"/>
  <c r="O230" i="1"/>
  <c r="O246" i="1"/>
  <c r="O302" i="1"/>
  <c r="O318" i="1"/>
  <c r="O334" i="1"/>
  <c r="O348" i="1"/>
  <c r="O345" i="1"/>
  <c r="O361" i="1"/>
  <c r="O376" i="1"/>
  <c r="O392" i="1"/>
  <c r="O408" i="1"/>
  <c r="O424" i="1"/>
  <c r="O364" i="1"/>
  <c r="O380" i="1"/>
  <c r="O396" i="1"/>
  <c r="O412" i="1"/>
  <c r="O428" i="1"/>
  <c r="O444" i="1"/>
  <c r="O460" i="1"/>
  <c r="O476" i="1"/>
  <c r="O492" i="1"/>
  <c r="O508" i="1"/>
  <c r="O524" i="1"/>
  <c r="O540" i="1"/>
  <c r="O556" i="1"/>
  <c r="O353" i="1"/>
  <c r="O368" i="1"/>
  <c r="O384" i="1"/>
  <c r="O400" i="1"/>
  <c r="O416" i="1"/>
  <c r="O432" i="1"/>
  <c r="O448" i="1"/>
  <c r="O464" i="1"/>
  <c r="O480" i="1"/>
  <c r="O496" i="1"/>
  <c r="O512" i="1"/>
  <c r="O528" i="1"/>
  <c r="O544" i="1"/>
  <c r="O560" i="1"/>
  <c r="O576" i="1"/>
  <c r="O592" i="1"/>
  <c r="O608" i="1"/>
  <c r="O624" i="1"/>
  <c r="O640" i="1"/>
  <c r="O656" i="1"/>
  <c r="O672" i="1"/>
</calcChain>
</file>

<file path=xl/sharedStrings.xml><?xml version="1.0" encoding="utf-8"?>
<sst xmlns="http://schemas.openxmlformats.org/spreadsheetml/2006/main" count="2849" uniqueCount="105">
  <si>
    <t>Id</t>
  </si>
  <si>
    <t>Date</t>
  </si>
  <si>
    <t>Month</t>
  </si>
  <si>
    <t>State</t>
  </si>
  <si>
    <t>Sales Channel</t>
  </si>
  <si>
    <t>Product</t>
  </si>
  <si>
    <t>Categories</t>
  </si>
  <si>
    <t>Satisfaction Level</t>
  </si>
  <si>
    <t>Cost</t>
  </si>
  <si>
    <t>Sales Price</t>
  </si>
  <si>
    <t>Qty</t>
  </si>
  <si>
    <t>Revenue</t>
  </si>
  <si>
    <t>Total Cost</t>
  </si>
  <si>
    <t>Profit/Loss</t>
  </si>
  <si>
    <t>Andhra Pradesh</t>
  </si>
  <si>
    <t>Partnerships</t>
  </si>
  <si>
    <t>Namkeen</t>
  </si>
  <si>
    <t>Snacks</t>
  </si>
  <si>
    <t>Online Delivery</t>
  </si>
  <si>
    <t xml:space="preserve">Chips &amp; Wafers </t>
  </si>
  <si>
    <t>Delhi</t>
  </si>
  <si>
    <t>Samosas</t>
  </si>
  <si>
    <t>Uttar Pradesh</t>
  </si>
  <si>
    <t>Kachoris</t>
  </si>
  <si>
    <t>West Bengal</t>
  </si>
  <si>
    <t>Bhujia</t>
  </si>
  <si>
    <t>Mixes</t>
  </si>
  <si>
    <t xml:space="preserve">Ready-to-Eat Curries </t>
  </si>
  <si>
    <t>Instant Foods</t>
  </si>
  <si>
    <t>Goa</t>
  </si>
  <si>
    <t>Instant Mixes</t>
  </si>
  <si>
    <t>Tamil Nadu</t>
  </si>
  <si>
    <t>Frozen Snacks</t>
  </si>
  <si>
    <t>Haryana</t>
  </si>
  <si>
    <t>Parathas</t>
  </si>
  <si>
    <t>Jammu and Kashmir</t>
  </si>
  <si>
    <t xml:space="preserve">Nut-based Snacks </t>
  </si>
  <si>
    <t>Papads</t>
  </si>
  <si>
    <t>Namkeens</t>
  </si>
  <si>
    <t>Maharashtra</t>
  </si>
  <si>
    <t>Karnataka</t>
  </si>
  <si>
    <t>Heat-and-Eat Meals</t>
  </si>
  <si>
    <t xml:space="preserve">Traditional Sweets </t>
  </si>
  <si>
    <t>Sweets</t>
  </si>
  <si>
    <t xml:space="preserve">Dry Sweets </t>
  </si>
  <si>
    <t xml:space="preserve">Milk-based Sweets </t>
  </si>
  <si>
    <t>Punjab</t>
  </si>
  <si>
    <t>Syrup-based Sweets</t>
  </si>
  <si>
    <t>Gift Packs</t>
  </si>
  <si>
    <t>Jharkhand</t>
  </si>
  <si>
    <t>Telangana</t>
  </si>
  <si>
    <t>Puducherry</t>
  </si>
  <si>
    <t>Andaman and Nicobar Islands</t>
  </si>
  <si>
    <t>Odisha</t>
  </si>
  <si>
    <t>Gujarat</t>
  </si>
  <si>
    <t>Arunachal Pradesh</t>
  </si>
  <si>
    <t>Rajasthan</t>
  </si>
  <si>
    <t>Assam</t>
  </si>
  <si>
    <t>Bihar</t>
  </si>
  <si>
    <t>Kerala</t>
  </si>
  <si>
    <t>Uttarakhand</t>
  </si>
  <si>
    <t>Physical Store</t>
  </si>
  <si>
    <t>Dadra and Nagar Haveli</t>
  </si>
  <si>
    <t>Madhya Pradesh</t>
  </si>
  <si>
    <t>Lakshadweep</t>
  </si>
  <si>
    <t>Himachal Pradesh</t>
  </si>
  <si>
    <t>Nagaland</t>
  </si>
  <si>
    <t>Chhattisgarh</t>
  </si>
  <si>
    <t>Daman and Diu</t>
  </si>
  <si>
    <t>Year</t>
  </si>
  <si>
    <t>1. Purpose</t>
  </si>
  <si>
    <t>2. Audience</t>
  </si>
  <si>
    <t>3. Metrics / Dims</t>
  </si>
  <si>
    <t>metrics</t>
  </si>
  <si>
    <t>rev</t>
  </si>
  <si>
    <t>profit</t>
  </si>
  <si>
    <t>margin</t>
  </si>
  <si>
    <t>units</t>
  </si>
  <si>
    <t>Avrg selling price</t>
  </si>
  <si>
    <t>Mom / YoY / YTD</t>
  </si>
  <si>
    <t>title</t>
  </si>
  <si>
    <t>marking</t>
  </si>
  <si>
    <t>Haldiram sales dashboards</t>
  </si>
  <si>
    <t>By NextLoeapC13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</si>
  <si>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</si>
  <si>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</si>
  <si>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</si>
  <si>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</si>
  <si>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</si>
  <si>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</si>
  <si>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</si>
  <si>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</si>
  <si>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</si>
  <si>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</si>
  <si>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</si>
  <si>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</si>
  <si>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</si>
  <si>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</si>
  <si>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Revenue</t>
  </si>
  <si>
    <t>2022</t>
  </si>
  <si>
    <t>2023</t>
  </si>
  <si>
    <t>Count of Id</t>
  </si>
  <si>
    <t>is 0</t>
  </si>
  <si>
    <t>is 1</t>
  </si>
  <si>
    <t>Sum of 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</si>
</sst>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61CBF3"/>
      </top>
      <bottom style="thin">
        <color rgb="FF61CB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4" borderId="0" xfId="0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"/>
      <alignment horizontal="center" vertical="center" textRotation="0" wrapText="0" indent="0" justifyLastLine="0" shrinkToFit="0" readingOrder="0"/>
    </dxf>
    <dxf>
      <numFmt numFmtId="164" formatCode="dd/mm/yy"/>
      <alignment horizontal="center" vertical="center" textRotation="0" wrapText="0" indent="0" justifyLastLine="0" shrinkToFit="0" readingOrder="0"/>
    </dxf>
    <dxf>
      <numFmt numFmtId="164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colors>
    <mruColors>
      <color rgb="FFFF3300"/>
      <color rgb="FFF9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Revenue(Mn)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'Helping Sheet'!$E$3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2225" cap="rnd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rgbClr val="FFC000"/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'Helping Sheet'!$D$4:$D$15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'Helping Sheet'!$E$4:$E$15</c:f>
              <c:numCache>
                <c:formatCode>General</c:formatCode>
                <c:ptCount val="12"/>
                <c:pt idx="0">
                  <c:v>9721600</c:v>
                </c:pt>
                <c:pt idx="1">
                  <c:v>6332400</c:v>
                </c:pt>
                <c:pt idx="2">
                  <c:v>17715000</c:v>
                </c:pt>
                <c:pt idx="3">
                  <c:v>7746350</c:v>
                </c:pt>
                <c:pt idx="4">
                  <c:v>5394700</c:v>
                </c:pt>
                <c:pt idx="5">
                  <c:v>11485450</c:v>
                </c:pt>
                <c:pt idx="6">
                  <c:v>6401400</c:v>
                </c:pt>
                <c:pt idx="7">
                  <c:v>12985850</c:v>
                </c:pt>
                <c:pt idx="8">
                  <c:v>12788200</c:v>
                </c:pt>
                <c:pt idx="9">
                  <c:v>25093850</c:v>
                </c:pt>
                <c:pt idx="10">
                  <c:v>13081050</c:v>
                </c:pt>
                <c:pt idx="11">
                  <c:v>14595850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98-4A5F-8E39-62102047E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69319568"/>
        <c:axId val="1769321008"/>
      </c:lineChart>
      <c:catAx>
        <c:axId val="176931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21008"/>
        <c:crosses val="autoZero"/>
        <c:auto val="1"/>
        <c:lblAlgn val="ctr"/>
        <c:lblOffset val="100"/>
        <c:noMultiLvlLbl val="0"/>
      </c:catAx>
      <c:valAx>
        <c:axId val="1769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195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Channel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'Helping Sheet'!$M$11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C8-4FCB-8B80-8EDB1C781E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C8-4FCB-8B80-8EDB1C781E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C8-4FCB-8B80-8EDB1C781E3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EC8-4FCB-8B80-8EDB1C781E3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EC8-4FCB-8B80-8EDB1C781E3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EC8-4FCB-8B80-8EDB1C781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'Helping Sheet'!$L$12:$L$14</c:f>
              <c:strCache>
                <c:ptCount val="3"/>
                <c:pt idx="0">
                  <c:v>Instant Foods</c:v>
                </c:pt>
                <c:pt idx="1">
                  <c:v>Snacks</c:v>
                </c:pt>
                <c:pt idx="2">
                  <c:v>Sweets</c:v>
                </c:pt>
              </c:strCache>
            </c:strRef>
          </c:cat>
          <c:val>
            <c:numRef>
              <c:f>'Helping Sheet'!$M$12:$M$14</c:f>
              <c:numCache>
                <c:formatCode>General</c:formatCode>
                <c:ptCount val="3"/>
                <c:pt idx="0">
                  <c:v>43149050</c:v>
                </c:pt>
                <c:pt idx="1">
                  <c:v>50480150</c:v>
                </c:pt>
                <c:pt idx="2">
                  <c:v>49712500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C8-4FCB-8B80-8EDB1C78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'Helping Sheet'!$T$41</c:f>
              <c:strCache>
                <c:ptCount val="1"/>
                <c:pt idx="0">
                  <c:v>Sum of Profit/Loss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'Helping Sheet'!$S$42:$S$43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'Helping Sheet'!$T$42:$T$43</c:f>
              <c:numCache>
                <c:formatCode>0.00%</c:formatCode>
                <c:ptCount val="2"/>
                <c:pt idx="0">
                  <c:v>0.77500000000000002</c:v>
                </c:pt>
                <c:pt idx="1">
                  <c:v>0.6603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F-4F6A-96B2-590782CC36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6097200"/>
        <c:axId val="1866097680"/>
      </c:barChart>
      <c:catAx>
        <c:axId val="18660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7680"/>
        <c:crosses val="autoZero"/>
        <c:auto val="1"/>
        <c:lblAlgn val="ctr"/>
        <c:lblOffset val="100"/>
        <c:noMultiLvlLbl val="0"/>
      </c:catAx>
      <c:valAx>
        <c:axId val="186609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Revenue(Mn)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'Helping Sheet'!$E$3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2225" cap="rnd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rgbClr val="FFC000"/>
                  </a:gs>
                  <a:gs pos="67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'Helping Sheet'!$D$4:$D$15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'Helping Sheet'!$E$4:$E$15</c:f>
              <c:numCache>
                <c:formatCode>General</c:formatCode>
                <c:ptCount val="12"/>
                <c:pt idx="0">
                  <c:v>9721600</c:v>
                </c:pt>
                <c:pt idx="1">
                  <c:v>6332400</c:v>
                </c:pt>
                <c:pt idx="2">
                  <c:v>17715000</c:v>
                </c:pt>
                <c:pt idx="3">
                  <c:v>7746350</c:v>
                </c:pt>
                <c:pt idx="4">
                  <c:v>5394700</c:v>
                </c:pt>
                <c:pt idx="5">
                  <c:v>11485450</c:v>
                </c:pt>
                <c:pt idx="6">
                  <c:v>6401400</c:v>
                </c:pt>
                <c:pt idx="7">
                  <c:v>12985850</c:v>
                </c:pt>
                <c:pt idx="8">
                  <c:v>12788200</c:v>
                </c:pt>
                <c:pt idx="9">
                  <c:v>25093850</c:v>
                </c:pt>
                <c:pt idx="10">
                  <c:v>13081050</c:v>
                </c:pt>
                <c:pt idx="11">
                  <c:v>14595850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E8-47CC-A8AF-4DD373EA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69319568"/>
        <c:axId val="1769321008"/>
      </c:lineChart>
      <c:catAx>
        <c:axId val="176931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21008"/>
        <c:crosses val="autoZero"/>
        <c:auto val="1"/>
        <c:lblAlgn val="ctr"/>
        <c:lblOffset val="100"/>
        <c:noMultiLvlLbl val="0"/>
      </c:catAx>
      <c:valAx>
        <c:axId val="1769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195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Channel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'Helping Sheet'!$M$11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90-41E8-9982-A9EEBFDABF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90-41E8-9982-A9EEBFDABF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90-41E8-9982-A9EEBFDABF36}"/>
              </c:ext>
            </c:extLst>
          </c:dPt>
          <c:dLbls>
            <c:dLbl>
              <c:idx val="0"/>
              <c:layout>
                <c:manualLayout>
                  <c:x val="8.0592738407699038E-3"/>
                  <c:y val="9.7889326334208229E-3"/>
                </c:manualLayout>
              </c:layout>
              <c:tx>
                <c:rich>
                  <a:bodyPr/>
                  <a:lstStyle/>
                  <a:p>
                    <a:fld id="{6F66AA3C-93E3-4797-A0C5-B916A6E31B55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90-41E8-9982-A9EEBFDABF36}"/>
                </c:ext>
              </c:extLst>
            </c:dLbl>
            <c:dLbl>
              <c:idx val="1"/>
              <c:layout>
                <c:manualLayout>
                  <c:x val="-5.2271216097987752E-2"/>
                  <c:y val="9.3073782443861188E-3"/>
                </c:manualLayout>
              </c:layout>
              <c:tx>
                <c:rich>
                  <a:bodyPr/>
                  <a:lstStyle/>
                  <a:p>
                    <a:fld id="{4CBD0556-ED0E-4674-9B87-B457F5320E8C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090-41E8-9982-A9EEBFDABF36}"/>
                </c:ext>
              </c:extLst>
            </c:dLbl>
            <c:dLbl>
              <c:idx val="2"/>
              <c:layout>
                <c:manualLayout>
                  <c:x val="-1.5144356955380577E-3"/>
                  <c:y val="7.1843102945465575E-3"/>
                </c:manualLayout>
              </c:layout>
              <c:tx>
                <c:rich>
                  <a:bodyPr/>
                  <a:lstStyle/>
                  <a:p>
                    <a:fld id="{769382DD-B3BF-4CBE-B1A8-0B01A01E08B1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90-41E8-9982-A9EEBFDAB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'Helping Sheet'!$L$12:$L$14</c:f>
              <c:strCache>
                <c:ptCount val="3"/>
                <c:pt idx="0">
                  <c:v>Instant Foods</c:v>
                </c:pt>
                <c:pt idx="1">
                  <c:v>Snacks</c:v>
                </c:pt>
                <c:pt idx="2">
                  <c:v>Sweets</c:v>
                </c:pt>
              </c:strCache>
            </c:strRef>
          </c:cat>
          <c:val>
            <c:numRef>
              <c:f>'Helping Sheet'!$M$12:$M$14</c:f>
              <c:numCache>
                <c:formatCode>General</c:formatCode>
                <c:ptCount val="3"/>
                <c:pt idx="0">
                  <c:v>43149050</c:v>
                </c:pt>
                <c:pt idx="1">
                  <c:v>50480150</c:v>
                </c:pt>
                <c:pt idx="2">
                  <c:v>49712500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0-41E8-9982-A9EEBFDABF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channel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'Helping Sheet'!$M$11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8-4006-B406-4B8FD13AA3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68-4006-B406-4B8FD13AA3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68-4006-B406-4B8FD13AA3F3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6.4814814814814811E-2"/>
                </c:manualLayout>
              </c:layout>
              <c:tx>
                <c:rich>
                  <a:bodyPr/>
                  <a:lstStyle/>
                  <a:p>
                    <a:fld id="{66E03829-69B2-483D-8BAB-4EECDA58191C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D68-4006-B406-4B8FD13AA3F3}"/>
                </c:ext>
              </c:extLst>
            </c:dLbl>
            <c:dLbl>
              <c:idx val="1"/>
              <c:layout>
                <c:manualLayout>
                  <c:x val="8.3333333333333332E-3"/>
                  <c:y val="9.7222222222222057E-2"/>
                </c:manualLayout>
              </c:layout>
              <c:tx>
                <c:rich>
                  <a:bodyPr/>
                  <a:lstStyle/>
                  <a:p>
                    <a:fld id="{AA8656CA-22FC-462A-9159-A38C92CFB41F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D68-4006-B406-4B8FD13AA3F3}"/>
                </c:ext>
              </c:extLst>
            </c:dLbl>
            <c:dLbl>
              <c:idx val="2"/>
              <c:layout>
                <c:manualLayout>
                  <c:x val="-5.0000000000000051E-2"/>
                  <c:y val="-8.7962962962962965E-2"/>
                </c:manualLayout>
              </c:layout>
              <c:tx>
                <c:rich>
                  <a:bodyPr/>
                  <a:lstStyle/>
                  <a:p>
                    <a:fld id="{46B8C6A0-6C0E-43DF-89FA-482CDD4407FA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D68-4006-B406-4B8FD13AA3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'Helping Sheet'!$L$12:$L$14</c:f>
              <c:strCache>
                <c:ptCount val="3"/>
                <c:pt idx="0">
                  <c:v>Instant Foods</c:v>
                </c:pt>
                <c:pt idx="1">
                  <c:v>Snacks</c:v>
                </c:pt>
                <c:pt idx="2">
                  <c:v>Sweets</c:v>
                </c:pt>
              </c:strCache>
            </c:strRef>
          </c:cat>
          <c:val>
            <c:numRef>
              <c:f>'Helping Sheet'!$M$12:$M$14</c:f>
              <c:numCache>
                <c:formatCode>General</c:formatCode>
                <c:ptCount val="3"/>
                <c:pt idx="0">
                  <c:v>43149050</c:v>
                </c:pt>
                <c:pt idx="1">
                  <c:v>50480150</c:v>
                </c:pt>
                <c:pt idx="2">
                  <c:v>49712500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8-4006-B406-4B8FD13AA3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'Helping Sheet'!$W$34</c:f>
              <c:strCache>
                <c:ptCount val="1"/>
                <c:pt idx="0">
                  <c:v>Count of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'Helping Sheet'!$V$35:$V$36</c:f>
              <c:strCache>
                <c:ptCount val="2"/>
                <c:pt idx="0">
                  <c:v>is 0</c:v>
                </c:pt>
                <c:pt idx="1">
                  <c:v>is 1</c:v>
                </c:pt>
              </c:strCache>
            </c:strRef>
          </c:cat>
          <c:val>
            <c:numRef>
              <c:f>'Helping Sheet'!$W$35:$W$36</c:f>
              <c:numCache>
                <c:formatCode>0.00%</c:formatCode>
                <c:ptCount val="2"/>
                <c:pt idx="0">
                  <c:v>0.14516129032258066</c:v>
                </c:pt>
                <c:pt idx="1">
                  <c:v>0.85483870967741937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3-4246-818E-83FCEEE70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'Helping Sheet'!$T$41</c:f>
              <c:strCache>
                <c:ptCount val="1"/>
                <c:pt idx="0">
                  <c:v>Sum of Profit/Loss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'Helping Sheet'!$S$42:$S$43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'Helping Sheet'!$T$42:$T$43</c:f>
              <c:numCache>
                <c:formatCode>0.00%</c:formatCode>
                <c:ptCount val="2"/>
                <c:pt idx="0">
                  <c:v>0.77500000000000002</c:v>
                </c:pt>
                <c:pt idx="1">
                  <c:v>0.6603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2-46FB-9FC1-FD07D59434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6097200"/>
        <c:axId val="1866097680"/>
      </c:barChart>
      <c:catAx>
        <c:axId val="18660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7680"/>
        <c:crosses val="autoZero"/>
        <c:auto val="1"/>
        <c:lblAlgn val="ctr"/>
        <c:lblOffset val="100"/>
        <c:noMultiLvlLbl val="0"/>
      </c:catAx>
      <c:valAx>
        <c:axId val="186609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8D925A3E-D5DA-4F2F-B793-7060D8657C71}">
          <cx:dataLabels>
            <cx:visibility seriesName="0" categoryName="0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1Hzbctw4su2vOPywnw7VAEhcOGd6Ihqsm1S6WZJlWy+MsiSDIEGQBMHr15+UJXdbNeppzxlPxBaj
ox0lFlhJLmTmypUA/347/u3W3O/cm7E0tv3b7fjr28z7+m+//NLeZvflrj0o9a2r2uqLP7ityl+q
L1/07f0vd243aKt+IQhHv9xmO+fvx7f/+DtcTd1Xx9XtzuvKvuvu3XRx33bGt//i3Iun3uzuSm0X
uvVO33r869vFDn7zzc7evTndKbB3s+vvjX775t567aerqb7/9e2zMW/f/LJ/5X+y4o0BQ313B2MJ
OsAkJhGOo7dvTGXV0995eIARigjlBH094PTjb57uShj379v11ard3Z27b1u4za///vl1nt3Tn3/t
tuqsf3jaCh78r28P7Z3evX2j2yp5PJFUDzd5ePr1qfzyHKd//H3vD/Cc9v7yHZT7D/WvTv0Tkr+1
7a789hB/AnDsIKRRKGIs4sfjGX4xORCE0xjF4ePZ8NtPP+L3l9a8DNfTsD10frt8++YVIXEEjltk
4FPfHslPQCM8YJSBJ4mnxy2eoSHoAWURDgl7AmvPm37IopcR+W7oHipHm1eFym/2blfu7GOs07fV
Z4h2h60BmNqfhxMmBwzCGRHoebh7cJcQAzwh+t2bvg93/5/GvQzZv7zYHoi/Qeh6Ra51sgPf2rWZ
dxCGf1aOwvFBRAkSIYSzrwd+5lycQaoScUiiJ+jot59+DHU/aNPLWD0bvIfNyatzsAy4xLnb3d23
2bdn9J/HPkwPOKUU8tAfvvM9k4gPYkYjTOMnfPYzkb37QbNeRgi86dn4PZB+O39VDrT4PQYudPfz
MAKaFz0SOfGiCz2EPziBxR44P2zOy9jsDd+DZu/sKwpz772HMPeTOUQIVDwkiDDGHgPZcw7B4wOC
aAgU4+Uw94M2vQzUs8F7ML3fvioPkhpS0E/0HHrAeCwopg8O8uAjz5IPMDuGYsaimHz7zces85dm
vAzE07A9COTFq4LgaFeW3VcitwUuUOqfCEcYApPmMaUI/07Uvk82FLgABw/6dpo9R+XRsv/ZlfX/
ffMDtr2M0YsX2UPs6HU5zW+uszsQNMzPpweEH9A4hEKVgqDwcICjfIdY/MDeeMjBix6PPcT+Lcte
xuuFS+yh9dvr8q8ky3be6xYEoZ/I4wg+gNwjohi49tdjL9KRAxRh0BQeAPy+NvpRa14G5/noPVyS
q1cV9xb3JvuZ2pw4YFEYxgjC2QuAcH6AMY045KYXPecvrXkZkKdhe0gsjl8VEuedzXefv83T/7zG
AW4mIgI1DOHPohenBxFmAsWIP2Kwx5//2o6XQfg2bg+Fc/mqUFhXP1MFoAchC0kYk28E+DkS0QGi
hMWMkEck9lSAv7DlZRi+DtrDYP3b68Kgy6FU8T/PFQhIaDEkCvotYcfPccCQ7jkUKvQJB3CY77PF
+q/t+RMsvg3cx+PoVeGx2blpZ3+iX5D4AMcC+jcw4b/jVaCKhREiEYqeKv49XvUDdryMw+8D93DY
vC4OtdHlf4nwhvggJiEFKvUij4K0TUJGcAhp4+uxD8y/YdifIPRPV9iH6nVpYtudszu/K36i0+Do
gGNob0ZPqtheVf8gKUOVCTX/y92zH7LoZXC+G7qHyvZ1JZbtvduZnwkJSJRRLDjnz1szgEWEBIH2
2RML3is//tqOPwHiyf59FF4X0T3eFW22uxvu7+tvefY/Z7sYKkHOQK8XexIkcKyIxEzwPXL1g1a8
DMSzwXtoHC9eVXI/2d1l03+hxUJA9QoFhjbLy/K9OCBCxCwMnyrBvSrkx816GaH98XsgnbyudPKw
kOahrfzz/IWwA8SwgHz/oigZRwcRA/T4E3hojxL/iEEvA/PHyD1ITl9XFDu70xDFfiIg6IDiEEUR
tIwfj2fcWAAgRMDqGajbvx574eyvzXkZjm/j9sA4e13M+Ly762ARnHPTzwMEMoqICWYEGlxfD/wM
EOhtcaDLHMqV309/XzT+mEkvg/L92D1gzj+9quxysct3rYeFSz8PF4hcVESgqogn/WqvmA8PBHRa
CASvR1z2HOWHLHoZlu+G7qFy8boK+qtdqQ2szrzrfh4s4C4IM+iX7BMwAVyYI+gD76WQHzPiZSS+
H7sHxdXrWn10dQ95Xf1UdQXzA8jajMIyy/2IhVD80Cx5WtUCp7+PWD9kyp/g8cdd7MOxflXx6uui
gv9CQ5E96iv4qZ+4V7sLyP2Mgfz4bSnmHhn+YateRmdv+B5C718XFf5w3/o38h58xnybvv959QjF
CnArTBGHIPWdIin4QcxBoY+eNJV4L5n8oDEvw/Js8B4oH/53d01eXvf0GEwe0Xj2jX93gT+BdeIE
mrbf1EiQT74DBZgXdFUYRyF9zPB7ieVpRf2fW/MyHE/Dnhn+X16e/+dL93/f/7AAFXH5dePEd6v3
//XZr7cHmzv2hj7F+hed5fFZHd79+hY/SCXf4fVwkWdZYr+w/qeh90D4fn0rYHke0DQGkiWkfsQF
sOcBXPfXtxwUGSh0YKcGVJ8CE3ApWzmfwcYOdiBgAKwWiyIUYx6DIW3VfT0F7IIzaM8wxkMKYVL8
voflvDKTquzvz+Tp8xvbleeVtr6FmyIPl6ofv/hwlzwCpsIYkHsCS3MimEmgaNe3uwvYKfPw/f+j
cRCPczG3q9F0WbRATmVr3LrsLAhydJ1Rjz+IRgmTuJmbYx1OAz4StvaHYtD5pY2IPnNNrxrZDFN0
R3URX83Wx/U6rRRhx6ntuuxaqSqdZBBU4rpPcyJJTchiDEIkW2Qumigc33Na0cRnXX9WW3Q9524M
ZG2HK03r8krN1t51lIdnDpX5hkS1OGLznB06VXbnZTGaVoacjlXSGl/WSZMFc+LJ5NcZnVqUWG/n
rUB4QInrxPQu7tJ+krlmpjoirrmwIyvniz5uq/CQZXN5WSMx94tcu/6yxFUZH83RgCcZIxMxCd3m
rD8kyvSNDPu0vgsC0U1yamxqZFgi5Y+70cbxUZ8SzpfTEBH3bpqK+i5yUaXXKh6L/jrAKr6r5nn8
POOhwhvi4qZceh4WicqHgK10HDuzCFhByjMquB2O5oD2X3zKfXU6ZmVzY0iHrypGShm6VLwj0UTX
Q54fZqA2BUd1kNVoXRnBPk9OR/1hyOrJySZ1jZImY2iW2VhHC9a7aoVzFekkxVGRyXhCV1Fb6U+d
idRd1wTudkQtPy25nviyFY1fptmgooSW9bDlmPi1VekgZEFduYanEuHEU5NJ0zZ9LBtdzxvaF0Oi
sFfHoQnK4maGyXGR52XgpEcWHQVOFLIKDEn8rGIj63TKJEah0kndlU4axbJFF1omaVQQss7twI+C
OlfHkS1uuxJmy2ibQi10WXXJrFV+KVqvZDvNhUQG7rsTKUvyYMZZoqKx2qFqTGWru/CLMqX4ELkS
JjlGbRHeZDVnUtemT3g3fg5xhWSs+mCTj1QtYov1GuWzzxa+jPWW+fKiDnM9SuuyY0on+o7D5p5P
zhl9ogbdsqWZ5mzdeC5uXUlYnhQoMB97N3adDAgdvWRajSrhESm17JDNisTkZhQJykxeH7U2DNZc
zM0oJ6Pa4yHt9SK39kLkA1rqCkfNOso9kXUYX5ko6j+5iNsE1T3M93gQNEv6vi3ESlSpCDcoLecd
LbMu+9ChKtOJHjNupM1YjuSIg2E4RNxnvRy6ORRJVSJtD6HO1ErWcZ99bAc9NrLEylerKuT9eNxM
KogXWTE0QwLtgDBbRQUjTZIFAz5rncZc1syxT+HMXTBKoXiQrtOyiz5EYdQEpzRqM7fSVGfdasSw
lGMR9S2ZkoINIV0N0zihRT4C0JIgSwvwdaLseBo1XHUnaS+GPMFNjspLHcO3LjIxFL2ceIqHDx5m
l5CIm2JcpSoQVaKHDNWJneIZZtk8VBufaX+FckMPBY1Vc1m01SSWOvBxfj/0U33cm6oFx6Y1s3Ka
sbl2YChJoiov7s3gY7cM09TVsi6aAC0U5aaFiTTbTrYicCaxHU77RTmbLy7Om6Rk4aCWaV4X7SHM
zLGTtSZc4thF71yv7am1lN6xYLRkE8U81kddRN3nMDYukGVWNIs0o2MvNZyCIDGS9xYaMO+bqJyR
RAWOVqaI1IaiulFJJmqecKobncwYVo8tUlrmvSyyOfMSAiRvky7vGtiT15pygXWdBnAyrEppxsI6
mVs3fOp7K076gtoPFc+nUg50mE67gRRH1oXxKF1dj0uIQypYjG08bBj2w0kfN/F5GgijE5Fn8SoP
2PiOjt2URJklF2VvsygZPM1VUlhVHaYNiVtZmxEf4mbSW++HMaGBa66wJeGH0rNhhV04ydnG7LDT
g/KyhBRZLscAoc+j6k0SBmTMl0oHal4qMXdrNHXxcV35ILFBGxayqMpOZpGtzwJfdTsUjuONHnB0
3Wa4OGRdn6+Q69MLyJZarBvM26sK5+PnxuvojsR4uBpcOax6ai9jCEujHBoet8usry7zLhpz2c5Z
fdQ0BUReEGbUBpdNuCjbnq57a3Od0Mj3YULzWGcrYfrZydawT4pbgLVrbbst2CS+xH3VSaurKEFp
jDa59+UN52WgFhWwxWGDSBcuTW/EwhBTbcqyr5bO5cMpbZuwkk3lcb6aMNywRwrf15UOjrs0D7OE
WIXr46kM53rRurl635jBcJmOJeQu29fRYR11/bYoMuUXFRcRlRPy+oYGQfSu76bwJG+K+My6ghQS
VlfdQmp2x3Os2k95T0OYG+NYH9VjobYlLnOwZYJARcPRXZSawGcf9fEZ2OJvyiFG1wVu2SC7oZov
CG+yQ02n2i9Sxlctz+9BdzTvGZ/z5ZCW2p8CevYTmtG8GKkP1rnzdF2RKF/oqr7r+TyfZ/EsToG5
jEbGtvw4YeOSJg50dmirKJMWd25ZxFUP/sbHcIGRZu9QjVEmyy6e3uEumOtL25rgiESVuyHYwgRT
UTdrmVZNKRaDq/pBCtb6z6zpo5tW1P270UCD55BmtvhYDUqpsynyBpwxj+znamj9bRqa3sp2rFxw
1LbplMNTzeN81aueX8bR1FqIL4Yf1cIHmUxpBf+fMhqIBK4GwQwFnPcLBzQvoaSBk0Xq6bsoJ1VC
hxYiM4CLr8egtX7pvZirBEaXixqIWSNrOur1NA/+C63iqpFFD59RmHVf6OD7QzPQ+nhgjh/RQNfv
iqrqZ9nyqckW1PT5e2Mbu86ast3qLEVrxFJ2FDsOF8JOmw85NiZLYtZCspng4bQJL3qwsM/gZFwB
F9y4vGzzVT2F866JbR4tmzGcdnoK0lvfjjxatm1vFXhs1GSSjFNWnOOAui0A3+SSwHCbNGVtc1ny
1p41hZgvgJhmi1ErYmSkhaoXVWdmmKxBqtYkzqubuOhK8LfQDqsxmDWWadHX0tOm/mQrz1SiJ1i6
UEyUbqM0TXdh17XLPnWdA4IXpFtVNZjKGtPikINJSwUxc0pygaoPXqjmdkZVM8mw4vRUZ7QPZNxV
7CKrpvHYtbW9quIObHOuoqeV0L1Ohlq3h7aZVbgkkarOIepPC+d4PG+A7FS1RChV71NsHuLOAGGy
JXGfsDLGpXQpkKbFVOW2TMJxam6EziHViCCez1zZ0GhRd2MHC48ruuRZDnusy6YozkJNXCT5UOIi
ySYQ8CU2fDzxDndR0go0v1ezj6/ipi5EApXAfKqnDG1sNdp+MfIx+ohi2meXxdjF502UhWYJAUbc
eeCWXo4jmtJVC5n53KqJHmWmSpHUpRebsAoDnxQ8Cyap4JltkI77NfU+aiXFjr/Tcx5wKexALhlk
nUXNVHedzV5fhhMR58OkgLdltGnfGeJpv0LxTFugJAGagNn3bJKuV+yyZ7E+y/uZAckTxXRGw6a4
LdUYXjQ1BOoNCyuVSR1QtqQ9De4g4uUryM9sRSaR3/NprBdAhej7eIwrvGpRwC5QN7Cbas65TuIs
1AlriCvkMPn4KGMV/1Twfj4vkQs+V6LML9GUOb0lrS+3tp/4l1ggXR/Pqq1SObe0vAuj0V/Pwzht
zGz6La9poRcRz1CeIN7ndsUyN00LbSEKbZqmZJupyYP3TE2mX5q2btfIU78tMxcnfNIIJQ2twyWe
OtcllhhzhIpyyJLI9NOHWaR+WWV5PcF3ecMXsMVjXBW4qo99VfBiESjtlgO8S2A7qhYd4rL7OCJf
ylRVejHrqQNDSHOTVuihmGL10ZiF4lC7GiJPpKJ3euB+SSeilNTTUEkEwUuGQXZNCixk5MgoYRb2
krTxl4pHm5aF7nBUqVo2wptVFGTjWgxZtU71lN6nQd2eRaSC+DfFQS7dCNVh4KN1VfpsPQBFiBZk
7NmpiqvqfLQ0O2zyul3hKbAb3A7FtlG8ux0KX7/jwZSKJO2BGpmRV1cR5L4VE0O7GUysboDOtEkV
Z1D6QmhuOzB0mnkKGbzIJe+rdFvTXq/r2M1yVF173BEFmTro58Wgh1uoHvwhrkRhJGTiYtnbwd8V
jUXDMh+MODR5Jm7yhmC1sA3zRwNMkCQIJrd1DfFAFov8KG6LfjeL5m6uA+BWJkof0ilUY3Vm00M2
OXc0BWReQwmkVn2WQVWrpxCdxJraZcZpmDQ26KVTPVnpdGTvfIkmkTTj6LasKfwxqrP6cArqJl8I
6tAZnalKTJCz47BKr2Dav2OR2vZjdx3OQ3Qe8UJIQc2c4KKoZYuHWAKcfRIXKofCbc6zkyzwtkjy
qTPXVThmH5BicQLVJ+sgwTbvGfLjTtfFeM5mQrREzOcn08z4hpEhOqxS2F+yRmMbQXjLx/kTI+is
qFt3VpQRaASt33Q4dMAAO2uhTgu7G2CdaWILSj+2U9V/ruf2pMxMs21NXi4ajMwMISZUn0mcos8K
6EYiurFaTd0kToDozdu+itvT3PTdZZnBb4eioQsFpfKqMco0MEUDeljOJTmtGB+uPAduPrWFD2Vn
Av+pSQU98pj0S1t2mfRT2H4WVquVifm4pXE6XKaKGqhzPFoNkYDsBjvMVmGA2Qdhm7iQtlaqX/Su
n9ES2Mi5gdnYLMu+MbWsOlwum6ChvayKzvqEEO4hheMmSxhUbVANB2F940sgT4ss6Pov3KSeX3E1
ijHBxFqoTDzJEg/Z5M6RYAiTwpTjJp+1vRmVA3miC4lJJQ/yWp2XeY2uU91XQL8LkInykNyQLGBn
JDf4rs2DCssiMmUua8DhsIPqZsW4gUKCz6O+LppxoDIQNdGXdd1auxlVI5a1Yr5eCtPMH/uspocc
FKDDsWsJ1AtjaM9xYQjbPAgkO0UDvOyLmRcy6kfWJ2HkIYd564NL3E5I+qGPEsgv9WVmuN8RoyEA
tLjcEKpvXF5l27BtvV2aThULNIDOAnWdwQuWVvSq4ZPftHYOyYkaJ9wmoXW5W5KWzHztURkGq3AM
ci/FUFpxnTeaoHUNWTOUbWoeKKM6HoZ6pQeXw4PwcTfLtEVzK/M+Rl9qNHanYo7SD2gsOZfZFKYd
fI3nH7XV7ggUHFutRN6EGiSt0RwFPA/LqyH186X1uGfH5Zj5dltlYzEu5mwql3oIhmQCVWLtQ/4p
LpsyXjZQvq1hQXDIISJpNCQhpvMJFJ3uJraQsVbDoKksVDskUJoFV7VIxXHA5jYBChnKrKv6G3A5
7U4h5LNo23RlfobTMLo1eSc+gDKDZAD5CJh0Tde2MPUpjevmNnJKgTPFKjwemw6vcJyZuzyog3TT
iFzHID+4wkk8hyNoO3HpKDA+EAxkWBPnE1YPFC+croeTvAjbh7KwU6BHmKYtpBhrHy0grneDrGs1
0CRsK462JutoKXU0gru3eTZRmaLSh5sWKrF8VfJJmHXPe7RwBfU8iVzdfQzT5oEqt5WDnNMac1WA
HEiTFBTLMwvlC/y1dBDcsxImpoQ8XbCjhpbRTgVtJF2XqTEphqkAhgMpauI0qGWUlePRENfsc2Fw
/YGVWHycmbWjVC4Lzithwilpo0i0yRC200pMHiisNp07BCZuVv1cFyZJp66F8s42qEnq3NdC0kyo
m6iZ6rVlHTs1qRURFF2lCFaed3xBtaC3DPSPYJETU2xZZAoLUZ6Ij3kbtG6NWdds84aF5yVF4caU
vpIwg0NzYQPTbIY0bFySOag9EhIrbwASZo9xjhWRbVOCk5RhEdXLvqxcs05JGfRKDj4t68M8dmm3
7Eqcr4ueR6NMTTp+6hkUWHAnor3uJt65hHVjDHfN2awSUvi5ljyeQEDrC2DJncnwleAi65eRFwx4
QqHCLWv7rpSK9vmOtN0MuoUeA7yaFEZBUvaRd0cx7+YPue2g6ILpycSiUCOnWEZoVB+19u26tIQd
gSDC9cqK0K5BrTV3tinJiY2nOJem6MJOli137Ex3yl83Mc0/NAPqC9lNKYPbnEXFkiLg7QRTrMM2
GWCqHPkpna30TjS97HoVX8GuV6jmRwLhZ2I4/5xOgwcdhJCGHEOc0EYqhGuYoAUt8aEYG2fXSsR9
uB3KvpsXOh/5raOde28YyaAY0yVM6oKApCe151OiMgbaI9QCQbEsOlflsqpwqHYj13w7EgdaqY5z
cZqPum6BT7gGAnauGiNLiP/zorCRQgtq/cwTYzEINizrGrTodV+f5qUZBxBpi/ETS/N0MfOm+wSe
5MixQ6hbq1q13XGNSE+BL/MwXgRhq+5SrPNsNZIuB7KX2qBJIC1BXBntaMr3edhHR3NczUSizjcs
GSBNRjJg8bCOWFEvA9LSSvY1mo4nG3T6oYoMVFK7sVHL2VQmX5JMz+9Ikxb1WgAzclAyxe2iQeDz
y15H6ckwBumQOJ/PywblaJBDUYL8VaDYRxKiathLUY6roBpQdzwN1DZJ0ECWScxUg46mHQIxqeUM
4sCcxeK0nT2wewOZDUowNtlFmucVFOehcWxdCcWAng4KxKKpAoNVMLbpSdtZmq5Mib/0RSAunOAY
lMecMRkFlR8XKMt9AW5saiMDUzu7bCFsKsl8E7xTUGqIa6LnaalYr6GAyX0DyQX3wQrK+kh/iSI7
3RggZHSZa6IvQMWNLDxj2iyygeuLwohpwwU0EFZZMfLrWnf1dp56dZ2XGTBpK+r83DTmYx2E6bLS
nBeHOSSRZdoRL1Xj+3TRjandQUMnuKt0PV3lJu6CRVaNCKgphN1payAVOjkKU55CDTmKTTM8aNlF
H98CmXOfUS7K9zManU6qemiXUKxlRwGGZlPiq4c78mkXypAxAkHVRPc4aIYVqBbhagRBYQuSTpTk
Ie3OWzSRbhGUVYjlzId5E8LEvfDNUF+k8wgekBdYLzKiyKVrWojZfhb+qhAEj9us6erVDPqKWs0D
77OkDFpQonDdsnmVRl2oNwKmbw5u1IegW+psyE9BbCim1Tzjfj6uYd8y27QjDaE9k3kRSV0QfOin
7DJrIpaAkjjtUKqXYRBVixrlVopmNsMtNGQaqAQa8hE42Ught+UZuyygNJF9VYhaasfUlSNYXAEX
VXOC4owHCYJWVAC0rWk+QE+2+hITYM7QeQEdIBEtKu9Jm4siEWFuFpaNIPY3nW6SmYyhjEoI9MAo
HSvX37/v7FlP77aC/oxWwBi+djZ///iPq6qE/76+AO2PPz682e6PTyffXon3L7+1vq8e3oDQ7n/p
oT/7+7Xg15/6tQ890WcflvsN2j9pwT6+Ye9PTv5gf5bhSMCaw3/Zo32+Qfn+q3Vfm7t/DH7q0sKq
UmjEIipEyOFlOAw67Y9dWliSQiisRAVII4wwfTjzrU0bwfZ3gmEvHaxFpZzhP9q0sPSIA/ePBVA3
GMp5+O+0aWH3yn6XVlDo/mDYP0keXgqHYMXS911alOaQffN+XPGoygg0SVqXDG1OwmSKLcTsEMqk
fOkKcCfZqwd9kfMaMlU0EuiMeeZBaoftl8d2wNBm6ypIbl1aNseUc3NZACm9ojjNDtVY9eestNnW
lRyqZ0d5uW7HIl7ysC4k6NPZXR+KGfS+yQhogGVhtoFC1FzPypoySY0VW4Vt1IPTM5CUhnR6x8aq
JNLNl6oDTjUHwGnKTkjSl3TZaee2mYhtMsJiRrKCQN0VwOyU9wk3UzCsLRmaU109KKQg8KHLlGrz
EciiuqxIZRcMkfxzIyZ1MpmmNKD/9fNnVcX0ZswiDlJEB6+FJINLYtD3aU5iLV1oWFLluCBJDvzs
fGxbc1bPRb60ATwdS8atQlDf4DIjiQ4dWUHRqZKoA5lqrhj+LLQYS2mrLiXSC10cNxkrPg8snkdg
6Sa+U1Wg3kOjD/T2nMcpBCYeELxQpLf/j71r25ITR7ZfxFogCUm8JplF1s2usssu2y8s221zFQKE
EPD1Z2f3OTNlxpc1ej6vXW6hlBRSxI4dO45TDMQggYt2CClyhnVdkJsaG5DaBnD/xOv5Fijx+7Xq
8vwoyFI1x810CxKCHRCZbRmABLCtoUcacnFvuas/Vx1T30KSh0k2Il8VHIZuNtshTFYDZD5CUiU2
AT0otRGswzzBHeYdsidFQHV7INwV95N0yc2SdP3H0iAoT5Vt4RzxpQLKS0EMSsdAlx9Uq1hxoCEp
z9TgO9FKgRM2cGeStCmmASBOPHbFQedjgqAnyatzW4b2L7yirryiRC9nWwVJBkd4jVNS8PVEeotc
k6ASLgYubPNuAuP1oalqdpdza57KrtSfC4DVNV5ghNe3U4GjmArEF18HFa8fTVLqCG61qJpDUo/9
p8hOXX/YIh43WY301dsILtADY1EAV6l3yV3daPOgygHIuOzKiKR4IcdHybvlvWEBcs25CoNvtq/j
+CijaPwAmEQB7Oc6k8uKv2uSuCcEw8h2FJOSyH9NiGTOjgDuPAD67m6nuj9w1xKXBRNypUXp3PuE
41WMJ71d06i72G0zwBEogzllPYf3jPqE8DgU8TKkeUiaLwWM6/K/5i2c5LGF7x9WBsEtm7m8nuOK
P7RBHKgDYe0SPhfDGn7gOHLrKRz0liW5wgZKQNI6o6uM4RQNIdLh4eiigxhkcd5MaQ5Fzr/lLdk+
umI5RblOqXL0q54TWaVhU49fYgEV1pRFbPm4AKs8DrZcUsRV7mlxtr8rJc3PTczITada1x3iYsKf
RdWehnUxz5sRrDwWZmInIgEW1sukb0S48elAV37JwvbdVbNSbuCt5Od1LZEWXreTBlaSzm65pLTL
MbNwwA8bEfn7hNQKbA4qkiNvEp4GEVAHhHxjP6SuUHCyto7VB4YwOkqVW5Q+kbxhKiXlUH2rbV++
20RZ3iJN2gCRnACVHAJG3IcAhhJdDYSO8EcHONSK1uUIE5kCAAMVaBqHTcXDQ79War3qbA2fXm39
coyCfoLvGuNisZbbV8j9reCCdFpfT8qYDyYUeVqp7q9GzbU9diPu6blt+W2ZNGV0kjaIyWFLhnfh
ROr7TRKEKkm5zM8sL8Y7mpflx2gWNZJzsdpOlgSxwYHNJeIqgcx8Ogyb+Go62Z4LNX0Nh4r1qexm
8FokiS9Uknb4iwWFcIdgtHClu8m5+8oifkqTGKj90UR1bdLAWAkI2dVaHvA7gd/ZpC0lYvQiokd4
6ObbCk7IlLpFHDRiwrlgszqPahxucl51rxVWCuB/H2/VUbm2mTJiqCnPAHLJFav4FJ4VMrfALAqQ
OpCH4DEyUZa2Fr8+ZOaIozl8X9wqb8JJk2NkjLEHCS/yfkra7m0XwNzMVlXLsXXD8LESJmQgJEj5
OPUjeb8KncPohobchaUm75JxHj4IXcsbWbcFUBIxBaDu9AV93U+yew2OlXg3rALRd1JzHB9h5pZe
rX3UqKOp5vtVTHxL2cKK90lkQ3VctIi+hwOE2G4xw5KCOBO35FDKVX6cFuSF8EARcw+7jdU5hzwv
LgYX8yfcTePdrJL6lcs1ubrUih2XnJRxugTjtiF+qYIyRW4gugoGXd3Vay6e10t41OpFvW7qJExb
MvSHxOnqgSCeSMstih4AEug00uXwHrBL865PaH9EUuBjD8mep6mf2UPTruRom5qeAYeET0Oog2/I
wYL3Ao/cHntkaa7rsIZvWyI8ewJzSTwIXT1pHQYPuV7zY7N2YkAqr24egppEYM70oNe4tYtBWknA
wDpVYdethwnLVqarqBmCy1Yul5PQ0v5zJbv8atG2iK9m0djUbNqdyygR11MB12Fu3fYViEJ1DLah
HsGU0OVrzVtzp/pZnHrHq0/VNH4EsLNlyEEtyBrYLhVcVZ9zuwJgAtXjjRSuy4CpXlhGZXc1BE7y
FJy74NS5QR5XW9IuJQbw5L2IlfrUljO4H2DkLfIUtg0gz24M2XVb9LhcDJXs2l4oIcOFHNIFY3mf
NOF4mswqYHNFjdBXNwgHDKMZwwWUaqLmpxhPyyMLWlqkxrkmP5SN5CcdOvN5i2p3Lw3N6xNuhPIa
uYbyVRHO5G3IbP8Q2QQB/gTeyF1YzPwtjct1SFvWRJkzFFQnuchX6wZa2W1n8rACC61s73kt2s/9
muQf7do0bybQCb+PQwsMEWegAZ8DwCySRMgKOPyXMejTuLBd+1CBIYP4lmKLD5Fy+Xk04DYgLa/X
Z7LFCVgsa//Q9F0wHZgBQnCgJqKfOfBQfpzqonzP/2bruETq4NUSj+UtK+rtaGKX5xktBXK1dWVX
d53kwoBds9b8eQ5gkZ2q5jcCCelsalT02pESFKEpNlN+sAGuB96JIuOqnT4Wa6Mfx79JRaSw4L8A
X7vlZQNb3QpV34mVrneAwNycBjSwj3BgHQiIF3JSGU1AB1o3T8sBXDYKYs8yPFNS9w+JqZvTwsft
lbS8AAcmZmw5xsOIHR3HalOHVYm/NGO9OkwlWV8Fc97dJKAjZuOWLHM6uik4CeAPXzeEsdFRjmz9
PJUTcm1GdcGJrf38BaheLa8SauyVa8rkXNvNPc7NFNl/fuVwoWb1bJg/JrN4ohfalttc/AzjpAxc
ua5/AFgNrHlQ7+KmfdMigXdcLrSvRIGf2VOgDIDs5yDrFOhKaXDhS3SoEgKJI+fJcx+NeEHy3hVN
yv8mlAki6fua58NdEmn9Bok0/mZWvL9H8NLeGaQZPwQyj2ukmo382ly4aluD9Hu6cOS2F8nnGSSV
aUHOeQ3XG73QeT03STQ3NyDyRO2BF8V6nmgcf83bYszyLuR4rgIH57LoRa+RwZfJq24otnOEl+tb
AM7Ht6JAqv00181WH+wWyvHIFfb6EM9IWmdEJ9W7OTEEYFBbf9iCYHsTJiqnV/OqE7xt5fw+apDM
EytpX3UA5R62ik7f6N+P75jXQPAtWBCzK/I3K4CVL4uW5l50Xf80uvk2GgpAxaWa+edSV8NyQian
pCewbUSSEr7aw7wR+lo2wiHpUABlKqt1wD63cWIPYcea5mxtvV0v82BwaQwaKZTWkvgD+Dbg6dlh
AgITVqM7DGHYf2XBMJ2dHqt7DTjwsVJueB6TrfzLDHFybrsmej9Hl9T2si7FdTJbM11FbtFVqrqp
uA4StgXXDXDmMxHVctuABxUd4rWcPpUIktvDMk72riqp6rOGywmQRmTqO4QE1ZmPjpz7JRxABsrr
5BTFJfzQdZ7xm2zX90faq21I6zzeIiSkA2wd1+ZGqTrnhxmIZXskeaQfwInZzhawOLwbaussDk19
lnGHrK0LIvKmwMk8u4h3X6TeQFdClD3hC1S1R8to8DZEuvpBtdH43CzDet1EVMFVxYMPjka+pX1k
YvxlDuFiBETfAlrq73RSgEZa0VLnqW51/VnpdizPZKqK10Qr/ATkLQWDPdT1o03U93ECYx7mojI3
tvVDMFbgxqyt1aAvg+hRlEuE7PAahE91nCdvFgIoksmNMECMljcA3mc4JACczI2pYkmOfGMMFAbD
+7OZhjAF86sKEJqW9eVRBu57HieDrYEbH6pkvZ1jN95MeJE+Vw1feNpVuckPC9J8wPYi0bIjehnk
SI/H0wLcawIo1RgOsuVYg1YA+h4HnY2Vt4ZQZMObeftLyYhfbcuiposbqfqTsOUo05Y31XUCgPXb
UjT6vhgb3CRBkSePYI+E71R8iSkmJHePAKVWsEFlNL4GJk7vFJ/yMwnn7jw3AowUu5bDVdGp5T0j
SM9mQOf1dTDM+SdA5hcAi28tIHg2kGs6jlvxDFLsBAdQOMDs/w9m/Q06/bQW5AUeFaHQ6V+9H/6j
1OCHQo6/8avLv/8HuUoEVMwQwsYxZcjUJBxVoP8gV1xCXAj6cjKE9jYqSChApf9FrqhAFYFAZRwP
OfQdIe/8rwIDjmreEGU+UhAB2Y4E2qj/h9P9AEairuInBQYY50V1AUANJhiUDy7lQi/xKpMvSAxV
gGfL6JjEr82MutF//f7/YtzL915UKySkmrlBPv00AaEvD9u2rs9AmpZ/mkj800Pivxgeq/xyeHjC
zeqWTpzKcRjHN47D63oqlk1///30L0UV/y66+PeyAEt8OX6itkbaJucnYMdme+wjlYSHktbIgwGc
BErG6DDlV7//2K/24IIpvlgrg72vXdHhQoFPSw8SZHpgFyuXn34//o8VJP/+MeGP44tkCPs6WfnJ
Rj27jyLH1FuHtA6/W+XULVkgNj4e1Dr0b37/wV/8IImT/vIH9RKMdqQiOeJncDFudGlzC5YcnPXT
7z9wGegn23Mp4H35AVltLpwsjU+uMcLdcKT7SQqaNgGvvylrch/ZBvDkYIZuFWCrsGi4Alt/Hs+/
/350WbqfTeCy1C+2rBcKKUezAhcFhQRZBSIzQaPvfUMH1xyGws0KqU4R3IFlGjVAA7SWHW59SRRE
JTwMTO7KgdpiVXMbOywB4IOUjvq7iF31h9/3qw3c3QpArrlDIj0+rasRH0K96kM+2/q139R3d0ML
ygI3FIm3hlbVtxANgu66oELQ6Tf87m7QAWiyQxnHp3YScD7dwA5Lvgm/m0fuboaxdXXfkyE+TTrY
tlO4BDM84l5r4Tn93W1AliKSa1vjNtDM1unK+YJwA+5Ocvz9+vzibuM741HJ7OLaFiJTKPvJ3wil
BtDMBoA7N+A0J+IRxWuUX//+Y786Sbu7h9Tg/2lA0FmnQXl5MJAomd6raQq+e40vdlcNqLE2dEgN
ZpsGYWstWIB8atUg6/L78S8n/ieGLnaLlWiQrixZ80wHclNXbox6cD3dCiRkqEqWeH5md59QhoIf
1wfgQk1IH5/h2Hfhaeuidjn1Feor/Oxa7C6NQc9DThcls54021MzruXrDhpVT35rtbs1XLNIUEHi
JCPBUoEQOwp6V7BVD89NLJvlD0v1ixN1ETJ7efWCtgMOtOhlNrZsvQ5QS/M6KaKx/cfD/W89C+QD
fxheg+0KUH/jmRUDmKdAJdhHvun+Dy/Xr2a/uz7sLFCrgULPbG6xA1NbqBOzgeg9Z7+7PGxFu7Vd
a5kxMzfYg1Uiq4gIrdo8P7Cz5yYJ4iFZsPoguw/ddR/FnTshJNrcw+8P0S8W6OIlv9xeQcDjjIKF
Z4kpq/dCGvOA4gEQ+P2G3xmaWFEHFSJHnPXgN1bnCZS5BAigcqGfifGdiS1AH/hERpE1pkCRjlFk
loA42Pint/ly8/zkRuI7K1uLugiVwxYPOcg2R6D0QjyoYJv5TQH2GJCzgqzdB5RK0k+2K1z3h5v8
Vz4P3xleC2640JvDVdjKtr8pA5MLePYAd6qTnFzNpkMHxtCcguLTq6tm2Qpx5MxR/RZgAbeeC7wz
UPDHAiEb1CUqEdgjBc09k6Klfzgf0cVSfra85MfzFwOPrAYyJBkNt1GfNlQEgkafb1t7BnAv1teF
Ufp7HzCnzmyTHYA3Skl3T4SU9QfZgKPwh6n8yhJ2tiy7Ou61q1jWi9zQlG/Jt35Z3OB3j/KdJbcj
5dG61CID5OyyYoqAThVUFn95GVq8s2MLtqNEzpyB5bbIjzFet1co2lB+12h8MY4X/vdAi64OApFk
cYtIJrWRVNsBHIXV/OGU/cLKLlJALz9gqmGNyTLKbFpdTq4lG0eULvYRLK4kJVJIHfhgyOluvC++
ApczxG9b9mX+1HUtDtHIMy5ReHvoBwLC7mpZ4HmDx7v7YwMnYbAoIjvZIY5OHIy248Z1cPTb9t0l
wVEF2dXDsmUGicts60AL42Nf/+EO+oVJxDvb5yi8CRa4qlkNRC8lKJ485qsmnodqZ/qIerSMKuTk
CeLGQ1hGz13B/uRI/mrqO2uOeN8xZAe2rAAV/t6uXYjneSij2vPc7My5rO3U0xF09SBXyTWZl+aY
I0OWeW0r21kz7ee4n5BxyKYcEKyjAEmNiiq/ubOdNcuObHIW2NbgUjHRUAsabQO02G/uO1Ouw2AM
XW42VOtV7ZVJugLgMNuufj/6xWx+8l6w3Xvf5XEJliP4Ty6IvyHsbOYrNiErl00gZnv+gp3JUvDs
u7rJXUZhuG8SUD9PEeqU/MJxtjNZkHAocxt3mWYxv0aLGXus187zumE7k40m1eZyq8F2Ni27rVol
7lGA4Tn1ncXioc4b5CembNB1HqVjDB6sQA1Hefz95v7CaNnOaOO8ME2wAebpu2q5aaaLYEiet55G
tTNZ4KPBHNl6uhpt4cxb6kLZvo5HyUu/c0N3VgtK7zygBG2BS2i3tOnjj2uydn84+L9YG7oz2hh1
StDLyefTAF4Acs+WILGLnJvXytOd0dK+ZiSv5YyVDz6OBP5dBzKN37bSnc02/TYGgeH/O3WGagJk
M1En5zf1vbXGMgdFJ5pPCermD5dahYPxX5jLdrzwfJpw7vPWYPSlTsrUysYeQP+uPee+s9aSxVKH
SDmdFka+gaLUXhVV4YlsUbKbOghq0CbB4MlmIT8jkhGRF1/8fINLEuXlwizgmuXt2syneMod5FFm
Aop6Pvk9UXRnq6rsSadpaE/djKy9K6tvSCpHfqtOdnZqtnHqdensSTUlO3AWfwwgq+I5+M5OwzxG
DhrFoScxhN3RLNVnFP4Yz8F3ZjqYZKnhCdtTzZPywGtU5NgRGilelkR2dipojSLoIMHUExvdG6RH
HnJRtH4pqous1w8HxjLSMYycbSiWM1ArkTw+ghyHSjK/6e9MlQxLomxfzNnKFKqIUS8aZ70j01e/
4Xe2GlU5GcE7w8uam/YmqU10NE29nvxGJz+ujh3znoJ1aLMpoZ+imjyCRfXoN/TeUs1aq3UNpqwq
g1e4Hj+uBLJGfmPv7DSpKiWiTkxZ7Up5tGX8pBuwZb0Gj3Z22jUmGBNpbRZUUwWit7gTZAj9Zn6R
Qn15HJEWdr1ZJLhw7fJXtUbPJFbof+iRK7qUP7wcWkKCJ8B7vWYY1kwg6JoS5ZeGFn5Xb7Sz07mI
bdmwccogEx5+YODGVxDs2iI/TyPaGaodWhK2ubYZKiW3o17ElxLyR57LvjPSHMQJMVejzeJ1XFOl
eky9+VPm9TLIT4KDCxng5cIn0Huq+kBNGeQEEzALi+i+DfL+2W9bdyZKJjKN01jhOJZ5CT0790HI
ynNLdza6MZ3UednYbATP6xDJ5WM7yAe/ee9slDm2uIpi7KA2T8yu95AVu/caOtxZqAa1sZhoMYEg
FkDVoc7vqi30xAf2tT1R1PdiC8BWRZvN12oVH+W4tn5Xy6Va6uVJCUr46SOUBrK27B51oa9yVfrd
5OHOOlnvVroAUz/pbT6DY3bLYr8XNNwZZr/GE9c9YjswAu+kXjJU4fmlWcOdWVagMZbWYtI9CiBn
i/Kc934nZGeS7aX0ZGuwiaxsvoxL8ig37ndPXVp4vtxDO8zNsjo+Zaupo6dtnUAJttQc/Sa+s0ja
5Qt0yZIpMwGoBKRrzkmefPAbe2eRTVuZWKAE/BRX8G6DkH9mCTQ/fQaHkvePy4KDPQwthAqzsuLL
IUbpzjFJxOxlOOim8+Po0sxiYlB1gjjD21EfJVBsv2nvLLIsUJs6lFAmtRJkDmgL9Ido4E9+g+9s
0iH/vq5dbk5R2UP1Brn9AQxjr5MC9fQfl2S0NmyCFoPLNn6gtv9aMagC+E18Z5dokLeGg4SS3qjo
Q4yxFzv7jr0zzchVgtIlAmxMaHhnZVHfDGzhnquys87SsLmFP4uDEm/8sIXQS+Oll4PF/q4KfRGU
L4llDlVOUwa5tAlqUSzn+ojq86jyulpYsjPQ3imWI1czZajr+By4+RnJh3deO7ona82UhiOnWBeU
GsUoG2tQSIAuIl5+BACh3VksZwE8esHEl+XB6vAGPGxPC5U7C61R+Qp1LmogYkDvWxAOT2h8RvxW
fM+vssUIzqWdpyzs20u5SFqjvsRvxff2GQfdWlBlMkgDkBSab2Masfq73+A7A12RUTBSQaVjvshV
muWmEvFbv6F39gnqeg5FgGDMINZ4qXkSw1UH3aKT3+g7+9Sx65IZ9J0MKaTt2G36lYCei9+1ddH2
/uFp7olBEZ8bM0hjofjY2DG4DeZwfeM39515uoDiVmQWOzqvfxl4cIuRX7yG3hOcJjw8ZQ+eP8oF
ijdL31+HSvmdwz23ac5lw+uWjdk2D+UJFRjkGLTdV79574yzghiTGZfGZEnZpw1bXynIdf1+6Iud
/GdUxfYsJhcAD557MWYoC4ntYRS8vh94D43XmkC19vcfudjLzz6yM9K46Zau0fGYtRVFIRp7Dvrm
yW/onYkuYDy2XOQj7H8259mM0SGamV+qju0JTAXqFauREkycRc9qDjropfTv/Wa+s9Fygf7kGJYm
i0nF3GmjKO2DEkpbNke/D+zslJVFIa1scSSXAMU35Kka/GJxJnY22lbxgIAZQ+dr8jiF1euccq80
FNtzlqAUA4mGeR0zmiuSBZJMjxEExb2YvmzP1yQQ2YLeIU5iHm4o6YFYFGWehDF0P/jxYlRLjsJ3
iHpnkBSGDu4srgZX+KHDqHr4cfBpZNYyqGGjsD28nVdy28aLnw3tWVCJK1pbDyhiE3nRQQNvvU0g
9u33WuyZTglOSbiQBhpfUNmg0QC5pslz3rs3dKyQneAuGDLD5XMVjY9tM3gFceyif/LyjcsXphpU
xo4Zx8ocEpDQoemspN99yHeWOdF6CGpo8SBvUw7pSJpHGyTvvKx+T0UKQ8RZXRwOWVFRlOdBY3o+
WSi8+i3MnopUQ3xvm+sVdpOsCiKUnL9pq3Dz29E9FWmuY56DazdkWzKSNDLsFV5Sv+w529OQbNBJ
jW4ZOC46YSE0T+SKVrUHSJw1f3hM2c/fuT3fCPTcMCnQkSFD7aQTaQfwLMtzCOP5uXV7utHaWCtH
lUNpLDDNgDrPXn23iXCeQWN8+V0vQq9IkZC5JOizEcWjR1XwGnV6ZewXBewJR0Is0AuYwz6zEJBL
Qw5eOcSsPO/HeGexUwsGnqFdnxkmIPMSbaSBzvUCYRYvu4p3NrtAHmuElFufQWdYQ/BOvVvayO/N
i/fPKdFOBcJi3aGEdkbvFnPlWl2evWa+5xvNdKZr37o+u1S7Poc6L85MSCgb+Q2/i0op7skYooJ9
lnT5YK6ElSjpjnPNB88P7J5VJOMa3fUzVp4adz2O8l05tH7YPNtTjiByQ8AxHvtMsOltVZhHqCq/
9VuYndcLQSpH27YYMtElnzoNCRoIO/+JW/uLq2ZPNBoAmcvAovKZjrX8JJBUOFuIrXgemd3LOoXB
sm401hksNUGjFvT8CdZA+F1jbGeq4xogR99i9HhGzXkc9TdN9ycW098u6E9ijT3NaKgW0Osk0dnM
myKHBl1X47JB/ThkYVRSNGfVr+6tVaa9poYGPJvKcoifUOImhgfgf2Z8mwjIkTfIS+pzDVFKfhBt
BTC+WAYJfZKN1cP4zg0ksGmI9kfNZ12WEJbkcCyh4BIDaz9BhmyxxzYCSpZyZKmXazQUknVGBAS6
rnNdowAcXRhE/CEAs3e9imhtxJGKBWO6tpq2q2JIoFQUQqXIXilCFmhNzIpC7Vgwlj9MjAf1FxPF
0JVAITdU5kfohTfHftogwRjOsUw7QaB/z1d0izkXkS6SOy471IWFw0beEpm4w0z4eA15/nHLQp3I
9cqpdmbQcGZFfEKhMwOEDdUQlhZtryAqOSfJmsqxguiC0tUY3boOpfXXLY0mlkGMvnAoam/m620L
1Kuxm0N2ZOGM+u46H/PtbRvVWvh5IWx3YaqFoW7dUp3xuNRAfQJou9DE777ZM70oy1c4km2flVx9
y1nzNheV37z3PK8ZmZilJZh3bPPMJO1NHkd+4OCe5BXPF3UEIEjoA4HmNHkATe6kjbTnmuyijzEs
KG+QtMsKUteHpRm+83r0c/ro7p6sUd46d9CWzOxq+1co0KrOmk7K7yqjO5+m5FVoobFrMogFsDsG
/xXMfzt99Lrj6e6iHFUxz3M/66yRhX0Psd0NYH4nJ89l392UQwdhXQ2B2iwBqHyISX1XbhCy85v7
zqOBTkcUM9nrbNV9ro5Q7amzZQgrzyhnT/OKuiraAooTyQsVLycCWewNCu0xmv54/YA91WtSg8vR
kgMKdaz97nqGVi7Gr6KDEfmjK9xbByktyGtlJXRQoRRkxIJOS0lNvvvNfefUzPGw0dmSPmsHyOUf
hB4ocuySED8uBkQsfvwBru/aCCrTcBDCiB2scPWpqipPB2HP9+qFy+utwBOOHA3kFW3E0z5wYea3
ODubdSFKpeOq0yh0RaMPTueL8NYwoomc3/g7qzV1V4DIpHENd1ZAz4eGnxDTrn5QMNkZLbQDhw3N
rxClrflynbPcZiKchOeh31ktgXZcUl1ep7pSF9UtNNKw6Jzgd+GQ3cMajdGCLo5SZ8Ha0W8l2Obf
NmWhwuK18HvSV0xoV0NWrc9iLmYIyCQd1Hdy5+I/5A5/UVfH9sQvlJtCD6qVXQZhOTo+9Q26QKS5
6Eh/dEYHTyg4exUESVsf4cU1SVokCEavyiCOtd/u7/lhqNPloUWLqsyhl5RMA1VDgEKVXd/6hdF7
ghgPKdp4DJebKZ+i/Fah66PIINM0hZ6btHuPN2gWoeKVdBmlEfRFF1c7dqihvuXpYEU78+ZmQ+cC
gg+sFs0zys0+g73/1e+E7UwbjVDRCsFuXQb5VZMuBf2+TdB38xt8Z9nFsEGgsYE6MHzbqxadAAkx
fhDA3yWUL6AXFQRh4aAgkqFVnIGaP/TTUUjyxm/eO6ueynYsIjd3WW5HebKQJofcJUSOvEbf88Qg
8K47iHx3WYX2tV9UDS3VMcBz4zf67iE26CanWRepDL7WK6hF3bZD8clv6N0bXEAejPFRd5lZSHmD
pnnyUFTa+T1ie6qYa9BMcW6oymgjdXGopRxuSmG70nPZd2bKkkVT3oUqE3FXo92fPDcsWv1O+p4y
hsZXkKpLqi5LWOnuzKhYKqZ6fvz9wl+m+JMYPdwZaeKadXYR3vd2YwNc/tAUyakNIdR34ojqOi8f
i+65O1D/yPN+GttsG8UXBOr3SpTPv/8Fl6vqP38BvUhJvURK2Qw56BjlWKgQ1Hl9GIydvzkKuVK/
4XcLVMFX7sq8a7MEbW+A7hh5rXhsvUyKQuzqh8lrUttlGzH5vCgR40ekP0BSwu86oHv+TsI36Fwb
gB2Rm6L12FVI/qZo3FvPfpHunhooV55LTgudhZZCkg37ACnfJggT7edihTsXSwXVpYVzhSsnJm/t
FL4potxr6aG+v1v6eZgkuo1rVHJDaLsakaHZ0LLF89gkP47e4Y4JGpA9T5EY8zczeqK97crYr0jt
0oT9h2PTVugjGhLTXp5W+dijDW02QS7Qa9Hp3y3bXzyAPUAj9Gi+HPkSYJMe5GPAIJnsZ0+7YMiu
U7fatWpB/IAyV4qa0uHj1qIjquf4u22Vs8vRqLNsswgdWY6yCEM0U5L5G6/Z71llK6+AcLkhOBYR
ehXc1GEUviKkj+0fDOpvpOUnt9meWMYZJQvnFrcZR6Oq10MUdfZcNfMwXiEQs+QKWnocTW3idtF3
l4aD6EMi6kF9JBFlV5aT7VqwAG2tkg09VAA6BmjDqbp4IejIibbG6QZF9+2LztfKXnXoiq1TG9fL
V6oYu53RQ+pmrdAbBn3G0OJngwZGeQhVxbanEt3S6sfmolPx1FWyN0cEbAyKkWp0KXpJ2uJV3aPt
/RH/2lT3lOR6/uq36DvnALzGgVwKkk9FHtWvZohO3pGKFH4PLN1T4nTQxBroaJORJfyGtuGPSVQ8
+M185xgg1lxVwF2T0Q0825awa7Sa/JOQxsVifnZUdg+ftYEqNjTHyIYeWh3Xo0FvmSN6LpTj8X84
O7MlV3Ftaz8REYBQdwvYTme/mszV3BCrKzoBQgiE9PRneF+d8r/r1B++rYjycmIkzTk1xvgcOoT6
zCRTzU3TNeT1/X3HScC6YtkGpEGkI3bIeqeOQav67bbnlP790xtfIRjUkP60AZJcRlX4Yrv0357T
5WH/t+d0dYYkcd2uvVn7E1Nr+wmq6uxFAMn2Y++S6F8mm//0T1xtOpfY3jrVc39YdtIzRKzOBsHV
m8Gw/dw6ONr+pan+h5/8WjUHeUK9bkwBVdzavj+udE+gDovUoR2Q3F9A0X3bVAlMmr//InWD2Ull
FB7amEYQurEv2IhurKn41YKOEDiCQcDYnxJcx1nijpYk/7JB/8MvcS2i4wRazgAPLvBuM7dnqRZ6
nITEvT8it1V8k7qA8Mu//r9OSIrPZi2gKojpQJAgvO71Vznz26yt5DoKbPFybgGH7k6cU3uE5lrk
VZPc1qyQayHd1mIUSdakObWZyI5680MpZHtTHwcyy98fTMw0aNxAhpbJ1t7HFcBTE7vxmV8tY3Bo
FfgP+OgQskMl5yN47jf1h+RaQ+cRhNYusgduoE0fgGd8mNltUzxyraGDrPAShNtWpe7cfN8BJXqK
KPl007Z5LaGrKG82TyK87Em9HLQGa9tLlR1v+/SrVRrL3lQ0jtoTbxf9ANXrl7kGb/u2D7/scP9r
BdWM19GWru0JiAh1XKUd7+JZ3SZFJdcyusjvuE8ZTHtqu24udQNcKTfL4bavfnXu7l08g7o5ydIO
wEwe09S9adP3tw0VERf+9yfTTNLOKhtlOW7zc6+mU2em2w7xaymdb4CtGmoUUsoi6R7I47gIiv7L
znv58//LMXutpNugzg9w+GERLdsEpoopNEOi8G3P/OqADQjpWTarW7iWBl+MtQYXqjKjvE2QhkDq
vz90CVgRKEtUwmh1QVAKVZmHae/b23yQ5FpNt7KxAsgEKMzBge7df4AK4F+ezH9Gtf/luV9r6TIW
AG4a6+YEJjnZHmJkwsNgVCPL8zOSkqZTS2UgQC5dcGcM0zVXzLanGxIyNfPHeZXxfAga+NYfA6fp
dqoEaflNE3iSXZ2TSloSiKDLoeW7OdLKIlM4ApvkppfiWnhDXEoCQD/LgbihgcrCfoalcr/tw68F
hHs0J4gMsZdOz4CA0JJYrIdm6Zfxti77WkE4gjnLRNKAxWMahr3VdyDLNJQl5La26VpCaGy/hq3S
6wFQG30YROZKLbObhuTkWkGIapMSTYb1kFwiyxwFm2LI+E3ScHItINR8y5bK4sO3FbHTasnmfALa
6MZf9qqQyJoVRv51XA9pl+iC9EmXY77386Z38lo/CHyniGNS2cOWNkMuogjesz2Lbzs1r/WDNWSy
cRYRe5ggCgIK1NTPihP7ftN3v84ry5zWJGGzPUQSFzZZH+pD6+ltDya7qiZAIkkm3CHbA+I101fQ
HvqfLAYl/bavflVOBNq42a7bchhHBlAv0Pa5y6rbAlvIddjX6mZEZnG/HDxPAnDBvQHM9sZa5VqC
R/uVRWTGVw8D4lqc9X/FprnNS0iuJXhR0MNcKbIearhnSumapsCmdtvlPQjxfz81A2wQVbuhsOI6
/bkM5BOIlbfZq8m19KsZMHucdLYC8GXifNdpdagqyOj+7/flH9rEa/WXSvo57ScijqxSdHtt1qEd
jp6lyhwzo3EK/t//zD/URNdKsGoDkybp8EfQVETlltK6GPf1NiUYuc770k3FrWX49Loe21JABlbI
yf++7atfHd19hzUFPaM56B18qXaYu3IZqttOj2slmNRZbAdKzWHr1+04gCEEKqoMtx0f10owP4Ac
HYwDMq0J6pgs/RsIaPTGnzS9euebIQsTZj0HLRrw2NTeFZCk3ib7x63+3z995KD+cVEBdz5EpugC
OLlE+9uSm+CA/vunV1mmTALY4KG1c1MECrKmQHL9bQXNtQZsTTxGzqYWR1BPw+cQ6/29i8d/i5L/
h6V0rQKriHPJCrHygRogU5PLqa3T5N9mhP/06VenEwg3GFd7KY9ZhNH5Fv2a1Pj5poV0rf7qkzSp
wM/gR+R8VQpcL6gTbbMvX2/7+Kt1mqiJTCE28kj1MEKA2+2seWQJQMi3rdX08sj+V6euF7GiFNby
KJck72R6r+Iby5n0qtVFENdsfYqPHjIcfxc9xHibIJFcK7/AZ2irhs/yGC7RR71LsiJrhLuthEyv
lmkXq8YGP4H/2Fd3o9GvYCH/y8n0T2/i1RqNKURFZBiykkH+0I3RYza2H256Vf4fyRdihBpDxqxM
weZKTplW8F03bljfbvv8q5nxqJO5A+qMH7Mp2RGhni3Z/cWq9295gpfF+F863Ws9Vxv1OhOuYsdB
R8sdKGbb8LwAE14f4FPl1bkegmuebKj+P5rr//R7/+0fvaoswferxq2bFXq/3YGDnahWpfrQ91h1
6thUe69y0PeAq8lHMuNs3ztvRn6elGbNcERj3fVDrkK/+XNT+aj6QYiD7G6MIWntc9L54FyOIkfP
jz1LhH7algoYuzMwbBzMPBNUHbV5TGRLapCeuUYhBESp1jmV81T/0KYZViCae94OZxJ6xD2XHg09
r0s/byCPg2/c7Z8QIec24A17IH4Q8+3bHUTzRK4Ry3LpEQ3f3yW6Z4i+HzCztEMOX4Fa8QUXPo1v
Oh3QDXS8E38NesB/BssXkHUGuS8ByX3c+mLbXNqegl+BuESNTJbxx4ShLV8BB0zixOVUsLr5NrZZ
L38BtQjQD4ycYTLAxJm2818vIr07HQa/g4GO6MLCuXZJ+pLDOFkdAq5s0kOUVvtSVAJvmiw25jwd
ynQLNH5IxMbksaVrGOALmyd/B0rABdWqN/bUxWsryrgljhQNZzOqMDGIUgwIwM33uWbzCP1mNzV1
aSWaZl5gQrLXE77ZPBqei5Rx+Ea29lRlHGUj9hI2rPf4taYG8E6Byi6XSaSGch3G9PtsB1Y6H3b+
a22DJ0dtJto/B5MK9t7MKefPxFaEPIaqEWtdqgCPSnaUbk2QiBAYX9UTHBoCv5duW40vV8dB1usx
RqoxqrEhnkJ/5xnZHdjzQzvVxbRhGHzmcCDJz8nO98UXasxAEqtFdImBVKsaXQQXS4BoCwk6fN3W
g8dvCU50SjFIS8+sHwWAhuBaH1nfjMXEdjcYjCR8tGyXynJbHuJ16Q/OYI96ZlO9dp/3Pa1Hgddh
StdjR+iyF1PdZClSYhuvSvQ1jfgmLBmnB7kHDIEaGq+7yZ22GObnUlCeooKylhACIDQh3YekF4YB
11v1+8OYugRT7dgiWy3gmtluNbxbsV9A8B4ahpC1WK0/UxXBM2M2nulPIOwmomyqhXY/0fsIhUUz
ZNNWLh2dlud+jWv2GfKseTh2nsMmJKd4oveBRmn/mDSuD7/bUU0rHDNgzmfPMxZtcxh149OzHpJu
/tJEg4jBzM76mtGcD5nUz7G1ffIz66pK+Lyq5VCfnNs2eh+bNpu+do4BOI/M+xhu9NqRRCLamTL1
q7LgpNYgfvfiJyVs1l/gLg9NgdslnF3weUz+Caq+ReB/nqLs19SZLZyHVHv/uQ9xkhS6wUr61WV4
ze/qPg3PVsb1MU5n0b0Is3J2iEWrm49z3+zh1cHgkUa4iUZugCgvScTsvDg7jn/1uLlpHjo2E3+a
pk5VpzmViXlYZ8nTostIln4TLM3k7wR04WdYyKN7XCOFX7C2DHnnaF3WCAiKyr0Nwt2DIbEFUFoZ
+apkm8lSKzgdP3DfqPE5qas2OYMmvfpDNDfdfie9idmJs72Pv8Ss6quPzSxrXWhvI2QiduB/w0Qz
MID8trBQ87TEwcZnoplWbwB3VNPLSiVvjnHTT7y0e7dh73RUmOYI/XRinkDnZb8UMgHGosLczb00
e2ywlTTT7g6MTsD2ljFuq7aHvkPA8bGqVw17TcS3+nMjFpmdB601A8M0Muxn08hOF/W49LbLxZhU
MdhDGdnPixoWW1qXxlFpF+Bp81EFp78RK/ENSgo8K+IMd3yLNqoXAyJ9tIyH8RLJkyPQLvTPs4Mx
7UC1cd/T2DsGvFoNxmMBFAR7QrlU/6mwhHnRqSYdwMx1dPriZ/AZEXA0DIg8y0kfQnt2Fi7Zzx58
OgMY9Gz5jv0+aDdNeWdxTLscE+9t+eXWjdB3IDgMDoQeaTXyo8KnXH5IbVdzAMQRN51AWacDzeH9
HOlJyUT2h22riQKbNLEiPLh9qTG12EGWkndx5VEjwsnWNOcFlLUoDwChRp8Y7U1aNhlbI+DWt0SW
3IfQvZs4kO5us8HJ0zpMUVXOLq38IwG86zUGSbb9hCly6vu8VcrKI1Lja3sve3Qwzx5zJXHM+hbn
na0qOkPnnTX741DHXV9MwSS2yLThwEkzs1Stg3suLMlHG/cDzBhjZi2Y1DFP7yZcGXfPE5LuWiDH
fQaADnLF89kZmZwTIhf7Qpc5Gn+k7S7UI1NkwTs2NoNqfhMlAt6EAZFty2GqRbsd8Zft3YEOfba8
sX5rqvulbjtyhomWqafVpGBuHbAdKVYClUSqPwFRycg0X5qO3i1TW9fQNsOBhXdEIEfpvums13dA
hBNohlNoiOPDokE9zDfrx/QT/k0Bhm8DTrJCaDw86TJtpqyYEb8ISjP2p6rYK71/6lJmyZ2QGl4X
Oo4Qqw6bEVHh9WqBlDOT22Eg2XhS4EJBNK/4upS+gJNbt3fRmGa4OWqrPlo/D0OYxntId5uAqmgM
+y+cGgvg3ksbx8mHy00NiQvSzDw8hVhmw4KdOPjqLDr89AiaZQCOPTpsyPML6BeLOce2kfZut0zS
y8m9N8gEqPEYlyW3Eqs8Rl5dHda6mFvn/QcidyVzgMwEO/JswP6W98R15iW2iZh/BLPoDFRku+30
7DMS788Z3v7ma7fsQNDgjyRT9dJjHOY+ih4P8T6kndkBs16pBcodDvMaDxdw9YMLnLsaxZOdAn5M
U2/HzfXR8MYTb4fXDc9su5876Adfuq1t2iLrmmn5umue0m9Dyr0YciSExaPGkyKq/j0iMzV+RWp9
Jn9MSF7pv89q7lP0VwhEJMXQpR2/GziY76jfmliwKZ+j1eMoVDuOD1R7iIxlEd14uSCkYfKQjfLo
J1LlfQYQMDbwc1jn/jNf8X4f+tgpVrR7wP3LwMfsC02hiyiIF1VXoBfNOIiIE19PqeKUbTnZ42F+
1s3cwHKcIL7zqGWnpifgnR34zAwOrB/dNIMgTJM2216SMTbI38U9q/ycidE1R1CME/M6pw35KhZQ
XsolqzAKEG1k2bMfdcWPselc+oL7JzJ+VAABh4ekG+cJG2aGtQFZPIRq4gRI+mKeqkFJvRciy+pX
D+VLBDZ4O2wfl+BmGKLhe01dgRjDqi+4TFr90i+YMYGvXav5QDx8teoIi1pyEBUZx9LEVYpfom1U
8pSt+kJyZcul+BFQ+zZ1IcVG03JY5zhZ8z7s/ksnFFKT8jDAtfhZw9xG3uuFTY9mXFFxFU3dRUXS
IRXOF9jdt5w7RuyXdEXswV3NnMZ5z/cYZTqBgVdbEKyzyJ5bfIX4wzqNlhcpZXPZeyCxT/2Opf6N
xgCFH1PeqwRkEoPIsyRriSiJgo40X0gSjhKHkbO5oeCNP6+QTsmxGNjA1WO/VP5F+AsANZhAHhYh
+vggQLDZcYyi5ChNyLDtO7VF9blnI7WfV1Ul28fRrEmBi4Y5/e5VBcJ95RpwtfWFmtnDRTPh1i03
e9fcNVYjWCODrxqHLSlCsFLnE2BIrLQmTu9q1ANfgJInDzWilIacyW5eiiZJWY3MVp3m05R17F64
2v/O4P7pnlIsneEUuiXIpzlKzWvsEPGKFojYx5qJNKB2SjLzukUaSnK784LBRv6ESxGYtQEvJUgj
hw35yRuRvk0uqg992rE+H4bdPmy9ki+1Q4J+2eM1Lui+uiJtqvYuyzL5uLLa39fJrr77eus+SaJM
0cbsg6JmeKOdHGVex3qB7GRVfT/ne9xKt+Q1ql1/9KDH+Tu2pfU7S3Z9bzsvZInXmRVDWMN+HE1H
7z3ki9mbiwT/VCsH1UKZ2pFHd9XAN6fyCm+ugE3eN/Hv1lbevlHKmM+3dtgFpJzJ5nzZXvIAzsrv
AbEpwiReg6w7z0uKPqYlU1fWbEui+y3J4MaGrdTF96ZJKvm8RDuY7ht8/vF7YCplhfTZZh/WTNP6
OyrXYT5Qm0Zgtbe6zR67fVOAvdbjpnKXaCPeyap0/DKTlegDYhr8iEgCoMPPU7RJ9S1qwBLuCupb
2pZAszc2X2mLUlTalbeFUahRXF6RiBCVe+rX9tcuKJkft33awk9AqRzKoQbEcLzdCmuL6ryDYag7
IEWnSk9GqLb7sCfo/Q/TmJHhaDn2nRIdTc3P80V+d5j5kJIXmGo6+gD9LEnKRO5UnhPYpva/WvgD
hpd1sULHhZf11twv80JiliNQROCOMXSp8h/QGvMUXTAkm+FhWdSCfaEZuUue9IAl+alHs+q+9bSX
52zCPRNZBse/JQvpo+8DbinRJu8TBQQRQ+imwNuBYimv1g27+2LWvdyG2ogvDJ5++y4c9vavyzLL
tCspnyOcV9VIo+0Tc6Hb6zwCuJ3kILaboZAVUenzEsTu/8pg91e/TQs320F0IAl+9KrZJQIH6GRe
wXim/X4YgZFHFkgLnP0rwyrDjhgTMwtsT83OMSxsRtia7zoSN+6O9E0fD2UWDEqAXDHGasTAT+g/
UPF1c+E3falFgHGx7kNnjandSfZ1b97VEk3bceoiK8/LIleKXyxIZ8o5Vfv2vZcUXiTWABX/3bp+
3o66joeokP2aPLRzXbFixm2yffRdl9X4SXgLM+CCKXth9DajKJ0Z4mTe14CUXBik5+pxqtP55Kpd
fJxJ6i2qAxqCfvFKKTDrd5HDFFavBHwx0U1H7wT1RQ3C6XoOZEGD1siV54t1U6Rzu1q3fOCJ481f
G9Am4hD6OG5K5i7nal4vYEzcVSizH1tEc+GtI8lA7qsOyNQHXfvpixR4CCWxNktUHrfQDbwvKnQR
qlQfR6c94L0+oQ5I+L3FEdD9cI60J7QAifw2IeKcNwWVddx+1BttGkRCJwNr1xwvGSWFwK7q0c1F
MM4F3iTts+hcHAqDBf/WJ3Q4qKplI5Zatd5PMSYYT5hXEPoqxp31924z8icmMV9RetiUAanCIAGf
wIhJP45pXX1HnkXXlvWATbHtTP9kbYzKLCBgxJ0VF02hgwdwBPr/+K7lhqin2ZJFPZlqXR5Wrafu
BwDR9k8098tS7muEnzHb+Xu/ZpfLnV7gbN8z985QS9iyDjNqdeia7J4rx4cjzMqS5Z12NWoDXFVu
gN2JHfNa7IQL5ju2e3awI4DAKC6THhi/zXuPYixPKRToZ4zS5fJIZjFHr4RDxAdREB/r7byxurYK
P8rq4wWO7qprD3tMRMcPnWDth3oGG/6QwOYw/7Vvab8VUYPJ1XdkNQBQa6hYssPYpD7Fq9mmn0yL
fuTkx27J0w4bqM631YBiV6dr80vQYUnfiVubrfDDkqDb4Zna9rzbhIq+tW1S/RSX0uRO7HCZv3mm
/9he2QzlrpwTFLND1q93EkwQUUhmhj8TxZLNBZAdBbAgcXZQMhP/Gf71JOAheHFAvmWVoZUBVP24
p9zxr7qOJPzHrawwGYzkgGSkRSOioERRMrh7yqbpl1I7SbDPZU03viOpTXZFahpH7jqb+d9onevw
YFRa/RkaFSQF/9tv6ePQuGx+i6qY0T8JkBn0N1rLBpORrqaPcjI99o648UVaJ7N7NbLiGlYj3C1l
Navj1zZiDNNslB7xA3UIFD3KzbC03G2IyWFj27Llalj3T8hETrIv2sjtQxRlyxdR8eQNAgobTlMF
t8hdNKEx3tWwbweWCQT6hm7TX/DM+4cx6SFrYx0A3Mg4yabz1Eg5F1SPg8t1VPVf4dTd85nC5aN1
5tiD2XX0ypnbn5gMjThOFaIXDor6/TQDK3FKtIrPGTDJ2PNGsrw3sqb+RdcT3MPbhryfnM5rZT+5
FRGv3xEgguZs8S5rvmI0THjONo/nkLquw7YgSUImVBwc/mMR27dmZygSCUYJdY0qo6MR4mF5iEoD
GTw9UFFjbuKAVwenhJvQnlId63fEr3f9x1RMMIHvIDB8bPFFctJuiV4LbNveutxgNkZedN/wrCAa
X+dtmio3Hbu56poizbh2Py9a1/M0qmF42DkPCv9GHy0f+yRz6oXU3KFg8y05CqGj6Q4SSu4+YBQ9
HrBNjOPRUNotZdpsKoFcDmDYw+RibCLIx7jHb4FxRKXppNFuO4iWN+/txyVquq0Y6Zqo+yjahnBC
/Fj4HVFgk3IFNORDHaYdy6cSeBy9iw+9zNZinq27J1OCgrNpxwevG/oR6uUZDgHkO2LOgaAGkvHq
axQgJz8KOGT8G+ZM+4aDaImT31aYOuVg4PQB44FFrXo8j7ihaL83YV6GAr8UDO+ib1CZY8dU21A0
c6WRX47wIvmEiDTBC+mYXs/7lM3ixIHlBhq12pho84gi9vDoJLkswqjb6hp0xRkdEzafvuzCIt3Z
wpQh83TarcIyxn3XnxVnZ3XWxsZ1uSFRO4YSc0iz5H3KUKGVm5OmKXi2MXh9LPP9e8sQU1PGyJtv
vyoMNLJ8GNemeYv3gN2jjiKW3DOeDLQYZKrScsI0bCumccNoK4cJaq/LDi60+CXTsxEfAARpt9wj
BVofVl/RKfdpyFDBSJ3YX5EBVSGnsHrID2DZbPzUeO34L4Y/yn1ZUKCyR7okiheZ4n36qmoXIzRZ
oylo2mUYPnoY+Ptj2i3x4HMKs/2GAWYzhhqNusXIAS/1jqIQ2PRqButaLtVTM8VtOCdZvI9PUmNO
mzNNHPLSdWP+xJS0zXMaqhHinirux7tVbFH6CoMdZ1hThgSH+5/R6yP4jc4cIRfTQ4FbFbr+HN2w
RAAkBivOkcI45WushssvxND4lImRuoNrEQ3Y8LxiftgX8FfYZc2RxZKkDzFLKZpLaqPxroXOYvvp
Ui+XsmKssieH/dqVhmrdHxQhYi5TEGlsn89m8M0R3aCSD1WG+DWIL9UFDwZa2lR2TSv3+8rGXBTw
idSSlkhiiLGg2mrAfTauQqf6nm07CahZrM7uMCSYcFs/o7bLMYdN+hzOwtCVM14Ddcz2NZn/8Jb2
KkLvkGSWgHeLEJO/dD8o+Ll63JBZHKYD6sSsiJSRJ5bq1O/nPhFEvCMzerCPDq39rvGHt1mXoQbZ
yfRCeav2LxH+GhnlTWLJtB4vadZoSDcRtux5vXTQD1U09TuKL+hlETDlq7p+8UOyoFkxK2FY4FmP
mRUvcNdC0a3GyyDHX61Hdw2BnOdD/MfYLZpRDHCKhmmysNtuoNVM5n6R0ypeKDaPGqWi6MLvvsFt
xPeuc1N/zOpsjByeriYjWMzMtB8ylPtYy6nkGT1qlEbzn0Zn1IncJhJpzY5nq/icYD7XAv+C+b/9
KU229u86Wqfodapx4fNhuzSqSCzwQqUF32bkGsM2p406NwPuvfCSZJocDUfjww7gKK7zAxyANXVF
wB3ShE63NbzlZUyZFQ9O4ybpEdW1YI8oi7Ll06i63tzzmrjpHK1gpX8ncVzFBbvUbMd1GqI1Vzx1
0eMUI53qQ7Qua4s9DjH0hURlPB78Ogjz3C4WRpeBxnz7HBR0gYWIF1zytESNiJgxdWR/Cbbo6jNx
Czb/EXyDbgv3UQC+GyUrcg3V2emaeNRTQFwXCd/teuenUZI7gym7O6mehfgdU0VK79seN4GFjgcI
AA4wnsZGlHg3A2Zbl4ladJxNmq4FYUMX5VhzT0wvPsNdI0U8xjFOIK2ej22U4L6Hjbji8bkCYk3k
ft41LU3DaXZn91WGO53tUTwi0i11q8RMrwYrbVpl0j3SxCzLO12Qqv6H19k6PKKwbflR0WaVn5zD
1UypatHVcCdCkPbajqNiD1Wtxv6TE3gwDz4V/XIfr0DqPG34rimI5j7Q127lQ32/d0b2b2j02mor
4hXV8lx2kxgwts6Q0dbGxYrFrKMC2R/M6xL3gFzIYw854CXCmH9DgmG8JIWUCMAcDgOugpb1jALM
4MFa3mnzinN6xOAZYhxcpaF2k/4TwWOHuUrSpg9vuD2p9uOGlXyUIfBHNNEsekijSqKwYzHS69LL
NZ5IT3HHmD71HZ/pY1ATLLpJ6if7zbWrRGhFvyI65GhrvfsmTxyjHHecKURX8byIrWAYbCzfhy0T
6euE2IUlPV6iXhPMNHYKuLswQW5dIQfn+tIP5kKUswt7pqbKxnMGc7m7m0e9krLevB4f0wU5NRiR
xrhvnbzh67HFED/JoyVJoiPuKG1bKlFLtJ16XjQqJDK05MfOQZF/qELd7R8RyZBZzN6byoTfZKSk
/qn7KVbnmMDqeI4x9Z2fYC839rNCJDVqm5Fm+2OSRYv/y8+004/e19GCAd+eiiJIlCM55ssr7lba
ZYHYb7bZ0xoPiyusBzj0bPAVunINadoX0MYz3Jln2UWjuomjhDz4WW0gA7/Frq+XJ2NDMt5zYO/C
5dfmFbwO0nqQ4ReedT8x5otI2VER6QVhrehnimXE2z4cUFn3OCCxkV7afGe0e5GR2UjhoygxWCxi
NrBLaHp5glJjXIVKwlD5svBNRfClt7z9vV7Ox998hc8e8Qa0Ps+T9EkeY79Tn4gxqcXaq+kw21yL
BUZ/jJgAiuJN3MYlSWkEeQ2p5+o5bbh1R2yjyELc1Nhuf2y36/1xCnygX8y+sgzNy9yt997zsH8R
fNDbyyXDkdwtw1rlA8Ju5hzVaH0Zlut9w5mLC8xX4b3k90sDp8EzLkoGZDCgNg4Ybc09plYU4MqM
2h8wrs4ih7EodYed6R5TOzM3HyGTSFARbYAyf+ygbMS5CMYGshvlJir5znUsIdceY9xnbaexMvNk
8xZ+vyyfBHQEpMDdt1n/YJBUY3iLgU1sf2BaEdooZxbla5dT7LIWM0Q1we2RI6Qefedxhz0UcKBx
z1jzDQ5rv5p8dYDYzKdhs7TtCjcjPxx1aMx2mpSGNP/D3nnt2G1t6fpVDF831eRkmORB7w00w4q1
KiveECVVmTlnPv35lmRvq8qytG30xTlAw4YNqWoFpjnH+NNAyuH/R9f2xPMqpr2FqdJ7T0UR1LmK
3TehR1Cy/lrn1cpxnOKo3jvxGfuNaL/n+rxmGuFVJbo2AC1YB5TKSqjs/yMcZnVeOiPfEdQ9z75q
pdXgrktsXkFYlYNvhZi//56C6eXwOWsxyqIquzxQnXepcW+Nf0+h/jJQyMz1EbqG99WTWxvQIjH/
poXm5dC5irRGJ0yk3LBNqoBIzqieOlbr7gce3j8JrIIyeC50AwoTPYo0mAmF56+Jq6Q/FpNSkYHY
tTWAkxhTxgJIpxHXcwd0S4OVKqpXKTPX6fsSqrOq6FtqoxfCsgiKZk6UVm4qppnmfoIz5IR4sPGo
16Af4eLsHyQN/JmY6oXOrG06bjU0xRsCARp51y9VOPh1RJ3rT+xMpJOSSJJTlc5L+YMz/CfStpfp
RCn6MHYTYW4sm5kcPbEzQQPW/IMD+rN3f6E+q5no18nYMVGOFB+zVnsz2XX490R56gt5KGV6U9RR
aG4Wxn64cbvskyHX/+abv1CY9ZrWl9VgmRsw6AAiNXFDDeTx+zfUn52VF/LQcB6T3nQSaxOpSsee
PoauFrP7/713P3/qV9pQkdU66iDOi1gLsnl7hymTa3X3/Tf/kzv0ZTSR1WrFVM8pt0ssHfHYgSlN
nmotgrlCtihqtx7WuNjhFDLrvzWeT3+ZZxPb0SSJETI3jEM13xpN212mGvDq9w/o8+L6jaf7ZZqN
TBcdWCgyNoXtxCDQTrlMkCv887RovfXGoPLmb0pDK61tUqf36Zrca9xp5i7skiGmV4nigOmMj/Oo
M7rZ7SUl2Zdv95+f5v8TPVXXX75H98//4s+fqppmP4r7F3/8531V8O9/nV/zr995/op/bp+qy4fi
qXv5S89ew/v++rn+Q//w7A8BdXm/3AxP7XL71A15//n9+Ybn3/x3f/jT0+d3uV/qp3/8/PBYJKVP
09Mmn/qff/3R/vEfPwvDdPSvLtH5E3798fkQ/vHz1SMq94dvvOTpoev/8bMtXxmWqhqGbak2YTtn
o+H09Pkn2itD5R9TUyEfVIj6n38qGXoa86HilSlN03EsqRroG8+C0q4azj/S5Csb1bfFa2g6dR23
6W8H/+zy/H65fiqH4rpKyr77x8/ys7P299tJMjrFtGnVaTnIc1etlxsXE8IaeiuSquu8ahSvKsy8
hKJV1FMsW+4X2TmbgciFwCnMuAhEXoQX3NX5JsznBrlTqgUhjH/oj3oChRvW0eAK0aPctMOJeUSi
RHA1w1VL16n6OYj63ta8MpnaA/dr825lk/fBdXJcknm8K7K03Q0UT8HYDfGuaaLyKjEIdXebqB8d
39SNofWKTIyxWy0GQTPCaNtyL+zcOCZzEjruUCMIJ79GOSHngGzFcZWgCHBm5Smk/gM3mDTnY+K0
tqeqk32qzDQ50CGq8HbZWl1ALFpvO9UWc6Ax14deqCbV2G2TdgRo0ZFcjmmZvkEH9X5a1eSUtMk9
PcfqmVEx7s3Uah/O7N3REBSmYdtbd9Zq5Cc1ScV2HpUuIMU8dpOljPdEO4G7jOq+V1rGylflGjic
ugDdb+wpDdortYynW1IWey9z7BPzRPOjoBmC48oeBeFT7mBVyW1om+m+BHUOTDkuH+a1si5ic1VX
ZvopJZ42NEQ5UiBdP2RVQrPeIcJkuUW+MOOONO2j0kdJ7XLSjMTNcw2gv56ntEAnKe3XWrSq1/Bo
8y34Te7sbaodQs1TtDeZPi+taxeie6gkPrr9NFbDEQZFtK6KZvyK/hdZRgFxOCIOTmUNpoGMBWFx
TR6vAqSSI/6InOtujAREdS8NWB4qzEM3d6kX1jk+cDW0G0BijFbJxjI6HWg8Sy9pj8VlMirpB4UI
3k3YTeW2TBWAyyof81vgMft13XdA4r09o2ooxqtekzmX0hm7xTWgkHtXEBB8Z2tMg3Bp58TbwZys
N1WtEUxUQ9PdOEjYrpAujoVP81rtBlPmu8LB7+ghflve9qqIPjaU+jddEuuBztTaJkgTWsmLiUMa
NwPp3YG55G3olZaV3JIdaNPNZ+qOpmjeFCa6Oy/MxmrX1LI6oa7sN9F4Jxhi7JmIOKQSv6mmBmks
aXuXEI7NXutk+n6WzXANYTt6phE37M7lVT9rl/qyaH5GMNwN2ef6iQk1nDJUvB47YnNycpMkw9w0
EcINyxxvp7ZF1baUCgK0GunMGgxMg109pZ5N31DU6Umm4fseQcNF2ujlaWqceR/VMBMQ7LLZAZQY
F9VCnFW5djZFAoaVK5IqlNYtx7A8DhSk4UZMWiK9lqT8mzLJuzda1sbQEHEuTx060XezoKMAUq1B
QKVdWUezpqHZo4sHACmRWCeBOur28sEgT0q/6+xm8juzrB5zZ6qs6KzeseoLm3vfaZlIOiTaWyUi
sGAfp9LEeBKNNkSDbmTqJ90KQ+eirOjpfHPREy4FqkN3GqRdHBKFt/dUbVxex7aq+SaRvG81wRSh
AxV9s4VeyFIPYcGQbpKBZdpliVazQJpD/jZJ5mk7OK1iMuzSeoP2dbrQ9L67JFC5fJ3DfNhehBYc
6UU+q49SkvfazSF8qACPHGMl3Ix9Glro61f9ChfE8rHsQu09/VzuybY3dwwuGFlh62hjp319PyUA
Ll6urvBOXm401WM09tXNaljhUwqqscvksD4y7WQMSqHyxhrK2Qi8eTXmLTkuZncPomYgSJedHaHl
quz5doFDHwPZdTO6uIZf3UcpWoieMcZTkKQgYrtQzMSdFANzBk5lgX1zXwz6UOBTTKbB1SAC74Fl
ROHq8RlQNgyLXKbONlpri1o8Gj0UsdlpNiuF7SVC4K7FY3nOz6OvrkNyzJ1q9YgB5FLm0VXeFflF
CxfjKcY8zy508gp7ww1YTF19wI9N6zw41rRd5rk4wadPrwlFjS76yrHORhJRfxhQQFkeORvM2eyA
qk1fDg3SIkWx1w3CD93BjEcU2i6LQP29MCmWT6rRpOhnssX5GDcKMuU6TabSrWVMIsICJw4ULldd
BHAVy+IZiWksbhZX+W0nZScC8HMZH0NLjxPfYo6oww5WlcmVrNT2SOYA+C0WPQMMVRjTKTcqZBSm
xVPQKcWxWvJkN4WO7bhKOs8ezTz6gCnubyWh95sub9WHpl9vjVHauovkebhT5wzcDgBLUf0+bRkm
XJSjhHReM+uhjRY1R7o0W2/bwRwcz7DqNNpBBYxxMDTWarldDDDImp0CRyzT8hSRDPHa1PrprnfO
lBQWt/7O0lXnSLOLWFcRxq3WNcZbpXOKIwu2cehMpXLNFDH0NC2nlTSZ2RuseHJtM7tYnfXArDln
cmGA1sciR8DFhmMsAMgrMtHLJIZv8QouJQ10U7TLpmsnpdwauaH/QuG0oCRU0IXe6JEavzZjwALe
XbWPGaKHaIuASX+dzinrnVStvj4AcfVt0IJpXSmYIkKXzBjnbZ07xU4rU7DlzFAbfWcq2hh6Iazg
7MNMA+4URZuZPmkNXGgYjbS46uYx7gN77PL3TZipVy16lQWVz2CNXjsuJTWEAzijynx4D7OCUEjA
x1ZRCLIURWZ3162G8mDbpBV45tDJJBiiiIVGLWLDi3Nx7tFzg8S+om0OYayo3c6qVbS0kIvdU5fH
qs4Ypykiy8l2DLmrCEI8+yZ09B+20iQo49SYBZs4D6Xz0r6YTigG6xUir7cmN2I2yyNtj4nCsRwr
ULZGrz1jaj6RN5Dv6mbFa2KMKzrxOUTNi5LL7Dx2pjUgKyWlckjV6D029vbCVNPxrZLkoF6Qxelp
1KrXNhZ3gewqibRAEjt1LNouDdJiTAc/LspH1RAhW1nYvltLHCNtk3HNx8EaLuespuuL1aJ3Q3gg
1pS0QnRr2dmyYchJc50mKHhdJewVDaFmGqNnbprh/edMNiR1jqZtAOymd0tciNzNMHZGgWIb0VEx
7Og1bqL4ie5B55FGJFfBA1Sr5gHZceuRZtP4K1q0hlV56AThr4blSU23HD8EePXGYQjfjE2Lhkhn
GGBr9cKtwe/RiC9rALS2pSDdYei3UBliW90YqDNgUVbsJdncVwfdnip3KkojUMF4Yz8psu7tlKB+
N6J+9tj3WU8y7spDZOvhrmc+y0U1RtM9zpMJWwvDHHTNmN87jZXnXteqzceoLWwkNnGsf5oLDJvh
GISYyd7HofU0JuFZwqhGdLVihJMmmgridLGxFw2VVTHCjKQaN0vidbuAJmOfQGr5TjPYjd5ielIK
d51181qHn96vSZe2gd7mebOLmPJDVJwziIaFtsw+1pFJzOzKAgHcU6FmsOxYgRSonHrXsl0QzAni
Pid5fVs5yfQm7OfGNadcTNsOznRQ4vI4ChkDXvdpjDajK+wZpUSpF7i3nOnezvKyRSPBl9YZ7fRR
ahQJIskM0y/GTHlqDaWg6hQW7z3b7Q0rkCq8QdXrhpug6q7VenIuDFWLFB8NnHOdpWV7p2p4CLah
leWg4EvZfMCbQDB6V6el5lOgLe9te64/DZHk6ZB92ThHHjwKw6SMqwfHGrp7Uxv1i8HQxXUxa91r
KNCsDvQa2s3VI2thn43w6oyJ4mwNuOoddw+C5gIE99HoFwc0cE2co6VDF7HUShzaaTuhAVYXvRz9
tOuZgEMk8S7PCwMBXyejd0Iit1y4VWCTh5wL2DNVpfco2bQHB330AT46Ok2iqJBG2ucSbOyZLZIX
+O8pDnRy1KgJO0KVlu6CBM52dRs4F2wVIlSdbVwaxROLRPqQTpM8oZNPdX+ZmzLgnKkVZG0ye2Ov
Mc50TkpYC8zOyH/S8cjDangYAxVvrHXtoOnJ7Np6hnLaHKaAVbX0Y6kIzU+kA9CuWamOpHFdotdp
lDuPESYCLnpsZR/nwUwv2tp0hCuRcBXuef7rR31Iah+DACIXJRObeqFvnIyyDioxH9sQQ0ezZmng
6DHCk3QtryuG3goPTTLy1A7jkIvCbD+1zKeDVmkenFyVwP2D+SHJ4vXjnDdMPa7tJTotTpl+rEVV
+uucR3f4W7N3IizUu4S5n0zSZA+5HOs6nLZCK7ves6ToM48HS4UiU7Eb9Jj4j4LHIpiLqT/zE7sJ
QsMryztsOblwY477xmG8l1cZtT76g3TkcYmQ0XgD6o43XazHu3mluPBbK0f62ZZd/GjpTHezq9Bm
Pjtp9SVyhWhjFmV8jAjHv7a0MN7nXIB7xxzzO9aL5iLSOQwqI4j+Ebrb7Sc23GVdxnso4YPFBQ1p
v97LlNV2dozorsGU8BX88SvG8AxTeAY/gyg4lkNIt7QcVXWk9TK1ztY5sToTrLbgqOlNPa39JUyn
5q8lKsaEfEWSG+cf5QacAdpnMIYjVVx+8KU2Z197GdsgEg2fp8zmLZRJfkGV0V9HSJd8XU3j+3pt
IRSX5WxXm5qn7x/uc7T9fLiUE5T6KlmL0mHi5HMYszbNSeLbWreNjfDEtVHfuHMF64oYBk1D7oTl
4+dP/J8G2U7Jp7bqql/6lyjbM2Du/yMoDiBMlZ8zJ//zN8jrD2ic//DYPvz0UD7+dPkQPbQ/7R7G
pzz5Gp37/V2+AHRSfyV0i25OA0ayVOcc5/IFoJPilaMZhsNnMkDJFucJ6b8BdOqrM/SGw1Q3NRMp
z7/wOaG+UnVxRvxUYetCJYXjty/7b+BzL28u08H8z5PkUMrwRdQXN1ea9mIm+CEMJvyEaTpvaaUI
JRF+Nv9oNvZnB/yzRwhJCQUTzw9FDkHQLz4rKpS6qs0uDGis4UHG26VodozJ2JRg2qvTvC9U0+un
t46+UeR6hWFe9bDo5JFwIXqOc17Drokf0D0v4O7zFeFb6QKNKoYFx/pDTGWd0MbhxQ0w0QZ91uxz
a+q9SciNFrXBSsUlFZyMmH7trHQR5vtLaBTYaBlOg3lP1D/IPxCfz/mL82QL3daAAbkmpvqCKwIR
qxVssmHQrUO8FSkdMkqCW/Da8GqOY9XF4pNf1TkyX3e21gNjNQqPgX4Dw1dGY7/G5QelLc0bxr7k
R32ww6NhJPtalhsGmqGsKacPcv6UL6U/9vgOq/KEqyrJJnem+2cmsCuGyHUsJdA7FQ+K43aUhCzj
fhObXinMk0rEOOK0TW2UPlrfE2L5zRAnB0u5nUR1u1JXigiLcgN0ZFMFqoN/lsqUKoWoFW6Hprro
LLFLCirf9h0h1HslptwbPyrl8Wwvd41JP9QocISBSffNOIxvxyGr3Zb4aK+e5d7o34TTsLdRN+TM
VNPb3mdO4+z2EeDEIZHpZW6bHvCkh7g+KGR4MBF4Z0boOmF+sZjTXTGWB1b7c+zJGSZjlyz6TZNi
1FamAnxZ+sJy0F1PLlrx0xhbm07/ZZYTmlI+M5/oW8ghhwjrzLdIlQ8pAkdZZnstBzHNASnwWCLy
9rB1I1aaGI3YcXr4GMfw62a6rVqTJG+8w4q+G3oCXddp9KU5I+Fufa35GMsrUTYX5YqMAOX1hKCU
zfBQGzyZox2otA9KcpdN1U5pL5ca3tmJH8Y0DAzjYzNXH7ruU9mObmRTr0ZINRBwOct10pY7W6Nx
t+UG344XgVdfqo5Z32Hp+RDJQjktDVdODtmVQibsrVjnqvcibi3Rh851iFf9U6Q3IaVPzUkryGSP
3bnMn5DXxDdijShjCWi0XN08PzRAQgjMcf5Pxp3UBoE7UaB+naLhPVNmKrpz52xFlw62vVyN3hR1
hjJk0aEBw3JtXIHqF8LRHIo7OrZho2Huw761KrpbTmdcGM/z/GDCOe1KsxgwiDZjdIrHOrnACHRl
tp11066jvO1F0Wz+d5P8d/gqoiTPKZ5/vkPeJVmWFF/viL++5Fe+yn7lMDYU2ouVF3boHE/9K19l
v2IDtgQ7JYXq+e9/2wztV5rgL9g6Dc00aah+3w3lKxV+FeZLsh/qBpvrX9gNP4fM/L704tw1IKpM
oVHkGaoNc/a81gr1WC0nRk7tDODSAzFdDIOtkpOBI/Mg50liVV/PurquYsOM5tcJ0qtDSVC422AP
xtCFwr8Qo/0pjTvND/Eg3pa4B3Ch1T1TZcid+erMfqMUfl6V/vH7cmK+prhNZcEPbi/azknyabcY
ZxSRksEl0dUnzaF2ReOoJ5rXcPv9D9Y/pzl+71S9YNdryyjqttaXHcOQMTvMuGGAP+3NyvITpINS
+eBzijtoEGKZwKM9tjPD+ZzCd6QTeWlttrtlZbepzisuQ+4lfVB8JRwx7EXN2SNA5CrXw+gUYpTx
Ekk0QIauc9etZzdSGrQ5JqNUNUloaZSatSC3x3dZoiwr0TJTc13FBbPP+mK4G3UVjWsnbTfL5yRA
D14c8ANWJ4DK5NSW6/Q+Hqbe1yhQLhItF2SPrM0GtiBQy0/LGKv7vIy2UBiKWzrx6GP0VF9j1573
cizRoWKwd8M5SjapHD4h0ux6uEgxvKsTU6UBVtINZnQJTdAkQRszDZHROq8ZYX81LNNNg+6SNdGf
cuWd0ZXOsc/T4rCkzttuFcrWdGoqfUP1l9gSFwxTPBVFwfoLiODbSwqKQU61PtWEd9nyoS/GFZU+
LkXhpAd9DOn3x+WKLtfcIIPrg4Hcc/Y1vT+g/J034RAKP8yTywoocTO3KvhKdQ+ueggxw/tRW/sj
qSBCIcQlbQ50hCYCbmwyzHmbUeQU3SZZSSSsUtsIxAQ8Us5L5oMDVQEHFmO3r/u92VrqhylqI3Lu
pz52QX2XXVwkN5QF+oGnxk2U4RgSLY/GWyCfiud7mMzxZsYb68+FQc1jDZsIUmynxso9/R1cQQvk
3Tpckxjf/JUzRBh28G9eMIczMDN448628POXlsr8mTjcG0Zt4xqq4qCpKOvSxDKZSFkn/lnOfq/M
zaHJQPeqcfTGuMCN1+p+HifML+i5m2dTVzaIKNm1zkOR9WxYjlMUq96c9MlWHYuPhizv+6z3WkeY
2wYVoRPb9+zafmdRUImcc2lOBv6BbNxhwJ68rNHxKEtYyVzYcBEDwwed0B1Gx8ThbzM+2Qi3lvmm
JMnDazHEg3zUGMew+mEywYAVMp9wLpvWbSRzlJp8usV0qh6VCI0k5qHJn3MIk6ruwQKqOruDaFH8
RcrtzIaMZXz2M3sGEsfUiyA3vbTsWbhLLNE/IRbw+lSd/UURW2Vqt6ZQlMCwottB4GE0C+cYmdm+
KezbxCZ1oVnme9RhEGuJ1/fx5dho9Q6nqT/B9szdmzVvrmQDnSTV4TaOa/u1aLJko0knKNXhgWz7
0LOi9tRmAj1veQ/BF4jZ2TRx8UlFi9WvSebnkuKFoJrY63Tj0lkscqVXate0uUkm56C02tUso0Ma
luJUWGctcohKdIOLk2KDKLruI322yXkv1bu5A//HkXKrdPiAid5QebbH+RM26RlWvKUmozVyHuIc
2EnlsPbz2mF6xO62wMxi4Awb3FbW0kdeHg+5N0Nf7to6QSuQkWJTDx0+9iIzb+yQYa35mK0kPTXD
Loc5PIfTtBSk6msYZ+Gx+k3HRZ2G+9axWSx6A+dUpKiADVoHVieTxZ0YfXyBBl7dO83Q3jZhMVxP
g17vkgoTUTil/CIOS29cQcHQaKoXVhNeEcVzaIW+BKaV3eMRxHERQplZmfFmWFbkF7XMqLjILWoF
HhZF1O2laGwEdnYY+72RZ65oJ1pDUltcp+uSfYTPkbK1Vbd4ApNAqoi2HObGvCtK5SDDlfUO2I6J
H+munOwUeNRad+0kV1fRql9kRJQ+2putaenCUzBh7jonea8rrREYSXgjE730tDhUqMznySWZhHwL
JdXIt0lLMqrM2+/vYxQVX8E6nzdQm3AW/K26BpP1crgC3tFYU7JO21VOdVMlzHMv0hWjYvwXJ43+
8ZNelBaM2ypjqHx9N0aDuTNC50lbz+ZCVVRemVkfLQHjMpsGlO955WVy7o/GlOniGwdradQ4pibg
0V6OTbGrckrLbtV2rFayhkRmeIo+dHD7uZQ+wk7FTxotu+vXut9lpdJchueVJB4d9aimYXME9Wpd
IKF3VpK2N9kUM9whblnlI60sL025hruMcfV+OubRLgkZmyDmuQvadWERLDH7N6q9k3X0S2lJxVX6
rvKKtrjheyjodvKHv35tvz5c5E9fF0epkecQ36a2g2wKb7t2RtK+2J1f2Mrqff+jnsMoXy7uFymV
/KzEOv/8K6mhNilh0WeztksG+Usv84YQAeMD/AxxHmb97vsfBsLzx5v26097IfgkPLIglyAVOzMZ
r9fB1N/qRTzs0yl61JK28Ror668HgkMOdi/WXa/MCFowFLhk3PUnJx12KVfS73gMc6yvm7Qb+sMQ
srhF81D4ScIlzMxJZVRQSgwElptrUE6o6awF95813q1KUffoysV8Lkqac3liUKd8/zifSys/n1Qq
fjgTKbDLcTc+P6lZMVmqwj6yszAUeJlFD4tVK6N0s5RrZDkQcgNTOX5wKV8orP/4sS9qatFXLG4V
vmPFwGBnt+ajzDR25jYk4alVlUO5zJeh0rXXkCVVIHHV+d8/8G9+BRYlh6gv8GbEe8+PnAmXc1cX
ibbTE4I+OrbExOxOtmPBI6Pbd0lvvDJtlXpTtwhUwrn0/S/wjdvZ+frzXzw5w+R0lVZGOJ7y4YPe
JfNlT/DPoWgsbmwl+ktJyF9OOPioyTXWhMn/nx9tPCHh6Stb3Zl6l14Q4EbiJLrZ4PvH9I2VnvP5
+6e8OCaiNPQxNytjV6BichnyrLkdzClhiPUPLt+3Pul8KOCzJt2q9XIxqJ2hXFdL3a1MrHYnW3ub
W86efeYHR/TN2+TrD3qxDtB/DH2Ytwa7SS2fkqm/SoU0tg6QH/K/Qb8jiMxKSIGhPG7OhbKo+/oH
wzO+0TIbTAkSPKKqAEbWXuxrYTxPhGKEwFgYyHYrard7BCfaHrWSvqv1+TXpvBkurEi6yQhg16Do
97CpqS5w04MCQQqWprBiUl2UR6C4txZJDtdaIt6kLclS378LPod3P29bYWXR1NmAEnxj1K3PVmpY
wyws1pavFg3HcsFgrOFB2lZrjsVRWU+zY81BPagIz5AuRhOiRZpQLGJICXzSX/JgLFhO27HcU6aG
QVppPplJNDoKQ3VpIn6pMe7s1aaghNONo4ZF001IPXLHxbaI9Ur6oF4raqsam9KYP4lE1dxlagrU
46NxgT3lS4nzv2zOD4TV8DDgtOehAn+OVfkPxUP5mc3xk+FryOr3F/9K4pypGjg4DWvuZ9yK++ZX
Ekd9Zcuv+R2AkN9wK/UVP2H3glUQIFjnEbe/qqxhcRiepDvA+wxNYZ698Vdwq8+TeH+/q/lOSHuw
eGr8a2jQwi8ewrpVGphrzQi0NPllkNalbM1tbTn3aQjDq9IL54uc3VEJ75NI3NSr9V62EWLCD/EE
3q4p0TGMV4JRrC2YxUajHksv1rQ99JPpzTJnuOV4iif1TSP0bdZHm3o1t+na7tTaq2JQ57w+aq1n
DcwsmHhtU17k6KyNJie+S7+xWvOSgn87NcaNEWqXaKPI2fo4R/FmqR0CX5s7fIl360x6sKWTX1t5
WaESjvdxze+Ws96VUAbzLBhEySZrez9ExYVWG5elMb+pdcOr+/LaMjH+Lss2x+yRwgiQjXy/LjlB
uqFx31kRTUh6VWAPJWDIKQDu2/MCPYLK5Dd9JHc65n4vMccPfevcq3aL84xTFqnGVg+tfaNkgV0Q
QdDrflMXF0aa/2g5P1+kP1xECZypQxZy17xA1HCx0tmqCokqTeNHpeUWsriIpubKXJYr2eKQiWNC
AFYZKAMaEK7MV7f+N8BE43nBxV0EGahKS7VMCzQVMeDztZFQV7tycPoHCmrJGhDdHlosiGhzxsU0
A8KbrwyyTrZDuF6nzfpmLBMd07Op7AtLT1zpPuE1bDcrZJnHRHN0clpYkAe9XhCNsyPxL/MwVylE
y5B6tkIuGSahxNtyWvBRt3h77SkPJt1Z3Dm3CGALcZY4+rGZ29SNZagGqKg+LVNIM4z8eGDZXrtE
A9LR3uqNOIZyPtkpq3oTN4eqqaMv9ehfWkj/Pc77T3/r/Fn/8qz8v+E/YU1Dl3SmPf98mfzvdigf
PsUP+U/X7cPjUxe/WCp/fYMvS6WDIYUVzQGTp68mFZn7/MtS6WivTMMxWPT+gPA7r7j7LH5bCMI2
peDW/G2ltF7x5OLG5O2kdV5O/8pK+cUo+dVTZpNF7kjTMtBQUZ/Jl/VKExX1kpAPsyf0NUp3w9pl
VxJrbe8zVhjR5TwPeborcszjriS+HALOLofGx30g9kj/0oBluD2zrKZ10tRsHtxxTvhvR6H8fk1q
QMyIFLSWKRltdMApQSSs2QqSmyZVjy4r0yzIKjWW+j2cV1z6lZagRUO8EllwdUVnB9RZ8g0smbHR
epzCrl2PAZJZHA+JbXwk9CrLgrAxkAUq6C9zH1GYvRLv4ExwikOa7GZU+6snZjIKdg2pAVuiTUcd
fWo52te6aIBsjBont7eYWnQqVd246VEthy4BaBIlVTrVBEIrDcC+bhfqL3FCpnfQRLbT+4ahGLcM
nTeYwB0W0bvGyMWwZYj1gvRd6a9r0pn9bib+w7PTGvhRb43xISaEYW+e06jcoraS94ZidTu8+jbj
uSpVvZkni8HAhbD2Z8Ohq+NCtlw7LQVUojaF5NWJ5Z2GQJW0LXRl2CpUrK+QRkPq6WubWegQ4WCD
upP6SRTadGKJUI56gRqoWY1kvdQTguhxPVQElLYGNOeGjlV33o7o8PZLA19DBA74nLeWEQFuDGlU
ELzlZG4kewI3TPXKPp+XLGhWHctSmkvQ3S5G9kwOOwtUaNX1O0HQXtAt4/lkxXv8Vki3ynoKeBvj
iCai2dkZCuMrbZ7LiLTTeNSuImlHI0YVAOF0YiAk1Ccw+KDOt32i/pIuTIctceh7UydCiKSBOLA6
ZCRNo2FJGYhSH5dwvXTkORxfT0zEWEa/STJtQaxtzgQvE/Fp+Dqpcncj3gogbJzqGAnBS3NE9YQr
3nWpHV3q+fhW1HpKp11etNwfnu2Yj1pR7Mux3U9zVG6VXC22ZucIby4JLdPXvjxhqilJhJHGLaIs
ZU90VOalusGpAwLfFkYBoFWdZfTNRRwpBjuAkblraJ/wpdHTMo0BIwfCsjyGXhOqET8ayKD/L3Vn
tts4lmbrJ2KC5ObmcHlEzbZl2fIYN4Sn4DxszuTT90dXoisjujoL3cABzrmpLFRlhGVJ3MP61/rW
ziWw8Uw6tDj1IpX7rgfMAZ6BI7YXdSvStOFt6lbOBjG8vHdqqzzVxbj0gkmssxhd8N9GevAYZuMl
bRlLAGYND1M3YE50nPpI/QHea49CSGcURKTK5L00EoFbzUi34ZIhoDM5WAqY0CULet5warANBp4f
G213ozKb8XQQ0U6YTLJ7yKLq3Ff1rh/1GcuApAqqBjJ5G0RZ48t5arEIxmK9AL5Kae4w/frh1N9z
VcF172iXoqi+ui4+p4PRriSA5A3Q+daH6ebcti1PGaB8vM78Pys1psWLBQ+JxUg8WEAwBA4KBPng
M6M31+gK76zNM9yaJOabXlZXFZ6KBbGBhcBjfFGn40+ngK2Ja9RXcEhPosLArJFN0wj3hqs5A0lB
nrjewXTkFhO3zpY+keY6iTRnVRCX8HO8p/7gOGS5Jjm/aLxuinWCeRMRE9nByR9u3Cg1dczjMCll
ebHbIDlmMgdYpWeAY4fa2bjWaG3IdxV3dRNDtXKg4dPKOZ8o1IRwP+Wj3EMHFajA5K/WeC8FRwar
AIORKa0ntGVOT3HSwogSwXDyPKyyNrCTjRdJ+UHL9c9KCbHWO1cdRzsQ28gYvE2LpcBnBJOfJQOE
FfQh8zhmIn0vKyhdusR5z7VPFmdrYWCBZXL3fBNYCVtc8+SslPs8eGb4WaX9EP+b26n93Uz4y+4E
5sFGoNUd3cTt9319/YuQWJbAJpJIjw6u2fTtOjCGBVgbl9NtU+TicShbizWuZBYyCDXjZuYi+lAo
bWKumBmfXcg9/3oqB8PYpHAn95qJbLaql0/fL12DbWrQB7RfjlMklswu5phdUPR4wGPhDrejldUo
vOk8YMEV6f3k6AVEVEj5vbyqYOffzHOXniOXQJilqmAJ6Qn4Eq3ZNu+aMDV7JSP7GWgNxt6Cbo+V
44DcWnEdduGrQrS78YK0OeD5mHbwL4urOdTGbUZEYTWTt9hDofOO3tTjczQ7YjiAY3jsg/YJ+aJa
c7dISCV4oD7LHmWs5RzC5UUmW2dk32pdyqhLa658e0BE37s2JQmYfY2hz3YOlycwtK7e78HQyfza
sWJ349WEQfSu175cx5mOTWNahywsFRBLS9fu05Q+Kiww8jaHXHduRIShdZg2zAbTLeUXUEOKuUtW
fWKUtzkJVt/tNJhQrS2fC60ShFZdxTRGVduoLYDX6BPXf2gcWxG6l0i6NHvIH7A4r3qvfStbY9dF
GPGoYrBOVfLe9/W9pxnudWlEhi+1uV67SdLcR3oK1rnkjeO84RedrlhXAHXsGaXFbwZpCdJBKPed
0x/hg92bQxefoiCPVp4u7DMQ8L1jBfLAtpL6emtnT7VTlQF3IqEOs9PZOL2rpt9AFdAgMtfFSzKN
zVo3q/dxwARW1/Dn5ewVe4Pv5q1isHeJQ/nhQIm7p9+k/imYkJ2aVjbhFkw7sRt3ltTNu2SwMEz0
oVd8ZpNVvWSWDZ4CPLiHbgXX7VTNVW+yKEs5PnvzaEBYyfXqbTLt9BUDsjVfZKCZBa/PodUTwrJ6
NUQYndyqFSR8Cvt9gM9CpLbvBL2CQnvvo7SJIU/3g18Yrdx5GvK2E5FfMvPEvggBiAp2LVcQ08sv
JhV40cYJUy6cGAr8THWSrEtU33REeAFOx0X4Q+ZueK9b4HrIYHEiUAP7fDeEa9vCX2DbmvugaPFY
gcS23zjVpg7byRga+0FX2TEemEzyaSI8rZpMS++x3g+DD9BQEEOsUzhOaZbTg0g730CtI98etU1H
8j8hK1a1Gmvo6T4M7fCUt6HH22kmbPvOPG8Mhjb3U5nkz2wt1hepjG7P0YtgySTA7YtKQd5ME6Jz
o9sV+2qiWuU4AucfN0NnFE+2TNKbdErFqbTy/j5MPO+FOmnjIc6tBaEVhPezlnLkEXpdXL4h7sY8
8+mqmK2JFLJ+tN2hv4qUJcHfuY1zHaVZXzATVxT8BmWzMWvzFSJTfIwcg8GiPqXJawYl62UKhp99
1cEsMYy+3xt6sTWnmK1rkPTjpcDKfzADryOcFp1Cbyvc/K3Ro/5CLNl6CUaHmT44/KACiwvsDvwO
HR8UP4sfc6qADIlEe8Utk9xjSfPegGWPD4RfiusEnSbFxGaCY+IUzmwu0ftsY+kZVQbffPlYzPZH
Z1vJHhBbC7N9nMluyy7t2FfpQhh8a2ynH2gG2mnQqxx3WpAIwIpFkBIUShQcd6yDOkaJTz2HmMkz
17jPzOrrdikt08RVmZK6XsWmTh6jGybmxQCNc+TCuqbVg83i1a3r/CIHNz0AB0MjCVVIzvGf9How
vVCcht5rjix6TbfWp37M1mWgFtThOJg/Wqea0v1oDdH7lJTM2/Mg628qONYrRRqhXv0DdO9yxtZp
Wwqv4HjH1RbYofMJpsG4hljX0fRg1unOEeb81NYRZVNGy4xahqP2WDQyOrfg097L0WgvPeTP1bh8
Jbk8pWRMa9yzg58zO+KR55Ju+TUyx/XcV8jFwgC2mxJvCFdtG5KcgHQQnsGDzA8t4OLbKRlZ7B09
whE4zpn2s+2sIlk1uYl7sGl0eZohiXBdAPJzo+aie50jId7JK07Nlq+8+mJSj0Hzm8NP1jZ8KSBT
Q0eLnPDQcd/4aUIsJU+2UPnzNiayo2Jn3AQMqXvyV6l6MpgND75WjICNNd0FnUiOauOlLgizVmvG
lGno3FJGn3i3CVioe96f4jS0BqdOu6lfc/Ub5H+MVfWa0zWkVrnbwh0ItFhujHAYDySQhp2g0mcA
2iWNxE+cku9jUo3lLUaW+LaLzXCvNJDRIJoYK9cADAnrOgvcVyRpa/pRTB3Uuqhb7wluC9YwWTqP
BjL1O/cYQdHKGFvWShWTTWlTENenehon0mutN56nengxdf3Sa616yHuFcakbC3pswOuV5z4do30/
m/LNnlHwIXVm7QlhcTwoOaDnj2bzQv61+TmGupuvtaF0L6U+5pfZSsKnacjYidKeSiimv1Hvz7Cc
r0JsdOmWg7B2E6JCSaAQWnH4R3dBLKLHGuboEQRZWx9pPtcTxhwMB1dh7Q4nTFn17Xe1QYZB797G
27qSjtUcHLt3Xx1DHy81x61xbYxacOCqZIdbIJLZoeC8WW9bNeXruePb6ZtMO51bZWQTDxDKiU9T
0LTT1SDeiGHWB7iQ5Uk30pG4mjPlK6u2IKhyW+IEFjV1g3FaaeNZq/G0xZkcPhwRtp9hlWnTijKG
vEaHJkON4M+mxnUWpvQ/Cxb6QjMRIMh7cCxKpqdwSNDeeIuJGnkYrrlLV9HAAJuIGvVkPNiQw/F7
rDXHVYR9u/YBRS0x1lYw0qqlZwLXWqgN04psgrpxyTfvMmXTieZ240tViiC9zWlE4DsMegdkTUxM
bM16jubWjlSHMPDlFNBzE453o7ImzhdOuUROOBWBVzBLQFoVmFE9o+u+Um348d/0OeTkq6+aJFP6
SqDfTUcIp1Q7uA442Q1E5OlH5XFsA0CeP47KU18yHdyDDvD6Wco0evKKviPSaerDbtA141BCEt3B
K+sO+I5h6WlF9zM1hokbsSBQSyNskY3+QhJcT0bQbFsIkDu2JLX20ol7HGVra5pPuOaHiCm0eTjy
w3JC4Kq2V8mH2TOyJdKerELPPjpxb23Bt4tN0XjzpR8n/ZShzqxNjbI6L2hG7IljUt43thd8fJdH
xLJWlwxgGnt20+COL1uN+2ILd2xGlNo2oAmeLU/rTxk+uocSc/6Bq2OTcJot9dvYGdy1RxHJTZPp
8tjzwD9MLUf/WsumPQ6c2Kcir/hZuk5xK81aPvC15yScWEcjbsRhNIL2BZyJdZXbxnzlzMa4j6To
0M0Z4+etKHZmCiTPkRfO5PXd4IBaScLQuo46Ue5TO7ZfdZo43gOR4G7qdbhVsVWvg9lIr6uuiM8N
XSLIVGTxmpyo4WCiM5AKDX+6VvQYjFq2tyS17nXGuMDxBoo56LuYhKyv26p99fq52AFlB9IfefUm
ApZAQ7DH8XR2nz0WrJsiqoaDbOIPw3GCRa1IyYoS7WyF5DxgdsfvbgzsDNlV4Cb41Qp6bb4LMhIx
FDczkwe41lwR2B0aypOsdt+Cil5rLf4qfp9m68SWWJfeziv/bQvsb4NZhykzcRISOrbFOMYw7N8s
BBrLL6J26RzMHo6gXyynNFeU4akaCmvwae/hyXXAIuMSE9UWa7tzGHIRjP9G0Sc7/OtMgVcCkceS
i7bKPxgs/Crp112gxhzX2GECjpD0TfseeWKY76re8ppbl3Iw+0zC2BGbbM6H+34quf/Z0B+MDXT1
chNZ/dMwMkZ97kFbhducDiAD7gIkxzdbzg4pj0aTz6o1s7NHEu1mtkX24iocNuJbkMuH3nh3irEo
fJNb4zPyB96uthUXsx+0jzoCqJN2ZKmJ39F7EKkwfmljYS25ZZIleowo4Pb6M3wGvihxNN5h3kzc
NUqst5lmPb2yopZQy1RSWNiL8HYoYZGA1oZk4OTTlTaO4gaMLdthIbOtGLMXU5T6XWuGR2cgL2ku
oiWtxtNH9a1k9mPLCqmRCI02SK7yvvqWPcNvCdSRpv6z+hZGTUs5n45ru+eR4rD7OZyNZxtnrFqp
lFP+KlsO7GMrO3MdUn+FMygbHz1imHRLfZ/uje+Tvvd96sfEyQ0g7tPpQxY1XTh6794m3/cEgzju
PsAIu2qXJo6d+L5OoCbZb/EMJ4GqD/DRgfkYyqk7VCNwBMxITGtmmJZa4pXOSlvuLGBzuL7Q7FDf
5Mudxl5uN7RDzDtG+G20cWf256RkFJMYAzei5W5EiXTvRxg01nWVy52pgNYkiyJK7yI3q+z7kjUu
9y3sQfa7t9zBzOU2NmnI2wre+ERUu+O6VnmROV9s2aSv1DtVb3jFSAUVUytG3BGKN0mCCTq1M/fL
3YDN1OaPqOqlDiq7+NQiu4s3xH7Dn63oSnX+yzDjXwy+zG/R/xfZZRm74YqTJvMJQAW/WVC6gryx
iNhOYs5aNxWIxetygK7b1CI9FLnuHpRbA3gLujLYUEFy62ZlcB2NZVySiB/Go92GCjVt1sI1CkBR
QU1Ph3tuPWR+LXTSl5qsDHmcWKgLXIQemz4uyXCKh43tjLd5FtwO2bCkBwajvzaYNLYMFMbgA3CO
2NpxZR/sSKV3Jn0lSPo23m7buFQiui3M4OxhyroOKQVEAQ62hh5eeMbFSc/nGy5mHsYGCyilE+t4
h9DrOrZs5dr7KFayX7U2B1T2Dn3fV052tu1EP4O1761NacnwwXDsYkfpkLfBHKaFi42WoSnXNkqd
AqXOLuiTbcNJpsXdXEG8Zl31+o0cs/Q4Q9FWPlZXG8nQrhZAbKOWA3PHQVK2ZxNO0tMcDsG6FCD4
LQlV0lNjn2OGdoLXiKnC6yjxWfhDXtbboE2jHWXvGm2LVJ0ys0haLPdTuC9cySNn2YPN71fb42rK
k/4zDzySBhmW9x03YVrox8abknVk1iTPHGzWe1uvg7ug96L33MBr3TphvAmCQrsfUUZQCmIsmYyE
j1kCMMHUY+OEtDjzreTQmSXeeJV6kfbDKzJo9Sg4vqHRKZLGCX27VASpR30KeAJCQekLvnfcZFUf
bW24D74zS1r4HNW+9qYRP2gRNR0qyYt9oM96RGOqYmmCkHU3N+3iI7bElWSVAqXjgJtm1rDBfO6c
aV1JHsHOpqyiEbPblcs7c4yFbmVcYuzgeqKIE45MpPNce4m4rvLy4nlDRQkaAgUkd3aiOWqsOxhO
pPzJp+fIOzog3UQUrXsuQL8IWF0MkYzveZIBBXv2g+85k76MnGpUXWjw1TKJChpal1ZePCXphqzm
u/E9tfKYX0FsY5LVCCm2nTk4T4DFmXQVOD9JgMRUueIOEmGxZnWrXkPUvXgvLNsITwyiDSa/7GOf
VjeMMCNGk1QbRS/xa1L2QwdWauQ/uRkI+wZAUH2oabjZDIM0DspUrVr3Ch7GCnY3UlPrJWmyp2cF
QNeEgAHbm2g3MUlB15b61nTHRd7FN/pC4FrCZg8fUi9+wfrHA2ImTIac+KiCGQBF7znbyii75VU3
W8mg9WqMGBHROST3VTo1b3+/UP3qLONc4RhLTtW0AOlRymH95ojUUeZTJFHnQN0HdLJbldbXVX/3
/UP+L4y5/zWI8f/BGTdZzQXQ+d8PuM9dkby9/3Wq/ecf+dP9Y/8BcQDS1hLkNoiGccz60/0j/sA/
DnaRwJhjke7+p/tHwFhkzg1owcUD8UuE22MOjpmIP8jxzLb1/9FIG5Tjr4c8S2eejYWIaJTFd4Oz
56+HvDAMObEXZrHrup6pqpF2b0WMULhQX86McJqrQenTOtOs8ooJMPmbvAgP9egmV55eGH4HOezJ
xQz36dWQ7ZXlaFg3dC44QzJeaWkRbcAL2atayuBo5cAOw3F+szvrjJSzFh2XVnvMrzQtA8/rkVuh
06gjmhMDiwOOAffnySytz4DSFNHL/Jg2AIvNPDMQ+Bmgb1XVOT7o+xj+l2M8ZjLWXE5RUXYED1bc
8CDNt7Ad8o8O3rpvY7d6X0b4e37ecFt5k7Y1LS2EKGhb4ZOp9wjUWg9/iBq3dc28Ab22y+h34qcG
uQjJo0GO+ex10R+AmoXPFsj1g1aUgueYrilV5HdVnJZvFB62x8SYciAf7niLsu/S3i1Hgd4EPm2V
YsA8Rxz09hoz06syHDoy7Y0cqRCgpA33tPk4obuE9TheaFcNT01EL5IZkFnWcucMlK5/XBqRv1QW
1y8xc9q7HGQkPYWud45degs5a3CNsoP40ie5efCYeCU4Cs+RjI2LSJU8cCLprlr0m+s+cosn8Pw6
GDkygHTegjQMmUQqRa+XqhgBMLgZVio2DI95gdNfLC/JT04VfQUW5TZEbDq/YVKLv38KwKFN1Yc9
Bz8nCgOpdvLGZ/S+fRrJY9eZ6SauDOOuX6obYzdJzxTxeC8WDPFrev+Ydue1OHRwoj+h4i2NGTWj
GJr3JA2bQjsVMxz4lU7+/aOSndpVbpgfuBZP7GP1cMxpaz4NWaH2DtwqBj0uLbfIIzdqcr6C+sow
XxC59A1eT+/SaHnJcJGOL4pYHPLrCe0xczhRXwRzoJhXfAj5ObTL9ORFc8O+Pk+P5pwZt0WG6BZS
/fBsNPN0yiaPzJve69cTJol1CC7LF04/rKHYM3MybNO7ydlhSiJnVUMULRDrrujbVabZP7vBck9t
x/bMrkM9dgtSMQIlc2hxgZ2gfDyGFkdKL6WWJ44dd0t9qvPgcc8BjZpnb3aERGA3sYh9aWsB0DVw
V1hgGzA007SdC41i0akrfW3SFcS3Ut9YM0pqSMkRaady2puqc3ZZoueHfHZui7He5YKjqOPO1U2A
C24tE9eXLSzkaax2M64DWs2QNgP68ybOWGb5LqNpB7ApJtxFygsfbHoH0y0GjEZPXNqYK8tIra3N
iQ6yPK1HLtHc1xQMN2dbvejvjFgN93ZRvVp2/k6vzkbOzXVTOB9JX9jnOUhdNPTa2gKLDFh8lr8R
bUj4gzFk1LndD4117xrEnfIMC59SwXQJvZg2pQH4Atg8Rdwu/xSScX88jxuQWcSFOsADHIm654j+
T7Rr7jQ4QnRIeLDmyqkwSK+E7bEkNLahocD5at2U2X5pixsQZzxM7Lsb6O3eRTj4dBhLmywe3ug3
fa/8Upbzlu8xXYYcZwAqzdX4HFIGdRBOEm0yuuW2JrrYcXS02F9aq3d9mUyHJV/HAKFpoMJwO9wR
tZzPbjjLbeiIhrJJHNEcD0dClnzaExVhOAVIEhta1O5ST2UbLXDKVTV11s7ssPtzvhXvVWJwjpzS
crpua93wc70dj3paBs8Am2a/L9PquvWG/qirsTgW2eAStPSKdyba7dUQLSN5L9XveciJ7cSMgem6
U3bsj+YgHu24dEzKJzjOpszBYEFakXtqQhY+7t6u2CY9sLYxsMPP0csfxaAUlssYXwjeZ96IPZRB
NJa0kC9omXddM5ymmN+cIt+oj5kC4SPEX+DayUsN3oMhpYuwjbK1pROYxncal6ZVYuI1FHXUgKDu
eP5bgFfY/OJdW0gd4SnbpDqe1YhWPq0I8G96znWXyM7vmM76KZ7rZEb9JFVxKeZ+vJIlezdl0lZ7
iTQ7XriSnykcqf1QhmS0F2NrEd+RpLDWacIwGsWXclUmsNu2HOad6IJqJyQrOCr8TEu1UJsOO9UX
0MI76useE7tqPSbAwvaNtJpeqoRlA/9ETlN2bweWD5svYOKjU/EV1DsaWBZqbjD9iDNP3ut21l/x
t/tcx/dBH762Kat+Fj8I4ZzMnDJaDXxEznF5A7xLX8ks0PxobKLrWtOT44i0dXASW0F4FdYzsUzx
2mC/IMjFpIhdYl+0QUWjq1bvJirhpM9sjREL1ZzVy0jv2JUiwXiLUlJdlXiQviDPatxdxmUbnLB3
pHmxbQCnrJ258VA48ZRQe7Gh6uWlM/tTkORX3ZDMJyMPb0rmHWyzGSX2iNoDUnhc6mvKQIP1aOhH
DdjyahDNNUhfPx/NfmUyVVpZidiVWbKrDQP2mEoEDYFpnq7pxaIBBSrJ6FbXJrg9qLvJl9FMUPTt
AnjiKmvM+iLCQV1X7hc+nuFn7EzBCYcMM5FAmleyrd1ih0+jtddlObRvmP3qr2TW3XWFr/VspBGX
8skeFdsb5UMPeeG2DykMHwAnU5pjuspidTf1OnZiAus3GgSStWzzWjKrm+gegg6KHTgYd41ivD+Y
07DTTUZHs4vxuBvqxJ+MyL5oaTQeciqP850dTiQrRdQ8VPDpxka5t64mu4oJkPbEvHP2q5IjSqhX
X8wAx4eK7IAPqM3edhYeqZUQuXeHbeppdPozPWr5piiiE4Aw7pXuIpB2L0ZbP9YzVjtRpOLOkF65
LaC5b9n2UFaxAcQbbGvOSyKbbFVyrCDJC7EAo3MZ7rHUXjGO3Q/tALYFV3m4nq0c2EcqynwTYh3M
gC+WgE0QGhQR3+48afo9JYsfbGhP5D8+G2nt1DgwzA9DtQ2xTvl2QopcTrPBvsspLIiAANnOOrFn
KlwbS/cDOL+oeBaZQxnRmBSE0XoYnWZNmrs74cKecWMyP4NZl1SMxHTxwPLrXk8z9VOrtsc2zRG+
wD7IqdOKTnqZxoh/DZHGniyXwm58xyluupRJNm8t3NNnVBZOwsmnFXKAzUeru+r4oH2VdTd20pRH
LaIts5ESja0xcT/gFjwGZgwnQKCnC62nXaPW3hJm8vtJZdk1SDa26EDZG5i/hLIbe1yXcySvmyEw
zhy/1dF1ejqMyyHkBplc5eRFXruEStI+YP1DLcaVlk6IKA4U83tEmurWCwxjR3PXm5sVvF6vXm7+
ebBi3o0pPZ78RrUvCia46ku5piXEQvxQO7tNk2OgG9qzjHP3haZJbROriCEtOj5aDFqRnCBAU0Cv
fTEVg64bG/YdzfWhPwLmg+kIZfNoq5TGFwWHuevtPaNgmzc1D6+DUKtQTdmkwnKpMi265ypqFX1Q
bv2KKgYiWqoFIUoKm4WHSDJE7WZLNU/NdycO/Ig6RapoPG0LsNjzZ2kRWOi74LGYInWnh6YLbkgF
9wLGxMmOqanhDAY3x8yKZ6Tgxhf5AN5byune1DAx0SSRfZZI3TtF5exPD5oeKffKwprACbpyEuva
NKwZFrhW5G8xZd7Xsp/xTRhAoK9KfYovYcgpDzlPxU+NnrFlZBU89i4ITwZTz10ocv1kOBPPdR8S
oY6a5hDMOWlaWl1/UDVmrAJYiusBnsWnpTrvpKEfPE0UTK26FmXKJmv76jUqvE9hnl5KdPXj4LqK
LQ9cEG89HMaKm8CGJybx6V1mc4Wq0yTWluBzxIGNdrEO5y08y3E4OdAdMDqp4mQ1bXMFPMvZzEHw
NRRDjRejgllUZBNHNwBf23S23VdjrGES4yO7H2a72Yytoa7CJrE5f9pyP7VS/uDKqjZzHnpfVQsZ
wuMCeIgmt7y1CXufeiOK99JqOZBbBR57QTC41Cxvi34NPNGMz6k2FLBnlzr32DPgXRvQC0FR0JFY
3+Z6RCvEKJtV77T50Z3TFpCF6R0oyyZIMNTpT35RtQm8yrlKncjCktBiSxqy6SfuoY82T6eVq0Nq
rgY3XBs1QT5+Sryy+pD1MysCUizhiVA5J0fDuzHxO6xtV/ZEKGX8HGvJtB7m7LV0cUdj/nZuKrxb
uZyTbQFk2S/NZrhaLvmM84svNUD4cuEclK03bYKasHM1qeQpijBsrJyRPqiIZw6LIM5KW+Hk7rra
uLY4gsEoMItHiuwhPJV6/xQSAlppSr8kUxhsrWBLi9rOSFV6JMl7lwz22gkHFpeJI7mub7XQmE6Y
etW2Zaa+EtN4m1jNO19Pqq/GPDl1lJKvqcps1shbDndu29rVsyGgvepF5UvBF5UOMozJiY3SGmGF
0E8h6+eGuLm+nA3iLWUM2qavNHPDPS/Yu0kOv9mK67u+yuhIjxq17xl3bnDX5Xt2iuRo9OBEVZ+7
t908WbsGPLtfyPCmd+Cr8LP08IgPHi05M1naIzwX5toogyYADWo+myaHp4UFrjL8clmZQRSpNCiX
uHuj8jp1MQh2YT9c5yyFUCm1sb80Mile88Dk4RE4QT9qqFB4VKMFQcBwYdR9vU/u8tpAsLVk3ubY
JnrK4dpIbzlmyv5U5mlxStrE+MEOWJ8qLeOaG5GRLjB0uHSXGSN0dw2Xk5iDJ9PorI3qlz7QNiYq
TpcpffZFnRo7O/faHdF1m7KEMT1Ord0d5FTKezFa1g57cv1h4/vQQTx38WsJGvpjzPN51SBfruae
xZO3hspNZZSHlhe590zm8r1tpX5cLs2qZm29cJcewJ3F+aUlz3VKqTjfRUbByB2h+lbwmd6ZucmL
md32KTSHrypLzA03IdxUOlbyyeC/dSOKvyVEj26wqOININdbdltjk1s91XBBlK+mSbvWEj0FiGOF
pKoyRq+GIlicGR72w1ii8czoxSe98pyLk40a9RxMMhFJ8hs913FxzbRbhJIVqw/jvT316dGrRe17
bflAUeQbNXI380S9WTLEn2lqJQdHMXnqa6jU0F+rFYOfhsuPyzMMm2G66bzpR6lgSMRJFP0vJM1/
LVb+NY/z/1NrjOMxV7b+VtP8P8Xnf6YbT/FH+Q6t8tBkoCubvwqd//k3/ZneEX+QSdSZFxOIRuRb
BM0/0zvmHyayM9Ewj+eXYQO5nj+Djob4g/+Feb9tWRZmtAWy+Gd8x/4DtiUMU9fBi6vzb/yPcJW/
MyTpuDEYBOuCu4BHlpu/7Zf4LptiQx8JykbEvHyVSESGysUbABF/RTFjtSXI+5PQc+XPHpZuo1nS
B5rhq15fTXG5WF8KOnI5nPrBED/1JYnkvwjH/2KY+F+G/7xEenig5hFVIuq0hD7/yoJgVyafmYb1
zs0D0OKzZW6IPIP0j7xrjFRvlhhPNv68JjRpYrSx7v6vXgBTNpO3irHmb7FwoHmVO2Dk3gUhL0DM
Y+8vjSgY+YNNpCo41kEAZciD+RApoJEGr+PvX8Lvc4rlLbBxQGA5IFGIc+PXt6CxYrNG0qJCuQsn
VhbnoUP3i0mF/v3P+Q1CxnT9+wfZ/BgLNK4pfvtVESebdppKtStK+k1aqMVbp61eSpV7Ww8ctj/h
OYWHwWC1HwbPJ0RYXGujeSdxm7HTuEAuNRG8Ues8bOrR1O9FCmJoeS52TFrxexXlRHrKSjdahaGa
hcwBpUPXaY2Na8N+MJPBMc9Ki1AkAt7ISdmvTdAc9Lpx1+h9wTEsULM1ziK7Rs7RzRQ8zoPFtzWf
H0qyvFtrHMbT2KQ/DTEzOuqz9+K7KLYOTrPrfYGiuhez8/z379wyEvjrwJs6JsfRoe8v0wy6o5ZP
8C85A2cu9CzEfbiTAvoz+t1rAnrbterWD0wzJoILXMtRvbf9+59rLt/+X38wNhSb3lkcot/LyK8/
OGc/qRogRzu3ibKNC+vsgD7Z7k2zQjsQaLhcgSkIr00w/xMPdMF9z3fcgg80G81NFoXbzm08Xzo8
U8T/0rUXQHYr1UD0Nwla9C2ThNGkFebm37z2Zbz222u3ARMC5dUhxTq/VwTqwDv7yYkIvhlmsVZc
Pq7CKK0Yanj3gLbKTeq09NUHbX6qRvfQC+Ow8AE7esRXQW4f/rEAWeO2lNe2w5Qa/y6Vqhq/tMMd
CQYm2i8sso+/f93/9bO2KGE3GRGxIBHAZNf462fdmjGltD0ve9DqpS2FRcHVYTJ8v9G1XXm+6lrE
NOwv/+75/BdvmGmZ3hIpNnTp/fZ4dmYOptWrs11Ananfdx5MtLht1n//+y256N8/FmHCbHQZFwgW
nF9/P4bvudC4f1MG7xQ7p+ZYXQcR077/oO5Mettm0jz+VQZzZ4Ms7oe5UBQlWfIW24mTCxEnEfet
uPPTz496gUZiB/b0cQ7dyAvbIkVWPfUs/+Xf88C7fz7ud9Fxx3g1ZSPWgOdyUboQNh0LR7wKalUh
odihbIR4X34ObZqVdOtdSHal3nq2wSZ3FcCZ4dB121Jb0Kkx87MWGYCtGEebZR9z7szuRjMG3GCQ
cdnGS6Tuc+w7wSePYoO2TLLRS+dRsZQ5QLf5RkAjPTDSdnxopmTNWu4GCkX4FgCs2DqVuVMn4pup
TWIDe1vZVgm/1samdgLvQqsauC7bg783Ggcv60VBYHbhX800KXsAf7SXRQI/FciKF7u1EQjRfp46
Ml+BBROAxfSlWJIXM9Xvi3oJr8I6dT1DT89S9NUeAzXXU2GBKJOL9zSFU5BXyVlGoQOslZiLvh0l
CaxDz9FY3yXAfLT88xdrYA0aWfTULPUCEsF9jFkcG6XLuG8dCydX2Y/xILa66J5RxHc34xq9Z0An
X+q1fjQU7L3hUIoNor4OgNTU+K6pM2FZ2MjEjclLG02OrzeN2ERW3mwSAc1GrhzCvhCfBuR9PKw/
OIgXdI7tPD3jO0lZGnWOX+DkBi2s+yRF9svKOD1HRAWjcUQW0CFwj33dbjMOED+dlg4BK+XZVukU
GKF0NwC8HN9k7rrpjTYO2GLljtrzBX3N0jPXRrvScgLnAJ9Q9ytO9BgeUs19bIBRsg2ZeWShE+9I
fnQOlsHY5DqvpmwloOZFhTvb35Jg7EK7fJFqKw84rK0mZ3m7dSfeZjETLGWTWhsnt4Kmyc8lrtlU
pwOI3uG4FNk5tzEWQvyu9SODL9qOBYhK/TrUWYEO02GfWcZNFlYC0yvOALrKGU0QCBRhzTrHK0DZ
zhX5FVYoNXOj7KxECiuWNzvb0dnUKn6kNubnIcPxq4wclCiZr/pTGJ0rlzVRxkRrzLKB8FH20eGD
2w++YgP+8IUOY36LlTpD3kFxHpDnC5Y0fgFWV+1h2sqjFdqPaodFiiQ9PVlpT261vhgyg5vWkt02
Qw9wc1m788iyoXwR4FJzXKfj5MVh+uuZkX6vO7m7Y8zxAs4u9TJWuIZIlndZuHLhvsNyglKGlz3O
Pzsm04+1SyITNyoV+7oFClaYpun3bUcNbq4uSEB0l+ty4mX1IHBR2uDzqqLWPSdmBUFuKD3IKi4j
tQo5TdwFTwCZlS3c5mRTOyzaqkteLjfO7ZLFICEUpEC3d2juYP1g9u2X3h0xVetU4nWNMiIE5Pq6
ct1mS4dTbOwZ35elsQ+aBVXLLJAgBMnPeGUawLJBo0uzMAV5GQIAJoBh40TAsk3+hu/B0s3+ecG0
ke5F3jxXNfvKmtJzY3HXYZO+XMJFb2fnbiKPdkCEeWUacYGWEWWXc4LU1gw9T+uwyxp5iBQD5EML
+RRZsu0NKLEhxZee8sqBKdEQlQhU4ISW+tkU1elyOjEMrzwV+47ABJB1Jaz0PKtheCfSKihIknAa
XIBBt2UdmJPwiac/y5xgogtWLnwahkZt8tS27GND4XMHYm1mVTyQydxJO3/pyK/WcIaHNiEvt24u
Qak3CS84kT6nE/eW9NaNqJAtbHLznnqn3CUaWwVY7Mus4LntAEVG0JGXe6km4jVhsRIdtzGOHauy
by7fcJyz87olmsS8X48C2xL3gJ+JW+s7oO11kxR0etUSgmY2npwoZThTrssGZhOtRLPYVpp8VlND
O5kyPWd1lCOlx1Kh0zL/E+kcg2Bixs5jNaMdbkAV2BJNxtvWgWc4KezflJ25HZWFv3IgCDKkCxF1
4e3Q82XQjB3lEpUqk2H24YRhytUlEifTmohZUe6PcMPYwaRZ8+I82jleTh5/YXEnDri/iZ86LS+g
T/o6SKp+CRjeICfLbNd3zJrjpyUisIb5+PVc0ZEjxxeS5DmzzHtNhts5zmYkVvBlAucxbNYVNi38
ZlyTphNpgoGpvjdWLDogJfUG8TMaMwPRB1xwudNdEor17eIn9JzQ3ETehahPFQTEPOIDm4Gq4BJ/
8zU6hnTqdmWmgfF1KzwRYcdt1zNOulwgilnVZs8GspfsZNHR8cTqyJTWWuZf0uE+Qfilp1V5rYT5
/EQXqtrbDFhpUJFc4ZH2clkrZVe8pE58LpfpMVTTmQNDIvc08KjX0wbjNQ7Gji2AfydWdeDHfAtr
JTqZMGGNTmYeZne919dlE8Bjw2bJksnNiD+gD4yV/BwSAU5VGPnUFQfe3DU3K/j4mICGPhhjCUTF
RAdnAtTq99oCzakfnS1tqdBPG0YEVTvOEHJjE8HfeonQm8cagHTaSIJBYybWOQk4CRtTMjxPz1VT
PYey7IKJyuqH4mbLg56n9VEtcXmJ6u4hxUNxR52T+IJxxTOes0hCFzMeP7ae+HGvhb6uL+oeblVg
LpRJQxWtqUE9YNdlgmPU+gLThWVm8D7COc3mpkLen2Mhw2QcAIS80bXYoFM1aVeqG730Sj75qS1a
hGZgw4lxgeQ1qstxkWwn6IUvNBDFPQ5ImR9r0KU53kHomWO8d5WiucEUFr8hRAyQn8i7rWkUKsgX
gB348xjkKCB0Y1qHXrkiQujNMTQkYesGs/a0psz3aog4NOpTh85tnnF8s7HAqhdv0GE4D3o1eEyY
212tMQBMUiPk8ikf1vFhhsZcPYaf5gHD6QPZm1d5NXyL8mj8lcGo22NlGjL6ChmZCOsHOqDbNJp/
9BPJM5RRghY8dLjctPKUBocBVgOmZRnG3JYGzgYyDTN+xlQWbTw0DNMYgYB2VLcDhBWS5zsFTXP0
9kgTVRSVcWDegrz5gSbttTLKY1IRf5mOPWnqeAVs1/GcpKgJ5cqv2mLx2SPAHzFpYpv1ynezI+qm
jaYfusW4j+j4orykMpnWM7+MCJlq2rcrwFLZN0nMAHwq2LVr5bNk0JzVhbCU9MlZmyo3iGPyJy0k
0lRlPD/pndGsb3hhBssJZJRWeB5TpdoIzck/l01vHI1FfR4EoULR2ucypMVRZI38ES3wUjiJe9w7
bKAUFUlwzIg3YAIlDyo1XIaALY31Sxw3lOyEic+5iQgOqmZ2W2WAFtLXkr9aK3oEuAkHOtvUqUlk
SlW71/EE8+DUga0qWLfVukQpmHfGOL64Q+/sMqAwscOKCZmieUo5EDQ5Ctb7HBz1XqP7sGstjbKQ
09pzSbN7LX7JzOpZBS6/GUz1vl2m1Ouw8t2McTtdaVpceYlq9yjDRnfgOk71rH2jgGwCAG+Qq1Qh
n3ol+5pypkUdYzAxu1cjciceKL7sOh25G4esClRFR3a9htOlAyAO+SLzB6erg9F0HvUE97W5OJFg
THeLPeFm3ujX6IuVPGT3hLyYRd2IH0gnUD/IoQzQx94OIl4CKCArildaN8aYxneq1OqvicqzL0mT
t1pmH4DrySNWb8oeKF1FgsUzxaOO52zYzudKLyWOmcn4CMIbJIBkuYm1eZVECC5nWbyZHeJaiLfn
Nmvi6UZBcGAlbK1BuqBaGYaa3Lvt0FkeyTEFvNJdmaReAyNkn0faLlT79kCD+1wq8Rnhh2cpOYfa
Eiytzn1eTvRuoghb0x14M/UmYpnchAZy6hE5AcW12Kb6rDAy4QLGemaWc5UX3lq1LBMNIhsHOL+P
5HMFRASNrn68jWq2lDBVXnbZlbuun8Ormc4kXPx8us0Y1H5q+gGGuqptFcBn6K3FZHdU9NvLKYc2
ZnkCHE0ahdeeDxsFrH/NZXLBGp5ifflW4NP4UyYTc3b0mOmAoA/mVn206RVWkzuH4XfIBXyKLM7A
y9WXIhxQaOPUu6x+6k0m1mlyRbF6pgnBt8qtT86U7CxX3JfoR+L4x8mV1oyKaVSZxsJAOHKHa2a8
NDaz9QyMWJ99JZi1kUMRFKL6XrpMrI3ORW5CU1Lw8xBDEsIYzcgMVxbGnWDhrpQeQvRQ18dZwGA3
Gi6Pahv5KkZm6MKL21xCCOgNe/TwY9EABNCVYrVzxPW8oqE07i9nrzuxT2MjfHy/8F97FK+7C6ii
IRCNAoSN9t+f3YVe9GoNrizbgYBVoPrnZ6PjS9vt1G2ladwnEevv/Uuaf+toAGMVKBhyRfW1J9GQ
4o4EATTbKSV1bqbTIzY7pvw1fUjgfUuwKFrGg2NhdQtwhlgUPdGt/mw2X5ymRr0OWbQxprZeM5ve
VhVYJvZjNkR3qpigZhW2skeQHkmZEcBvPQ53VqEw7HY6cu4uerr0Ti9lGbIZP5OuiM/W1GHn01n3
wOtKhtyddhLWDPOlnorTpGjkkMOaB9uUXZ1O2JI2okVKZ5LuKSoiP2vd12u686l3fqYKGM4SPhM8
9jXxjOHRWJTZvhk54SHTtA+ZcH/r3rjoewsUGWlEvPZvS/MkLqKLPWNLGevYY3jV9jRBLEGeh0r7
5+QS6xkdbFD2Xwsz8tT3X+tf+nCOy/wEVqDO+OZ1+1Bn1G8mIut3qd0aXiuWeN9KUrPYala6Wyo3
sQWmBOqD/kGHTPtL55KOAVLCmIqBPL/00X9r9xJMtD7JXHS6YNd4JueInzKb/5SMGAIjmIKDMQLf
W7gn6OSb6V01FMODW4vdrE/a8/uPYe2TvdpQ9EehXzOeUCExvOqjwSpRKTfDfteGuoPW4ewglsW/
tJzJYYtpEdYrow+IIcdaZCj271/9L1uLOQE3gJ7cZZT153Yu+IagVZRu18CUwf7AaDeQwNsPhkB/
CRp0mQWwfIe+55sxFacpVDNyid2iJcamR9DIl+n0DfjYTevmX+cuTz64ova3L6avFjn0tzW6++sS
+O0VN6WMSEuKbhclaXtEe90Nks6QB/YnrZzReQTGQdmp0j1btTeLKZ+Rq9KQE4kQPcuH5OeSf37/
Wb8mn9IxXeeIyPetItZvQifDdpm4as2Cz9JvVW3Ov/5JfrOUHC+fmpv3L/fayo0OLUQF2zbo+uNS
TGH+5yPoha1YIcjAnZPYN1II1y8Vs9xWIYpPKlmzpw3WdyNPn2og0ph1PsnEUkAOjdfA2X92qE96
i5ksHygkr1PZVwse/i2gVZY6+8y6jER+ezO6M9VzBLl8V7gDfZqc5Nlq2Pe9ulpgCXGA0XiKaZJ9
0bu6DtqKV6TEgA8TpXoG5EJjijzOw7ZGeHi9zSQZ+g1CYdKD0vwDHT2zw6djMUhBOvugtzoswfQM
1RtMTNSnuPBGW0QuUjhnEdYQpePDuKTaxskXwbUcnZlVbKaFyr8B54TRcoifnBoqKCetrax1bHc5
ZcBNysP7r0y8fTbrJBkfKB0PQogbr4alrjZMHYVhvYtCyoXZRNTE7kDB5GNBX8xu8KGNkRadugJ5
p2FQL1+T1urGyJuKhHBVaA05dtCqza5qtVe2psqUaFjz5gU1jqAtouV6xZN6SBAILyo+PK3fkEfJ
DkBfi1W2C54RyMNXy27oCLqSZJOktAWO7Cg+PbXRK20JRhaF6dgqTmjpSdR57cZT8iRACrL+4HR5
O3O18YtkeWFOiiD3qnv8+/5HmkSvBzuCSTHLKxh2dG1YCUk5WB9cSLyNNIwOEaa3mfCi1Pk60jAF
CRuRZ/UuxNU2TUlCNFiG2Nx35TkHZ+nbNl2pZO0uN1NfeSW2AXgKuvMGtBPW7XX8IijhE/yaT3ZB
vZdRAvJ8s2211owlxTv97RNiPzROEdrbKyG1y/sL728vjQEeA1DTJmq8mRyXVK5CW+J6h4CB5mOO
nuAPPdWboiXrhG2Nys/Y/1zrpTmj/YTi0HkunA8i1tsAiRUmyqamLnTj7TGBcGZrQ6Kpd6pR/UL3
ttnwGLhYLkEezx9dTbzNgezV5gRlVgAUqu28PnkrrXNUS9TML8coyOpq9tex5NKKaONqkUkDl4Qa
9xmOCDzOb4uleq5AmF9bBcm9oUYvNRSIayT+EFai8MbgHt6pgY4glPN2uEZ64fb91/T2HOWO0YQl
O7WI6K+BBBI5uKKd2Fq2As2gausOdgEdiF6lfqKNqvqDmn8wtPxL9s3VWBEqMpGE7dc7CSkwZ6wa
oFdhSmOzqVAUAbWI9xbqZpApOvqpgCipaPtDS3vqiLvo/aVnSL9d2SKNCMKupIUQMijyO/ggNELx
r6a1ogUNqWWtU2LGeND7utk9i4Vq4tITKTUKJ8H4OejsNZolJv3adfxioNN3n1FRoZ2EjbOB7MIu
ynBBQnb/KW/EAmeEoV6tWSDaGDoEsb1m1uHo7hDrhOpMFTeN9Ekus40qN4DL5u6PtRK2ko7LTSoT
ivCbjljCpq7bMVgWluH7r/KvYcPSDQA8loBBabwqpGpnSWJpEDaiuYvvcPegKUAtEQgApR6N5Yoz
kCI3ccULbXO62SYvuhwbxx97gRyLBS3MnukRXWI9aDRGo3MCrNxoa9PvOvH1Mto0ashtLtPaq4Jx
902c8hLe/yZvE1iIuGQXoJnweFAvGo6/necyMhjBSrvdlTaHcT9h8lLY65Yw4uEYSbfYuM5SfDWc
0PZ1e8g+ODONt/HXQawIEKdBcahpr/E9rjNl7ogY006F3eNXQk4QGej3OzmdcL1xjc9lbRYbRJMy
QNPskczghESTpSYo8y8zKxu/V+0CrgbLlLOLiZLNAMiajW+q1l9lc/WsYMu0ucwfaG1oCn2+cEq3
cRjLZ7NepwEmTfaUpuROLdYe37S2c5c6uZcgFz+ruenXqnuSA5R004LzNK+YF3DFZ/7H0AP9rF8G
gkC70gFgk6Ft9UE+/JfMwhFk3w4EQINT2Vqf4m9vaWBWV6ZjXO0ahhSXAUFhrCNhjYlQnbANly4f
PfQvEN7JVJCgZAxh8pnhQb0yDWlRqkjt1tLVN5zW9/ka3xrr0UgXHEm7+mvJRN+PZmYRNtjh3ftL
7G3cc4RFRsG+h+r5pkbqO6Vu4ehCE3WMnRYyX1xDRTbTjrx0owD3fhD13iTP9qo3SlPJXmEOHOzr
Lf32vDAaC2eZ0eegtV0jr9itfh0cx5dZTHt5vT1DoYH4ApID0Ei/jgGHDhStDg92KxuZbU3ALB5Q
jY+Cx+uD8nJzcKV19tuKGlp//tvNWTOyl9DKsl0SgyPoJPeA/hRTAN5Tvj6V9x//Xy63bnGQSjpc
Dqjgf15OZrWJKVyV7UZzXbXI8M8KCZXRsnaoHT/q9zivs2CbGEdEWSV6GI1QOf55vVgOTBtlEu/i
GLaIi94UsVDa/gS0nlETePQxIyNBxoUzgzR0n5hjuIdYAPa/Muwvo1G4d+nQ76EY3La4+G0bC5qn
MQ7NdmSP+rQ62mPu1OXOHRG9xS4hOZV66oJWKZhuLh0kr4QPTwZprbPre/Tx0kPal1pQpW3jK5Uo
/NRx6j01jBFvEAQbfSMy042qI6U+hWNAR7LZyqgxdgUuZ1dgORQmKtltO6sGSpC2vrOFzjPUZHKC
FJLCC8si1EtMESzo+/p56cCsiPkB+PoXbUXbaWPTQ75yRIA+SopmJ5VauNozZmR0dAQROfcS5tR+
mRX6FQBVExxY5qY+ft5lUNYGYOhUoiVbGCWCuUqoo57TAL1OuAdEtJGWVR7qzriN4kT42FS3RwcP
GHoxi/atH11919mZ+cFG018n6rZwSMIg61OuAsNz1jbRb2sZxVLpKjmnPAgKtIXXugfNQr5EqzLZ
JpdKRaHe1k1T7sJ6RLQTsP1W1OsLhOzno2xkMb+AjuPZ0k79JI9/5CLVAwfoIUq9YOWxBTO2s4L5
nkOA9I1SlgFDBGwy1qft6IvyiESwcXLXj0+r7raLxaNpgzYZJ3ghrol0ao9Gyl6krfNB9+f14QXs
jw3FDiaPIdCor5Y6kVODYpI5QSxh6cazR4vog937OnheLmGDMFz9LDS8A/58wFRhJo2AyAEwAFWs
GuiFDnKgzKjRSGs7CC6zgprB+yHjdVLARYmdBskN9QRh41WEgiJrpVYs7aCp7GbL8EtCZ0YefIgy
HCp0RnqKbraHSqpouHRQZd+/vPY6t7exNSBBFiTwNDfpuPz5peemyFEIqOygt2qFuXza8rb1xU/T
9YKh6R5qt3N2RLtH2g7ZDuHd4en9e7gg4H7v7F3ugX41GhToYbgrQPz3lc22kbaQihWkVqb4w9y0
e3RrJIX4ynmVQ4J6eqG231G6C294kMZNNYE6LTvhwJC0Fx86LXZno5EGMGydZ7UVPMqmJbuL66BA
GOAT/LT2YEqbr9PF9qnBBeFk12PzWUSgElBxhSc8ut2dbsMIigcl/yD5MgXf4Y/vSAJroNmh6zgo
6pzNf37HGSqp0XCEBj276jTqcgrUOtI27lANV5cv4eK8d6eOkX1qY37A4DHcuIu6+LkGdmQhBfN1
ehEbPQ6jvRvFjg9PXWFfqy0Wo+Jcg8XYKzCHNz08JT+J9PtMFPq2lslwtaDVs0fDUa5iSc7OggTK
VBvjThPVQ3OxYPhY3QLCp1pn7KUSFLVYfLm69mKqG2SyaW8m/jKorWH1k4k+zYqp4NQ+5nfzUn9e
ZKoThPorc8RZYTGQ+o2aeLgWid094zbx8/0l80afzuZx0hEHU2nTCtZf11o1mnGwVwBoRJmkd9Ir
cgMR94Sm7kOB+y32lIaGH6pmeImFJIWg47VJzdrZZ3hWImxG9ypjvowrK9ssLYf4iIev+r2ZU5vx
srsc+RTrNCB+xkTYKPc0knqPh27tEKX4saQ1lJw0hEfUAdkzu9YIGtGUgPqE3ChW9blHCDQYJgVm
8Ihh6yL/48xmLYi01Xtn3cBvMpt5SmIGbTwAzOnOQOadu/WFy75O0USIhg96kfab8Lv6+ujArGhH
Chdtmj+Xb9HTcFF7BP17MEF+yjD1GXRUfKxRPt6oSzEFuhqmN7HVxUfhSHatJIfQRm3xp6EhDYW5
tmE+9WVww9MYWdfhgpaiBlRlsq7mKK38ZmZxDim4TX4XLrO1+IrLw5Uo4vpiZEmSe56rtlnuRQUi
TWvg0mtV1e57nRdZU9mc0la1tlmkR0EMrvsJ+Xb5ial16GsiHtBmSZaNIQAboLFNnwYrhi0yv8M1
iCT3wFjxvoPksUfpk+W/uD3iGKV9klAErkeV2NLWWRZgeRHCDUTpnGxyeDLnSPHbgVipxGhGb0xh
p1DkOpZSp8BeVCvVoEGkftNDOwfnoTGTjeEHB64s6J0OEerYPEhsijRrG9PQII2iSbZ8cMq8SUyN
1R2HhsIKql5D/Z+vr7UsCPkR0E5HgixJTZ6fhJe+WSqj8m2zSj+ooow3ZykuHPRCaGqa6C3TzP/z
gmnSzRbfA0uwgdTSgUHzTUwjI1q2VUh+54htXzndrhsnJdCVAnvppYmPWto52NEnMLVjpICKvCqe
EFsGfJRwKGQYKcPww2ohEGNN2LR4+JDsFl+FL7ydO76HhqbMplcddChlv5tm9O81YTyMg/5sKBr6
9PDSwjj5SSWOAhijzGPRKfY+AlJ0HZWJc9dR7WBHgcuBO+Q0i1AU9YtxQjaWztXOYCAdMDYnDA9c
cnJRd30/tL19VYz4QKSTYlGom6+rdCsrQQYvlRnkRUECUnM9YHPuAcwRkhwLNNf3r6e9TSwp2xD6
pOIFpo7u1KsUxAHe1ghEXANwTPo2wU2dBotjnZKCQVSJqtxxcg3YxS2E36qXe9nyQixMyLdVweO1
x5JRwIjcKg4jKc7oHFTIUIa+WhkSUILW7eqGr5JYlfxUtIRrs1wPdzPE3AQlyjuzrL7P64uKSjME
cc1+tbT8O/hFXFIsUKFplSjI6+jaI26f7QFK8nWOOn/AlOHcYMDsL6N5zuz8u4i5dwVlk2B2wuVI
X0tstX6isVLJxxbS5kZTiPyXo7XOSLWkE8XPIMp0aIoA7jVAvmBECEQuirK7mN17rOJcPY4dusGV
tZ6mRQYYvCYvyRLOmb7AbUJdw9wsCL2y6Gfka1hB2UCIWBoWaCZluwcVz9mTsbDbrG4+J0mGKXzJ
mZlLbqi2Edym47L4rhIzBZgx1/3npzmhAktOJZC2QjW/6tb56OAhZ8Oc35vXUzeNRXswkswmzhBp
E20kH+imhYc4tYe4U51rnB1cusP8p9tFzr61CW5lzK+oERlEGWLP1FaAv8F8dzsZtfIGfitoji6s
2Hl8TQUNk5sBexi/HrR228+VtYOj5B5EkfDsctPZ5Yv1ZM32jwK8Lj4EhjgQ2AYEODJ9S/BnFZuz
sxuanJQlIY2+RErX4vGBNOUKCvusdsl04oLnj9psR9HO67is9v9IpO7/wOj8/2TEBl+PZPPfnBT/
e/f9v36VeKHPN9+LX//z314Sf5e/Mzf/+YN/aJuO8y9YkSa+MTRIEAlcm4b/0DYd/V+kqpx6axjX
VyW6f9M2hf0vOJl01jV6DrSbXPPftE1h/Iu/sMhvmZBceKD/ieuaY73qcBjIQFH1rg0OCEh85JpW
/1b0NuyitnQLfVeHmvGYAjTy+zku0UxC4mNIp54VVXyNs4KGE1azXxO7KFhzKIN5Hf9n7EpGX9dx
ZWRfoAcnNyDqcF9zSzskZ+7AB7aCrHVFn1lfxDIumTeCYTqFWbziirumPGR4Z+yQKV2+gNGozktl
d19iQHklfBbR3Vo2su2qEyEb3aoKLPUqC0bVwR2DHuYnlIyao9GW1dWsMbLx3LI7RMNsoyiPGMAX
xVqEcay7Nj2muQu+BJ+28jFLwkU9EF4U9Ke40MY0UMFaQR4W+rlF+DRVabMrTMU8Wi4Q0Capuxxk
opMl9GPn5HOIW81TaM4r7F+P+GwabXTq85QmW5Qv4qcbhTkspBj5M9lOUWAOVnaziFQaHp7eyUkt
UhuTBXgXHqVhAcTd0uW9AmQYCkOfzPduQj40FHZ5XWLLhfhA1seZJwYE826jbu7PKGIon7CBYhCS
J+H4neodQ69YCYGftsrc3MRTZs5eg8x/HYSwoKxNFA8Z6MV5PlgjIjH9rCexVzZZAso90wO0/qoT
pbB5SDUtWvyCjDUo7NTdi94E9zzp57jLmZNaMQkCSDRD7un9QVQFU947m6lTebtx7wrsOpwi+dbG
aXaYjdImcVAZn5NtP5iVageDrsufK9Qi4WmAN+mVVP9RIxP/VesG60qp0+hoxm11bzmzeELpRl5n
ZgYKH6oJCoiA11NliwoWIDb461FLZWIhfRdZMzD6yb2VTVlvG7rp0cbELuVqHkgz8aQYrwBrqfeL
iYoFpiPjVrN68xtGBzlVhNk90BSJx30lUvU+WRSUf2hkM3ZPzcm9IeWLb0HaxthpZk53bSKOdjIb
WxyQckGmJgyr/tC3Cw4uuJIh9yqtrNgjYJACROthNWXuMJ3CsX0A6RJ+c2UJTiwzjK+2LKwjU7Qc
NyspVpSB5t7IngeFU0LJbKgeGixbytapYSXjthR75LP2gmTLOJRg/Bf90OK6Nnv6yihI5kF+Ukju
aTulWxULbx+922+YCoZ+aFUFwhSD8rkxMIwHWH+lThx9ds8xZM7GbZeBz6V7E6CpgJ2LNL6QyW2L
XrTogNl0IBc7PhmqM/7Mi+aHpsjmhrPkoZH12cUZfBMCH8xdTMqYVW1AHo+3RRP5tonai5ZagwcX
MqjwKiluQxM2F5g0G+/YUYgM1iays0gUT7PXVe2yQ9LW7kBygsIm9dyMKurx60RT913QsSfHNqwt
23B4Kl2jvFZUaL5S0yvaJ13f3yOwGyKGic48gzcVdKKHm5XzDaMHoOOd0ymMXboo/pGVxESfaIJt
TKUuHWrwyxTHaIvxcDzbzJEdKx2abwF/ZKpehWkECj9MoJXTaAIK34xQhH4meomVgEbaTLPJZFl0
004rEFtSBwPZuqhBI1EiIDWMyNUUEUqdXoQizJPNo930TLy9kS5t4ESAkrEqGZnNwAKmxZJ2fTCn
6XLdAQ17cFK5fHO01SgCbPlwLISo0LoLs7tQOGGgksad62TEhFHJEPMGRqzOAWyXaQsHZmRwIrAi
LPWh/4qiuoqoroXg2LBkyX4OkwYvhCyifmhtcS0hjsIIcZO920Ty2RDoaoVyln4TMqAu6qrb5mhk
PmBBK59xK8yu7KKZG1+ktr0D+tyxH6L2jh4Xoxq9NvqXaMKhm8p3v0TmUcM06NSpWf4sRdQeo2jC
7jNTHvqaoVxaOtmnmT73rdWqyy1eDsXOKUv9DrhLnXSHYhjmO7VLoDTY+vDkuvpA5ThCOUSvCZes
rFZu1LZU66POaroda5ljkEeEBz+I8o0x5l+Rn+6+2kqWfW6SvrrmMWf3uOwZ37A1hPDRSBXAQZMP
IQ3ofj7Fw8ykmUZW66d9p29HB05VazriGq54ufhjiAi64fbHHIvHTbwMJmCSYTkidordkZvz6pYx
yzEFK5aHcOloYWDQmX1x3EnHrmPqbgsmrFd2XiwWWeRSb1orTX8itNoftKFfVeEUM3lAEYRVtl7b
ThL9jlGBCCKUd/ZCq60f2ohCpBVGhD6nEDN81RwqQ66RqXKQlsrJbrFP84wo36G7tatr2QRaqlnB
vCCIHrstAoCdwmTLcRCow6Ut2iEyyGQyDPMvYPaXp85wxGlhEoTpot2Iq9oIAaiVMWxqaoefzBMy
X9XGDK1Kp4G+VqX106QN+AQYpB4lAuLSPk21k15DDZjBuxNbzbj4rrdlwjLO0pvUkNGtXrd65IVL
GEEbGN3s20g8pZsUqxC55qis7m3D0brD2CQQ9WnnC2+qiv4K1qX1uUUp+mlKtZ+yr6pll4St4tlR
rt/abhv9snscsksLxzdvFqjFzi2yGUxj3GkLunr1tbfHR5tQ8x3XqoSgKwbaVYi/lIZn0916suc0
/5XreYamIfJaCLalSHV22lfMl4S1l2mj33YNvqITQXSi97xygdOrpTaHZzeMXtyo3bO1nCMgxxRE
AnOSQUElHZs2/CkjD/un8WpuwhsTJBgkjQZOG9aY1Kb1LB4yySbZ925iHmHIWA8Y+YXIrvVil5Zu
d3DilKTDXLIWMcripppxz9IwhziIWjF3Tcph6jWSOU4OVcovTTHeA9FqyfdUjtZCd4OaM+WpAjgf
aAtmDZhQyLscas8THXqFitQ10aUpkZZpcd+0K1N5dCZ7OxnoEUpVOPcj3KYbOSJhhlhq+kWbZ3EY
KNm2mCHWP0u8mnZQPcptRLq1Z3JJj0vHdBWuRfVzaAU1WbvAFxgta36QaDTs+xSR/Vq0eyNS41Nc
9XOQDXGDsHu7HCetss42iOtNHZq3tZAJum0c96VotJe5nAd4GQi+UzYP+AN686Akx7z4X/bObDdy
JM3SrzIvwAKNpBnJW3f67i537VLcEIoIBfd9M/Lp+/PsQk9WD7qBvhlggEHdFDIjMhQS3fjb+c/5
Thg5TJJUbYahOZ2XOQXGqwtDPSCPcZBMuvoJDOcezeu8EzV7/W4iVHpTM3OUYCm0dXuaSJfUrS9D
6BsEGTDlidBRK/bZvwu1dLekbh4Gz+73wsTjMAuDcaBPMuiuKjs3fQkEYZjODJ1JkPqlc81HK9/T
p2CvKtNwtrXNrtdNzrgxfpIs+I1v4upGUbctKsCXfIIT96mq69ombmqKbdwYJ85E5FMrT2MyGpyr
q2rWJd5KtGLGCL+hakb109aee+PJo0vI/JzqxXOPIx05OxfSAD977Cd/GLKqAfREId54STWA2nrx
7copao5L0TD7tV7m/yZIIxB/W95GHZGkZ66nLmblYbmYnXFheyafGCbnI5yieGWbXXbu8JsyzdEi
tPKKFDYelhvwU1Mr7Zc8E9G+gJTGSInuMfXpyZa1euBEIP9FLfRZRdbY4lGwk4+a33G2Cvy6a+bM
5aHtPUJDtdm4nzmT9TN4ivbM51UOzF79vG2beXzMjCaZVrOLrIFE1RNDU3QVbygtNCmFyEQbaFHm
zwsePshuUx19lllcnO0ORP9aFJZ8sCsmlCxDxVkxrBYWkFNV3TKrh7PUFV2oVp2cED9JOUXLJlpM
AIVZWMfvZhaLU1vXrKZj0zGOkcuI4ZB2qWgSfBhZROZB3xUXa1TuoxeZDh43knnumsaB4rc3J+Jn
VA/eRfmZ+znEYjhgMzYI1yg42OsCykW8Dstw0Pgugd8EJWVgLIVrlJ1wwVsM+ZGi7DZr543GoQu+
sPK2TkPZYubngarqNiPu7Yv1nIJA5dT6gtfXr3xrqIjGOfGO3XQB2rffxVZ0sxr5pxFjtA/LyjjQ
L9Kts4La+Brvk0welmqCt6rqIsjB+j6bU2tsiP4muxA4apCZ5AFzh+zE/YpBB8yebwQhMhiYFbMh
X8lRyfKPOfMtSSJiEEpTgZoxcHNFzijt8mF/VjE1RBCJpzh66eOFAq08ejUYO1ZcB6dtm/ZXbucl
tUbexbZYkBemsacoV2+5jPxk0XzOZBrQyAZtzAeC5ZrRj76yTpHJ1Ux2LYVFg6vQu4D/ZRWRTTe7
43Dp/sAtEy4BpGM7sCFLwzcAXZ6MZbdW/lSRhWtZhlsB0aEvatlY7Md7IohxUDnldSE7e5vsotqo
2FwufPacXW2HfsCrR6ymaSYzw73JPqZlFz2FgJN2TkjTd9SMw6YxhyGjsVKRV6tLe7sUHXVsnjGP
Oy1k+DiHUoRgBSh1XRv+QAWDm/ftWc0Ujq+HnO+v11K2nWk6ghfbGfeO4YZvg7CGjy4t0dTiOOfC
kpKwOOludutgscbxkSa3It6oqKakzin0V29H4alTKIHUg9crBhr5EU31EG16Q/rowgsXnCMaYvIE
xJImPjZ1y77WJvnszDffo7LLn3szqkkLtbD8dkaWd0fk0p4Z1ANibbpj/e4AA7ZnHkWz9176PpMn
Dhh6wBI2SzpvvjAyQa9QEyRPjRSKi25DC8X4bc0DiNsmNL2HaLC9PXessucjV+PpZyUKRXm+V7G2
4fiDT1ayTmSd0O1XxLtCaYWMzatakpI+oHBGx3Sx9L5H4aTiPRb+BmpSfRJwCe/GbXN6A8sKrDD3
k12i+qEkMtW5rx6Di0OndwEMkJbJf7rL/q8Ja/+vAtUEWSv296zV/2sFLvjO4+TvCtz//k3/7Ilw
0droEZIsjlDj/tLa/tkTof7hCZBcvovUZnvW3+BplkeFBC5XohK+wBhp/U2F8/7h0DkB4kHdiWc4
Yf8nKtxdzvv77pob850A5DgCGyYy3F89En8T4ZJS1gVfXrNL2vuZ1kxN/zKM0fQRj/14tfX0wv7V
eKJJhSrUmE7z0+z40UrWAmuQpIzws8ja8attquQQkibaILHJ9cKKjXp0IN5JDupAK5rr+c/HwP6n
+hYlRf6d0tgwDZ2CvolDtuEexDvBqW61P4UvvO2qaNUI4g+oKF/QunlXWADluzDLbnfEIgne8ZQL
tk6afPWbnSrA/+kSEtf36QfO+uqZZPuHNqhUwtl8d5w3jNoGDZomFHwURSsJuq5uV8PcPJuFHW+I
1FYrG3D3U60NEptD3zw7hWNsuiiFcjzBpcdog9EqzBqQ3f70bs3UkaNw53/8sC7PlNXEPz2MRitv
plVtQEJ5SQEe7eBo8ZpxFG9JZyQHF6QF6TgOk1D8yNJ4XuOMHTYmk/l5EnqiRm8ZqmINxVf/oHQr
qaHZSNzojTOanxVubnrO2TqsvEgQAmlHeZH9+Fffb0Zph5F3lO0KGpJsKP8jpM1qmP596fj/j4SX
uUZX//pdJGWQdH2b/Or/5dNNnOO/Ow4ALMbt1/+6tV+/v7v4//yd/1TmnX8Q+oWk4pP4Qpi3sSP9
x5mAvVPafO5tDy/v35R54f9DoL67psAcgJHpP3R5Yf0DHd+/cwWxtAJU/J8cCP/ZNISPBSwj8v89
eiM90mr/qsor2qdHipx6KAQ88s/x4Hkvi0t9WSArX10dF2pCYIiqgY+rq61j9ukm7yMZ/O3bdvt3
98zf2VoctP95P8CXQR7B5xik1clmZfqvX4mJcp0YM/s2gtHdG426AzKiHx7GqLBehizxz5qV+t2V
XoQVJvVq2MPwIaaZ8qnkHyVbErHVrmKg/iFjTOH0Qc7NKlfoN0UUSpScOTxAnrCC2fcHbOHkQVcp
6i2JY8N6jLsWXk5jlVxvKf0wKDDs2c3l4cbAFItR353vpi7Ue3OYPthEu9a2Z47ccN31T2q4i+C+
NWbrlF8/r6ZBi0MbKv1VwaFbD6nzwILNoJE+BSe+YEL7IkiUXyTKOjEukOPLSoPv0Kpnvzrrn7bd
L79F1soXPOj+jks2Te7ZxKUvz9hopHFGYjaaqp+963WHQY3tNXZ62BiVsEDQesOWPEV/i5QNcaK0
Zs5LG85EvddQkNH+VfTK2Z43q9ThjuMg0HwI7pmgDEzrNZ7Acg91ZiOS2dB7R9s6wzcwtvwSc6fd
EJr+FLf7DrfCOQJIdhg9KYJ2zrclhapBA/36xB0weRgSJ+Kq09Qbd2jomh/Ii29nd5KbsHdm+tlV
/yIbsw58nAVAkJv4OS8n+eEuXrhpKQ/a2K1p7pFqFv5qzW3JZlDtypguKFLpy4Dr4H2amnGbyjbc
W/RmrdrKSjYwv8FeLLDomyL1NgR8y0en8EiShcoYmIyJB+CzcQLuYpjlposTN3uvNE5eAzabLmu1
JUJ2dW0ObJYi2LgWM9lZRWmBHG/lxkXR3WXcc8ENqTpwYnR1+ltYwS4ZAXi6GlR3y4dErXLCUitq
74hMFy2dZrhng7pH0caE0n8kXGB2ZddX6yWKyLrR8fLTXXh5eWM5PxTSH0Fw8zwlPFZb7nN0K9td
cf9/6nfU9v5u0nX0vlgGFYuGGOdLBPuFP7MSj6a2xW0oRn01a4pBmnrUvH7rZAWs5prkebuK2Xnv
6qjvH/Ncql2eszl3+jDdUGMIjoAt2XpUC0zvOSmBD1sRwir11OWQqkPcWLh6aesMMMUArIC6ua+m
uqZp2kY7T7jDl3kWb9j5/bG5RWEh8osXSvtA21N7E/DfqNbgR9V+1P5y1rF2DpXEoFiWEdg3sCsE
kQv3XuDj+9iKTRY/OqwDQq7Jvu0Zo7NoNhEVWGCwr/BayYpMjlw9lOKz1mUqMGquuPQwzuCrh9w+
zveyk8HW6pp0hv006mltlrjh6mXZ4d6TF69y5l2alyMvbiUukRdffQ6ZDVmoqzkUa9oX9Doyy+E0
Cjv5RVVqTJpBD2s/72mh8Rfa9sRkXhfXbj4iTv29PeTq2MKluJST0x+WcpRbg/DRtePLBvcmw6eo
dOwvq/aSo0qZN/ppGH61hBufOJm9Q+5W7Q+rwYonXGp6fMb+mPTCMACTcyKVHTxHguuXsIVCdxjm
nVyaYgpozab0vaubYRvG2bTl/uLV7ExNoipDG6WXAfUhiBHptmk02tQUeR31OnQuQKBq3T6wGtPO
0QRHu18JGz75mIRvtmOEV/SaallbdEpYMNXuezqfzgH5WQhveDSgZuVkSrsWhbRGpxAh8joGK67c
aoQxFyOstRIS6jyUx2ku4s9alBi6vajlc41fs2fE89G9ENojSC8o1+e4zuQRs37obOza/54zlUWH
uiyxtg99efTyTn44id/vl7QiJUoak+glwYpd6bh6WfmeX/9JqmyukSra/o/bsewKx6X/YBYe9rWq
rmVsvDd66vblHVTAolmuvDIB3g2rxAeWrWh2xMDpfOZupnwWk1H14RRtfvDTmT/AnNwDMGFvPRcF
jeUWXkoG2FCzm2pCSkZiKnB3kDAdfVDpPPpnlmQCtKAhu+FJpIXzHNHFrbd9bdRfVGDprzC0yrcq
j41LE6mSFVnFC3ojWv60wl+m1xoF2+AlFTpv0Th+ZIVvnGZP6vBkOnO7Vgq+P27GBF9jYk/2Wt2f
/6hu7aeSiDh0jhI9QSez+oNwK594FXbeYXLTPH3sqTY7wONPnge8os9IQVoRmmlQp8bCb/5Q22ib
lAG56r1stP1rpvTiQGxZ7uZkVCdA4N43OCQMmyH92XvDE/Icpo6OoRVNzbMVSwUmj+9qlqEWjAL0
gdMZjXrKQtV84iprnhxO6+e5oHQiLSnHigAly22dxZ5a+Y6nL5Da7bsQFG2AB/bbyQldssGT+9bF
Zu5dO/Iy6XHMngx/9E4pHnYWA1m0uZckQfLyzcZ8r/w2+ZwkA/uqrZOF9XgesXHhZi5/sHxtymu6
NGm16ZNygZSUe+YGbA2Wp8XyBfgem9pXYUSP8SSnj7ytxSubL/u56kVx9EUnt0QdqmuYG9Ernq/4
wFST1Sughm3HrDWlaDstkQedTLumsvoTBlEPr5JnPMqZ4KFoBrAE01J9u4nGsU8ig3tCFI6vLRJi
Sk9RU44rSnD0w72lpt8skLPg+cRjgZpTVHpPhy/tLVF0CLtKQ/eCqFC1c/weWUV3oZO+wOeIU6vE
n71mq2utl5H3Z5E2aDuga+NCL9ehz1XQNj7oVttEfxsjb6d1CiuectuiQ5QLq16f6rBEDiexPVh7
t9PLdMSDFB8ZZyrMVAKtmLGB4BRSlV57Ne/3nU/N3y1rsEeSRuFRWCoIDGlrt0/8rq1MyXq25Opo
CZJloEjqn6aom+kJn6OCnETbfdShWpA/5HwQqdVvw4xSCBmzWygbOm65NsGcrZboOtKCvGWjNB+c
uPXOymhovYrahBXwqna+Y/Og2/KDNqOvUNJibGdHy/1A4rNhdI44Fx1tdNByqmrbC1lrWEbz+G7E
c3ODbZBu7CyEI4aX3nuosGwvu9m8NwJRx7rzjCwNIuRPboTSucNW1U6aiYc/TI3NQ5Vw2HpyECvQ
Z/VGU9Uy3zptWtWRjZJEiS1GWv5iowUqlqcn6B3ZC/0oMfI72105dvkhpR/hNsax3W1Swrzfo1Xk
7jqqpvSd9R3GelzhSeCnnWuvU9NWNZZiEJvY/TwW0ZrASRqu5Mi1shqlGx+8jmJ5bqBTtw7ZHO6l
npzDUsGnVQ1m99IdzId0YifHfJu96Sq2reMYjUaQTsIN934YNvk+hXR2RgDB1yAWueevPEHzhPkE
wUj8HLrIvjmThWO9ZZP3zGkTSx7cYahhdCVh0PYh2KNwPMIJPLfkRNDn2eh2xR0RUEasw6EjWENu
fC1soKlaU71xJB321diGfwU4S6nSvFj591C60TXjVOTt31NR32rnHq2mcY08pFle3JxauY4Sn7fa
TPwbL7iGGpjJOcE667emYw1bR1s8E7oK/7Ano3ZM2O5Vg3BhgHYH0pGTi70/qY03/D+cITNhBr32
69LcZZDCwMrK5mmZlMMqv7fsB8h0BCD8RX/JlCaHmVN8Z0WgrgrW7quC3QA6avfdOkjhKqLjz5Wi
5s0ZsX2TiwikmB7ClqEgmeyTzU9oAyLI3YzKrF5rtK2N4kUDJqJh5ZeE7mVGwnkTQ/vQWKrfdlnV
7fLK6mC+crk5tzLKTiprXQ4SKx/2FXeMAGc8ThNHzo+Oljlif0noKH9VVvFthN4VC0G1ykRMwYnO
zG0Sl/RmJqBbWuImFVYuGHT9cs0bKIEjvt1rxfS16pkCzjE0hr3yIjK84idGoFXf9842szNaJPRM
m5ITc5dapmCmGWgreCGh10Yz9LokivYqGaAHWDRjxgcKmY/xrDB0RyfQreoSuZE4lR4YvIwEerZm
DVoTthjpYtIsN6YmEqtunO59WwzRpCrXGH5gvWFJYvmAWSmamWhDcr0nrx+cR0cU3nE063HTCyJy
LljDXcin/TRg+AL0WLWCEbQE4zrkEu4qj4ah2zygNW0f5opoQZscvazfmfEUiDvN16WLYwRiRgN9
wNSRUPsiMJlaqT61eH8CFnbU3CwVwrBwCwH4NYVF6ci2XaO4OcGy6P19T0nwRB8WZ6TF0SJ4Gqk0
v1cQcf6NIz/qsK7ohivItmLpN05x1PgfJq4YSDuzeG9JFa/xWeTHWi9DIAwRXXJDOhs5+eN+GVPr
Bzkl+125S/3EBJwe+jAZ37IyxP1R1saTGAe0uKXJOCslLbIYpmih69MYf0KzbEyGtl9YALlCixqt
zumr33bcUELv9GfdpKeuCGUAzfWnSbtcbtM7jX9kPSTGS0Pw44TkRzJx8gm/zLl70NbgXyY1+c9e
mPbgBFlSV4IBdrzbfDubYJt067MZE1wQSRUoM1zFREwC4rhP6agz5oSy/RKqdIICxv/a4Yp/6Gxr
r7PFYIOQ0Jwmpv6hByB6JP78JCsaGL0ScKLTPlTWe2Pqy0CT0WJ7W6tXnzhmruVkChpQ9TOL9W1k
FPS9tvswE/fXksJOICpqzIuWiir/A+tRYI3JV4uwsc7brIHdVsZPmB2Lvd+zZ+E1U56dbLJ4jtvq
4HvZycOpcIy0s5xUG0Omll6+LzL86jQ+rpEPWeCa2BimPo92OGyeTRvwozeXQI9zLngkKZuMh6NS
B1NyuVriIvtlA889Z4NLe2EylQpzCWekxcIKb6QdyD6n28ovwm2VueFJ53BnjbuBwBfc9DHupS5x
HCtcedoNls4bqdfO8l0CaHjA6F9Y+8Uu2GeKRL7WtdufTce1X4Fe1py5oFc30pp5MWZFAY80C2dv
WHvYrbZLl9RvxsR6kC5GiAMKUyNpjfoU05j0XLvFLcMJlc4UO3rjPVORHvui+S41NXy4UaDTRJ5Z
bjjgjybcv4ZG0S0SU33AfBWuG1tDD2QfeVksKn0VttlfNn+/VVQNWb92S+18ACFsDiOp1pseSrkN
adAJSvTWLqL/cqRdaKtYwFEMDp9XVB+2ouaOnjY68yztz4+Qkl1UYkO12x6Tzm4C+sCSzeRbn7nZ
2h0nn+2+EUXsHOW5KB0nULWazlQUesjH1SVKTNLV4ptYFGL54h6psiWLHiSxfZuT/FBAhMbk8D1H
LTt7kyhNYFsN1UdSRc2+Qw7e8to01pO8s1Atw6Qrspgehmykg4ku0j1vrn0m5F7gsZ2cMcDPii/W
ZyPqVXyg3GLD2/ZbTdaDUUp/h9tvLw1xkphkKbidt804fmJSj3D/2yyaGl4Hz60w5wc7jD8HGzRn
WxlvduLLa5Hq/suQdo0ZYUZ/Z2xxuUAc7IbbGCOK8ax9+1LZTVCneFjdqlbnxmppmZcWxn2+SeoO
DbexBLAoVnPgzeKtwLpMRSBZuaWNt8zQ67amMKrqvweigVRuouH7bhutYFi2tN4pwgPWQcXJocjo
3p2KF4DrjJdygo4/3ncMtrst4Jgjbuzycv4was/h02PQZTyFJjxLJ++fuWR3W3gwlzQcE1Ap/Q0U
GaMeNtZb3NmvaQXJxtX2GFALx7xIv+PWZc25srtkq5sEOG9i5Uh5wnnQ5GkDLx/Z6lOzG2D72lid
uVFtVRGaEOPRyc4GJWr1lCR8HMvnu3UBx+kx9Dt/n3QDgHpft6x5Bz8YKlG8RE2lP7AfszxkSZNz
4VgVtd6rJte7vk6scpPruTokfTdAYlbiADPW2medGG8EraIfxFHJDro2e5buxW5Zcd+sGi5f89tF
53qZEq5/gtH3EKMMbUrg4YaCk1AqrJ6mdr29g/2Duwn+4AK5ZRiq+s2mGHWfpfMQwWv07I2ogbtC
2MHHV890d7ooZlwbwu3oLup5iSdIC+aiL9XikE5ILdUcFCz3oDV0EpS+PhtuUa7u3XP8oMxoV1M1
vHEtCOerpraT11Fq54HnbGPhmqPhpTunobOsKgy1Ju/H1PI2/N7uo+sc44CJPNlUNv3n/JnuL1oM
uv3o4yYJ02dikvGO9GW9a/06ezNKlO9GtrfBLvm6EjO5h0hI7obGsIl4zzMnjzRaxbi5rLx+UubI
xoU5YV5cJ1qZBjbzpaYQpJmmT1mNAK04xQ+0FzoXChuyIAJth0QMO+nukONntp+07Z3JqkKJQheq
XUDc/LqQ1X8QlzEKVSN/u0hd9GfP1q1UqX5MO4yeFEKgh/smdOAQ10FmWdF7tkgsMF5F7a9NDfem
S9KQPsOwwwkUzjrFFBVnP9p0Iq6V2XJbMWkyUGUDHmzeyPQLwMZqYTcBMgeOLy5UC43ReVTzqcSK
/RZaEI7TmqvHpjOEePGlpPbX8rKsWxHwSs+6YyRzw1rsx0mYJ43nnaezLJZ4pWfqLFyb3T+GzYYE
TWdvTCvpz9zlrbcEa89B9Kr508U1o2PodOep5cJUGrb5aFEydyWMaQPYalN4HrQUrIVqxCZKBt68
Y13Iszn2QcvwB2nfgoeMSnH2W2k9D4UVHUFEWC8c/OV1UHa8GyPcUSuzbWihTwu72WoT980qB6u/
5vJf8+rDRTs7NMHR2TCghFWzFX95ivNiBXohe7WER2EZWFiXRuhb2lR0/2rnOwTC+BNvQhUHQADC
32GeFC+MIZ+pT+CtydpHa+heLD8bg/EueA3LtO+Xmf4PZueT1iaPq0T48lQ57rWxlF+1pIrVq+mD
rKMQiHPF6jRCHoQ8ki03bK96zR6B2MDseshmWIX4aDkIdIpW1HscvErS+sHL7IFqSe3u+rh/Hee4
4JvfvieiadZtAgEis6R6WPooIQ7cNT+cyMP/bYbutLPl4DTrwcHZVksuNlH4Ese+f/D8+7gD3Qu7
1UknacqBp9PjbLl/Esb/lZ0WdFkgQXESaHlHhnj+i8gLXibdAjV86Clgor/pNrjLTUXKf4xdT6/x
cdLh1Vu/SojZq1Ym9kUXzMYteLNTl87G16iiaBNW/g+/F95e1fGIgdpzqKLIGcJ8uzZYEdEqpEdL
7HnrcjW2jglT02uaC/lgCR6/0jWi46A9Y8/FDhdlmz/2dxSgZjG1dZv+LBjUO68fd/aCKrkZraU7
4Cg0HsYZyC4/j5cYVtadO8F6pc1wXRlqJNBF3W/Z8pcHtdML+2osjXkWrrmsvBB/pvAiLsVZ5qMM
qezUl/pJWEQeQKtjmZomcbRC/3nWvXOKyxJjE4XIpsRuNLo+bZ35CwXID3OPWyxW1H5oK6WNecmE
667lAF1dlW2/ZZvOMqlCGnU2PTBqKpfdrDpBt+9jVIDW4WGeCKMIxYEs/LZ+nX1D/a6ki2pZxTiO
Rbvw473DCngMg9mrK1yN+J1xDJbppY+78NYuy3KkA9G7eD4McmDerzJSj6pLiao4/pdKxSnX0dlD
7d45smMUnO1HzGXZKYmHddskQVK0b3iHPuRIvWHd1fEacgKO8kdIYnGwsGB5bnEIri2jyp8oAGlP
TVfRkxip+I0WCbXP2omRRndV0APJjRbh0hhbYxj1amNXUMkdDY+aXdMlmuL0mPJZ+yp0SPVs7rK/
h7GP9jJIPgHEFc9isNiLNWDgN17dH6PRoadBtAeihxWBAPKNO9qbmQYhB0HfcOc7Og1Q4tqUjonk
qCgiaApaLlxc0W9mA76FAaiWB0/n5U9SNAQd6sGi8IS78rH05tfeQ6LKDWtbcb5d/DlP3bVB0vzX
kjGY8T6cHpNpGQ9RjTlt5be9+SGT1njh3m+fFx7lN6zu5AvQ2GMIenF35VzoGv7WTv5DaX/8Fbs9
9zpEA39kKZRlcjnBuk4y1FtneCPsnlxHQ/MxpoLzLxPrFD/g5iOPuPQJY2Ze2/5LLhThQ13hFyla
c/ycgCG+4hCkRCF30anKSFYlSqbjVEyDVn6NpGfgRsi131IUUUz0NnuJUxPYdpNXfGLtgXUUY1w5
WMmWG7Wzd4ciIT1YQSpYuVYB5zqbxo/ULX/hFjbW/dz/4lpujCvqxNPAbKxfOQMfCzdaIijYS5FE
OpLCp9HqE06Kiv8FFCd0l1lVMSOlKT9o++SzxL82u4tBgOWnnUM0WGPnqAgkjfJ3ykAOh8ZRBy8k
1c6WVT8Qo6VweWQn3Kqp39YJbSCDcjjRYjfiQWlcfnoDkaq9Ac6Y/RPmjpR07l3pAtPf2eM3351h
WwKPo1IuTfambp+UdlhD5qEoIVyDXkjDNL/0htLPKGsx+JACR81In5JnNAUBhwwPJh+/FHKiq3Qc
uCKUPyui6eOGdEVz7Iy8eLV6H4ghquyealT7mk9GRlwp9CZW0Za9tiHDDKNDwt+O4CK0OtmyUdw1
Ew9wtHhfZWxGW49G6hsPPv2/+PsOlVVZV3OMv/zu3l2QMNOuhmn8dOp+WHeETTZgxW4DqabAqgti
qeYyUChBJECBlQcD8FEnQdaZDXGc6oGNYMXvb8RrVDegQbJ25yfe8gaxwQxoLmo3QzpMVDoJdxXm
7dEuSbVrd2n33ALjbWcb4dNQm5z1g/qhwz6eNwQ4mo3pj+0lJaaz0UhgT04W4kpOS+m8sGwCjB2n
4SOFyAmMO0N/htiM8wXRIfND51q2bfFGVJwTMfNMKHl+8jjcqT8jdtmC3FKDKZQtilrWmI38U4Is
ya0jS9OXeDD7J9di4bMhORuNa6gKyUn6850U7zmCJjveyTJz1+Fi62c9ZwJm0zDuHDJeQ1bdt2oJ
oTWwZzws7ub+pna5eGxcHytPjSEAml9jvukB05Ieuhk1Zczvi1lap5Jp3FSyfuFmxpTSOzRNVrUN
9D4dt8VMee+cWT/Yv4UnBhHqdpgm10XDhWZOyIDJmqN2TGkxwZM+XvByy3fXwHwamdM2Tex53/W9
u89IbkCFEAnNIZ35RFho3LFkQObssS6j3cw1xqhyCp/jUdM4wMeS/ypLQbcpnROraXHju+owHzhz
fREhRHq2ayXtNouLcTYGB3imHMX9M89lke/YvnAHZOumj1MLec5zFp4etNSXaHGGqz3UN4OwICGp
5tLoXh2cnMjgylSyotE6QoxrTEmsmbXKsL23tYBcqf40kxJUxyhWKm5lD8TJlLHtjTzc2/RtRLSg
gLgWDAonx9T7vJj7r2zExgMywJjcVSTL5I2f74/ZatKdRkTg1cVeHYqs4Nqmyben3QdIiXgXE9xO
VpOIZbu682EQd9jfmYHj2NioF3tQmylTrBRbMZ7mRVPQ1ZTDZz/b8y2deT/WjQtlMuZi0NrVyS1l
RyRPSV427MyZ/5s5Tp6ArTXIxWlnX+2IE7qvzBu7hi1tWvxjOb+KXGa/F6NIXjq/dX+zgfPPcoA9
OaR2veK+TeTLg5xIOi0R+brVEIYNFrLXSjQtef4S3EIqjMDM7PrH5Kf9vNJEPYm+UKqOBU/Fv9BA
uXlYJFAiy7QxXuu04gdXXFn860MVl3696rRjnqIi4aNNsmI9GtAOyt74DFvd/vBj5o01mXLzhPrM
2wY3W/orRKzkmuBMamdPIoWLJbEeVkPzjjD0mcTLT0BmOa9x1b7aVpwfkoYIyorXafIhuH++9zMW
cE4hc95PLXM6dw16gVIANhk17GMQgVXbZJkuH725WHCze+raF4W7sep82i9lRic4Sl+/FQSYHOhh
E56MaZWGEzfR3ljPub3+64KTIUtsF7d9ZOMlVm1SUfJNOlTvPcPyWWUY3s5oNN0zjjmeXYPNa895
9ITJw4CtKpOAoV3fchk5e6vvow9iQvZrk/UZXgdcK2x7TMwchjOScLvr40bWiofUmtCdzLbwWHj1
3RoqXFAlEjORG/EmSMoZoX1M/o21M9uNG9m69Lv0dfOAZDA4AP33Rc7KVGYqU4Ml3xCyJXGegkOQ
fPr+ss5Bo+xzUNU/0DcFu2w5B5IRsfde61tZATQtWnWGZd+bfV5CeybMa1HOrg0JywcX5jZuufa9
9iu1km5FujrG2jZFzqCyfF7Dr37y6O0vE9MKti6rKS404kCM3H6Q5GJvWreSC1vO3mlCBkq9P44/
hlwQl9P62r84DL/JAJEzTtbEKq4MaYNH23DGBwbY7g/bj8uDMbnM1Upz2KfKm+ZlFOX9UlSx/+hM
TBkn0b229KEBNvdqPopkzDYoadSWrRS9CxCFMzLLK9rb7H7kzLVLg1agcPdfmkLFqzYlaWbZ+GP6
3KDXedDDKMmh6Z30BVwEMwLDnxE3JUO9rMV8VNwQS/xNAyawybtr42wbFzreyyKhHRn6/j6V8lSH
WbHqReHviIMt7+hlQJxO6oInYtR7WHXzBSgp/U2F32AZ+pP5GpYK1QcUKczh4uqr8Jl8Cv0Qq6hc
eSFVHLyjaFVoGa/AlF1i5oQJaqgdSEienyCYDoRV0XnNx/KUVYNakkJ+JzjOXkovoW9AEXUfTAWu
FIoncay9oNrR9/vpt/WTY06YHRkY+Ybcl03B0AZne78DZ2u+xqrxNm1e3MCfTvFs4RlIFh0zadxf
5d6q3B5URoYmxJHjKrHs5iXP+KII+eoWlMngHhWDapPhQ3tb0o1miU4+30QAA3e2kSDruAWPFGZD
oEzW0QAY+8nGCxMxl43hSV1Ypof8NpIf1+wc1YaZpHno7eGzVha9njaSuzDBH7XIGUWeWLfgErdi
2qMncJhOR+PT0EXjyS9DvcOHMF+RWObrOQlpSQVWeW04XFx1N91il4v6bYKLFuMXH4fDCHwMIoXl
f7mjCF8G7FkkMVGU0pEOm4wnf27OjJeCb2WST6s6qegaAPlZZSUoWlnK+C7F0n5XxJ59sRI3OYmy
pVE+xzmkES26B3oD0Pg082TAhCXsPhqRyB0s9wAo1Hm1Mj2yns0tXcNRHvp5gl2CcTZHt5XcyBpO
8BMah7PnoBL9pEnIGSK9taJIALkkFOEFhQBWZb97vbWCvpkhqixgt2b3Noeu/UJ3I3lDnzaf6W2I
NcAdMKcqSD9jw7Gu0+gyOQir/AnkVbxmLEB5Xxo4uoMay7xpmdu4b+TS9t34OkSMz5c17pN9h6fl
q7LE8FiyvTKYmcJzEzRSop3Iix3weGdtIHve94UQm6Zlr6F4Ls2HPJ/0G20W98jIirDfChcUt7zT
npkYOI9FTwFuVFP2mFXGj7RV/sZV7J99Hu7jaASmJKQ6R81ovctyoK2Y3RhhZYWzyvESA2GQKpDY
zDYYZkgBtGeG60w+Hv153SuAkl6Ne4xGBomNkKgC2/qyoT4dUOjUJCEYvaKuDfv4weVwsGEYF+6L
iudQq6bgtqXUp3SmW8A0yr7qqg2vaRBU6wghwFMZJo/srpx5JLU026/YqcIjG1rH2aHN8vHZ1fG8
m7qawZMBmHeBclytOCNn3wJcljSjjTB+HRyPnluQp5q2A/1tKLQ3/01iZBvPFM6htd35vawTd+vH
TO/arhBk6UnmeGnDdsWs75FuWLcDP3RT991677XZt1+Ia6alX0XycW6s+W6Y+vzmTSGY0U6CfZ1h
bIGC1C95VAFsOIWmfdJ69BUmF606sjySszMm2MV4wqh1KWbgP2neDZs+CP0NajLOnFGCK5HRzWM7
jDUVcyt3ptPYVFW+pSVF5eR/zYYr2Snm8jkjXZGzYCtwCbjVHQCc8KTSXp2dsM32scX7j2aEgovM
c0BH5dYnC45xHELU9bhmDd9YyDxnDfqfaMXSNLXzaRMPGkZN7lefsqlCzLBh/pZ3041jimT42c2Z
f0jUVw9DGabfs6AdTlIwdKFPixg2gw7IipSWlz/UzP+/5fLbz+rGdWn/1+0f/llB5Ufx0f3vX3/b
/vP30Wd1w8H88hsOTEk3XfpPNV0/2z7nR/mH/vU3/1//8F+Amb8RwkOMv9Et/yTq/jc4zbZP39X7
L/L5//tT//LGOP9A4y4CxwWPycnwllHzTx286//DCqSJo9sCDA4JH3ZNWaku/q//AYaG0YkUpG3b
SIilyw+19K5uf2T+A3G88MExEnlws878d6TwvMSv1hhewQ841JiBZXu05H7Vnwc24rU2x2XcSVQT
C/RU07fYdsf/HvAfPbSPah8YT+DBPJTit5dpMWWnNN/ctetkw/fBNPwNS0dEtdBlwzYq6mH7p6vw
H6T11g12+ide5R+v6EqeGRNeOUPx36BgQTFnrLohlaV1U93VhZnHy554kVs+hYBc7hbJo89weNeF
RDNpMzAWDT/1vZyEtTWbIN23biz2VkMcM1aVdE+rSh9J1ZjvrTGr/wZQ+DuG+o/3yyWHEwS91QPC
/OuFSMElTCAAvTXisuJD0ylYQnThv1lQMgxEhbIArelqEDvVhwKm8UEfV7+AHiTLvq+crwgb43NZ
jTTxRkrAv/46f4fY//Pt3XhKliPI2PG5H//MMfICxOopJKF1z6nvmMwWg8ZE3rTrrY45so0e7iOr
rg55J8Y1oTPRrosQW/Geob6NsJptNGznaWR0btV3ZmxcRjYU8l5pkINcaYbsDYeEv2UGgimeJsyP
PrKybTE19fWvP4tzgwX+fmtgxsWNJgTHypsx5c+fxU9mbXaoptd1n8f3E6iZpR5HO1oBT4gpw1lE
b/M3uTZIC/0oXU0fPi/KIEP/h1R5dAPj0o9j9+ZidDIWKD/ui8yQryPG9baVR09BVea0OpB5Y4B6
Fv1w11VxjJw7favlTYkXytdAduLUGRAeyumME3nY1WgC7zJFjiG+puYe1fFM7YrUkijpxAo3cYFG
A2evt+4n5rd2rsVR1Wb84bvYotHTifogSdg5dgx3Ik4RtnlQhUkvjCE5iLSKZMXXv/4u/3hwf/su
2ZClAypLWMJ1f3vMkCu0mWwnubZCUZwr2POAs7V5E8JtPWF9Gakez/1Eru6yGLGY7HqV6y8mgOqH
UzcdOl9NyJ3N9nlHIGmO6IjeBVEoKMxwE9cPHEMZW6LUHA9RXUwfQa+tx74OaeznowFrM4vu65nR
CPG47HBTZI73ftanm45Y9r+5cVhZ/+3G4cm8bQnYmSSPwq83Tu2jjfJuD0GbNcMJh05PBUyVhyq7
Ug/Ud8GmsSwbNUw+X1TjRwcO8SZIgRtA3Jod/1m2hEEpHZk///o63L7m3y6Df3tGb+wyyPnub4am
PJoKOKrYSzRMpaVQ1Vc8IP3sGDh547D/6xf7D18DsVbESJlQvLFR/cZSrdgfKI47uYZJ7L2aAC1u
T3H6NxEo/2baDPxfXuW3pzT3idxsBRP0TCTJp1m11T3ieaOmI1hOm7/+RP9hRcCExR7NjuoL8st+
vbDckmld475fl1LYB3Ce8wdIYffeUcK82mPLsltivsc5aZrlQ1CGavXXb+A/fKXwTR2ihVj/HX75
6xuoDA1FKpYSl5k3vFgadfgY0mz461exf6OaOtIHPmsiUmMJt008cL++jM2S6zNw4RAs1bW+xd8U
JtaPZLiMxVMVJOexpGk+6o+bBhmcs3GmSkTFOVdo54WeVkGPQLuLHdhhMIG29GC6hRyvrV03y2yK
zXWdQJIz+/iuRkR6q7BmReXTfIIBWf71h/n9/gC1TaHOXklwwO1cdXPW/cnUOzszbDRXeeuGbWcJ
IshfIMKPVrNL4frXL/VvXxs+5NvGhykK0yCGwV9fKp5DO/d6I0DZ6kb7cIISw2zzlnlS5hsBYm3H
Vx38zYtyFPz9qcYkyXrDcYmVFYr/75dL4y+xC0uH6yHXTwywqrWIqECCcNSvgoGJu4CQeTWi5E5F
+s0LynTj6cl+TyPbIkI3PnD2uQ3IvYUI3Ye2JpWcxe1mg663WHfot4TJW2i3bxVGjcTU9DN9NA3o
FSHZ5B3SDD3eyWyAAOy15kPgaiQeBaTAZKJgMWSOddCczI1iNIOLKKSUIQUZHUW+8UbN8C60jYWo
iwspUgGKOqbAPE8TIjEW/bvM8R8jbLvnmXC6ev4AH9qey7mQsHNk9NpWRn82mtTeaJQfq3BOrQUR
0cVCtV66zenL0vpt8vRtug0Hxj4p42UwtsOHnQdq68ROgFy5E87bmNj+JjCLp7oeHpS/7fmc+M+s
n2FCNJkMkdwkRlR8h2XLOK7LpdrIJiOCJwmwDSILXNqTKk5Ok2YP1ugijrfThgyfFOmNpXr7sxWZ
f6Sj2m4Si+5TmGSwogNrCNeIoEmbCdmlvjNF1+ukLRHSptOyzt1HEAmMcBuBRrvsGV4uAQhPByVi
5xLGQwOFCqgInpMAWwPt5Xlr52KHoaAHQTiNzopOT/A1aZAbun9qhv4z5XT5ktgAHJFeFOvAH74V
MYOyYmw3bd/hQ7Ib66VJU3EZMkVmxFRX5MNNOQrEYCY8SDQXbDYvYwQRZaAe3XW1wi7XRxSMmU/v
HubLcFbjDH5tzuUDsujiA1RQe+6VDyc6jKMvH+njFvpauzMbv75gIbFey6bOv+lEbCGBVdjlCcp9
qMhTucCo6JnzAB+STJKaiS7mMD3n0dxdRDj1qLtTInoMNT0ZcVhvkflmJ6Nuot084tfPOGid+rS5
jfdtc2U1hccruzXDXHRLtJzMdQ/K6t0IGWhXNHBPtmIIF3P18EwV3SXu8x9oDKYf6e0TalMaWwgW
D2bkbOfqCY8yCQbwk5pwOoaG125TM9VYWrLqZxha8VNlcks2ok84gPvWCiiXtTegZK+6rulWQNjR
TY2RvHgNA2aygsHVkl2NDEGVX3CAx40xONO+oJtzLqX/iWT4rTTNECGmVdUMdO1k/Oa1XgWdSSPu
nwLKdsEUpm9jhAqa4SSetm+qbr/BE+iZokhL/cgJO3uJ/MwlsaQptoGYqjVOFRt9tG7vVaHkSgXK
3aX0sDbK8KO1FLwpaNjli6NK45jwrlaQqvjLWXllhR13TdFoZErCXfO3oq3t6XvECp9CRqjkR+A8
aYDFoDTFiIsi5i+Qqv6Iv9Gn0TkYiN19/xxCH19bleE/ChDDrS+ra660e5Y9qwLP4LxiPDzc5YV8
mGtTXPq44JrAySlXcav7vWO1moeqizdxoPWyJ55otKv6Hmp+vMgYeiz+EM3LcI6fOxEj1xf1fDDN
hg9YNe2SCWW6kU47sUEg05FWnL63fdnfD5HUp2QOadASDgIJ0EAHXKtuFecpreLkrcEltkFyXq5o
aNE1MmEIDhhUR6NIT4CL4JwZo/1T6LRfaL9JVwx0SELLoubBNgqGOSGlnbsRhfMiwkayBkapWsdx
ubK87Gx0Zn+NwglF8YDmFjo0/l4AECWfuM4uwhzp9EyJ/YFwML/WQ8pJ39cAbtLWJliYFlO6GpV7
VrbrrMqa3hvutEcLQ4YsHcJi+pDZsdfDwa77NXzkH+XQHGJLYt7JfpQJXK2kHJytrl17qwzzscpA
PMfjcCzlAOm+B9W6kHC2XrsZiWrd6DL8HlGeDYs4LDzoiVNHdT2rQ2d1OBchTJOUHZ16FNPLztYW
clQxIwOoxoz+k+pRkgQlPa22dG5W7ZubJNxz7MDDnqbZoRLG8GBY4BITswQ1X1X1XrptdXXc5hJn
6O7gwhjviaOq91mZ2S0kCmAsFFeINU5yn4RKvPKuqzVDJIn1M8m3GLvmLcohRvrQz/eNT5fac9k5
FdQanosa5QLWUsbPKeVgPhEbFFXFXS1kwtIvG0YWmXnMgfFsuobFO03URVlfWUwfYeHCynryO69E
PxTXD7bOp6sbZf6hVvl08GYvPUCdmtAsdOE3yNrTa48MErpWbl1JoG22zMjYC2M73TqqS74DtJtp
P7fNZmh877WOTPMuiUGJpiJiu41hM7pZvBozET3Q2elgkPYViQSTPHS0Iu9D0UviygbzyQamekGA
I+5Uq/17iCbgN4I0Og6Fz6/aYDgxe/2oi4a5vixMQtIic8ctusaF98MvZLwpc86LC0/dVpcA3xzC
25pz/+y5013riLUw1L7uz3id1kXrlmedQ/2J6tHvljATYQj0vndEhFFduzmRHzJpilem4BJatvMy
hY5cVSgwOBmgOJN6UAGx3l26NR2CtAzHLbD+Ny5rmIN/xTPEClUd8g64qI+GHPC8j3MeDBuvZkDR
CLre5oRCNbcw4M0OUe/klSmjXo2l69wx84fz55vffKfzHhgQDSTYEfhUBshQ5qT5cFvm32amBCfg
XJWPpepPRiuw9jlfpa/2JKZFDzIL3BVWOMSIiKvu0DCYT5GXSHT3k17Qjjq2ERr6KFxyUAs3Kiw0
yjdriteDAWZO47w9d10bMcolPBmreGJtAKy68cJrB3UCpBO+eMqzrkXRmUe70/UefcB4HMex/WiB
lDLsbOL4SZe8GQPD0qcYzeCnjyNpnyUY82x46agOiGJVqOIspjG1uUGDJ1ARjWJ6t4PWuy+GdjIW
kajKtQq88loT6IezPR0+cz0ypEyFUR8IaGESi8CiXuCKtZ5BHzdL+AsB0XuS/Xqg/VMtChcygqNr
NDZ+34RPTm31XPwc8nKri2g7NYJZbRs2br1oYoROSWvnL5UMxleIrTk2+haaFo7qOAzXKVIiOH9V
GpxQ7A4bO8O+KSiGGFeFhnyLGrYgr6bb7dq9tw2kwRAn08zhtS6CI1iHmjcPU4hx0QxZnvABgPI5
TIvzmNGgRDDX1ud6ittjOqRXYII/HC/91hdOj2JmsvcqIpqm7+fXfkar0cLkW05xpna9mKs1Ci14
wLftxrTJgmUiRf4GLSLMkYWLvj/3+3tbKIiBzFY2IBQYqxheiQSwCMe7IdYbFGxQcfJgw+6aoIQp
0Fm1U5ke0H/XL+U4H/rwY3a8q6/tJ+UP71aDOXGKvsusfWUO4uwKrDeXZjBh4Jult3TMwrvPBzxX
q7xKilVlWq1CacIYujBrhZEumHdFbvSkHOQ25yRflqibVfdotFm2siofZrdT2/0pKxFrL1pXyndy
HX2EKNruH5pQRpc8GB/DsRA7UGvl24ghHByPZvBDa0l/DmnYPc7kQG6nsYJHhxUGO/kU+Qs0HNNH
3/uw5wqkAhHBGYuwFLdMU+E3y05VFz9K9W4wLYiAVYemwOphVlRRCW4gQAqV1Rc3o+GywDqGeArj
zJ0nS/2C4IFNx/cH0WBqRWTrVjM1q8ncYIHlNvniZ/ADqGJG1j6hUF1yjIkd9GWtsc+0n645/7dn
D8JYvHZota6VHRT3ICoMSd4OmiTUQd4Wy3THkutUAqOVbWxK5j+PBsmsyJ9pGj4De6qYu3joOURS
bfGZBTzcDOuNyADKGs4XK9XLAWXTR0fTcTMKYlV4hu31JIixQ8s3P+DD7NejF4ClGNHdYTjzjaMZ
izBdIJrLjnnchGfF4WMt4wzuHmHx2z70kZGSKXQoIv85H8w95ubqx9xHCdY7UCLOYFSPs0RD2NeM
UhLIFxR1gXu5BXt+j2UeXHuU80cyEcMF/2T087YUfi+iKn7sdYF1jUMuXEU8KswQjeDZm7vuycOJ
ixmjS36ysOQnhlDjszanhCg2hLbk2bTldz2VeF/KONvFEUKnvEuikzVHzWVQIwbftBZ3ddR3xDMU
mG8NxPtJ3YfARVEH1CBiD9r1wYxyYPtWBIlANtTfjMTRXEMcH8BU+cUY7JrBGxjK9zFCzjbCqufQ
GRyNqdhXwdACKqh0ezHb2KOdMqtph8YFVk3euZ/aauxmMadlcsHaV18aP53gDBiaNHJcdSaHPqpJ
JLY0ZRclSc0buK7lDr9n+q1tC/XWpI5prYXJ4GBRNbMJ7CrS6XNvSTxveHfWDumrRGMWBYWNj1oS
gMwQnwwXy5Yl4dAMoRoWhiB/Pp1i9cA2SZSNmHPBU0IIOGH104thleUzw1BIFLkvMZOQpDU3ZXfK
vPGCutHj5h8yGA58BGNRE2/4xW8dd6kJeVdrBpDgRgJklJraypdXIwbCysCVU0hoZ86yweb2bHUW
DVMTCC60zaT5mdchwoR5sM/WUOAtMjjwYLs1hncZhymxn0ap1qElu2FZlY5OriKOu23eCA67xjz1
uIidlpUhmtCo4DlY1qisKKqwHLGpT+Bz3GKXCcMUL0UYtl+DnSJAsOkclnvbKVxEA/0k9SGYEtde
zKHlTascSYNecZI2jLOJSsQ/WLhREK5L+doXY7GDsiqu+SzwDBkJTMkCowBIcmLeIcsAovfX1Jka
ZrBuWArmuYcdCFQp3hTlWKMCGjjcwtyp1yB3Jvue9h6ZWC6ClDX653ReSN0A4gQQf8xE0D4nA8mP
2gDerZubYc7wx6+5DmaISraj97NRFT+kVd+A2Tlb5MQOiz1GD+K+8Ir5m1067VdMH+hoztL44KM3
b32oW7AbIeJrtkKWAa6Ng72vL3x1kn40ndrK9WHl93O+GeRg3tMNi1jPhyLXK0RTCVjGqj4nSGdP
lSnT75SWlIuebvwfKenwdNdZuL81lh9ka1/oQ9rFPkBNbZQwTLRbv7UNETQ5uOlXRko8V0OeUOgl
1WM54NgLb4bpDfamH7lNA0oTv+x0DsMT+pnbdJj3WaZRBc20wNBbGdE1mbz8aezHbiNIiDvUsW+d
yRcwaHygbMI6BdRzM5Vzdwfrwl7XRqK6W3q0+gbgbtilbF8vEX6LjhU+dlM+idXu1Zxm7xXHpbXW
VbfjUY2APPfWQ92mhgtDuit9jAE4lpbdSEA2FugpRAfnxeyS4zAfCV2gMKAa/mHLxie5c44O9jB+
YhD7VK3xbFIC3JQ31h0hluPKJ/1642iW0Iq82xdVR9HeD+rgPoUP/Dl4RZTgW06mE50tdoaCgzWW
SNvr0dJbtEFVgqhhrI3PNtDgPF1PfLW21O3P20sgrEdYHVzH2Inl2rUHk0iHIaG0J/sKKYMpJigN
JE8RYMiHq6aQEnx+wRYNaCub9Y8EUmm2HHzQ5mPogULo5LFjDYaEMoerpBsRUQaZ6A8DMpE7BYMH
xtf0ZvKvIGHE+7yiMMm2bjchpmSJGGFYgb7v6cNF26C4pSb4+gz1V7y2fPQ9aEIU/rfwD2Zc1Zru
knhhd0LhETdYo8JJngwUYZhAUvDSeYYt1ZqPcVk0h8BVwzLsmvpjykfabUVvEO9JrWsQUolAW3fk
GpSTt0Qkw3NgWPKu5UiLMJTNSi+QL8tFl9nj1lWzsQV6hJNckdCA3t+uT61tlDALlHdXeXaEwiGO
rMfaV+5PWhl42EktwnVppLjjrPZahCp+sG4YA+J6URC6vTiGYb/syI9aT+5U4UDyq2nHFe9QQdoO
Q1cfPWwfB4dqCF61IbyXGNISSdGqXmb+bNGaLcaVZO/dg3YSR3/o3ZXPceV1sNz0UJDDsORwUK/t
ccCNOTTkyQeBPo7aJwyiM41pHYiYaV1JfXXxJqpiZ9DDQXlB8jNSBHfWkNKWQjJGy5KofC5cmT1F
UT9fsdh6L8zrK0qiJCzChdOjfQJyXC1zfChoA8vOf/HJCqQHm9uP3VQG1LMYQSiByHqe2xZni/CX
SpOpdiO7l0un5FYJnLFIthi+2y3bNITrxDM1ckyJ4SKInYjj1jR8ZxklhwCYD9aXoNIc7UMCDe+Y
Qvuos9umLjZt4vVX3ErmDhNkWLGa+o2m7LITxFtSk7ZLdNepqapw76P538YVNAGtpXs/OmWz05lV
os6f0xXWO2qg9oZlCdP6IRmrhxbN1bM1YtRW9vekct8D8JELWbkj1j+X7D43huSLLtpd4uk7un0o
d1EUm9e6kpC9S+Hvi0nnx6TNnso4sCEdDzH0Zdt69JTjwN6rwjtyAOa10QyPIBgIbgtdfYVWbu7g
H2SnkZ207ItyDTqzv4bGHD26c1Fs2065G7ugy0xDVxx16YD8dutu07dYahiGvOHaNQ9mlBvbMSzu
CPnztj0M4FUad18d1crHhNUJQ9e47KceOwCyUzj2NYlddXEHKQVBPPkmWy9u6Q2FMKe5w0WEX3+O
n7q+38zMY0VTco2Zda3Nqf3ptMV8iLQWZ7/vFAI2UCD1wmAlLek/QUM2e2zwptEs6g4XqS3PDTb6
RdMRK7dUEk9tCrk4Bl6RAm0xm/zgIyKba2MdpCVSKaN/KwL5gbAt2vYGDMCpxPiD1ce99KZaVq17
b8/dzqip76oO4IRq4jO934rZQbFFrX+pDGn+iGtAGHhlgb3oAqQIWrQDDbDnLID8W5veksHD0k4I
tomGvr4TIOmjEvhpp8b8Q4BtWGZCfZ/n6B6qrEVCSVKh1UUriKyt9m22AwOiEq4jOcvkDh9DixE0
aIqamDwmWRw9vIM0kAGrmQLZzSdvUQlgh75VpDQpKSckaK7vJSZAmPCEEovKpWjvx03EmrsyvQiH
IzDYHxUGvEe3iUr8s7Edq4U2yGZxprTb5dNEXgtVBWJbI8mQfReWfFMDWKX3kP/B46mwy69EYD0J
9H7UWgPdtmxCxc1zWy+ppdezD35xw4CCVoZKpktoOOEjHmHkl31Atr3n23eBFIAXCJJopA2fvRy0
nnY4kZP30AvZFb2UW4oM0Sp9MpI5ZeRoiTh4jxCUyoUlhYcJl8Cjg5tQnywjPNX6LQjS7BJEnhTg
OPw0X0498xEGtNgt5E1Ino3jUjcwmSa3Q5UesR+6JiME1tOAyAUIIddUD9lj3zmstqwb+MfSmZ4m
lhyJDiRxvbe6zPv3qbLlB7455NBO0BfY9zk3t9R1S7sa881MzAdWgsnqdqRBlsvc5FJTDA5Ui4Dh
jYtvqFcaxWqNghy7/dh5e8+V9PDBdEPBJm9lzk8QZEjvqJuzSBFTFvU7IC0Ura4+S/b3qAL/Z0TY
Lzvj0bH0hP4Sz8VFciA5csfFb2GTNlTEzUK3kQnggFwMOfZ4VO16lw9NwnQJGGeRBlsYYt9BBl1l
M76i/Bs7nFAcM3B3NncjQuTIB4gIWATHEKTlpQuzalkkNBsjad9ENlZ/Ze8u2SEzumRpXheI2W/u
mQ6RebTI56H4nAfQNcoR7fIGNSpJDll0HkpY3xlMVCYuU6k6aPVjUJXdc9Rjah4TQZMaXM8pRcBg
5tnxZjhaA8CwVgBcaFK0VRi+Ui9g+0KVBpoHTfTdgKfye2KlLWYhoJ2HuWvNCEVodssYBe2Fk5RN
t+gjljxgT/QLpjQKdpNp9ShBKfNYf4rqZOalfGxAtHPQon+amERNEOfx1kaGtZ0GVlx6q+MxqaRa
gZWbXyePqq1YMsqis+Fys5xdVbxqhNQXbJBhtGk7MX0Ha5Ttek7HRwfayOvUzNDlG8Z6HIlmuazS
KTCPY27g0PI8vgb0YEa6LdooPAtaQz+pTalC5jQ8JUNU0qjg++ObNGLPWsOCz58p4cAqK7XFmr7U
BY5vB3QSY4ohey66Zqf6GvRgoV+6FkxyW0XPDJC3NbxbEozDad3Pql2aE9EBKzTL9LhTA1sLI0XW
leS5qzxU4j6GGImbnPaVa6qvck5OOGVunPqJPHm1KnUO7T7TbNk08pczFKADLhpwIfAZWpQ2WA3s
OtoglQdhUqGGcVeOTH7YvS1rRI213hXUn69mGdBbdZ3mDgN+84Hl0kQHZXOD6EThoi+aYHjMpWWP
y8bqsh3OCKoG1Mb3MHLx38F5UFuy04ZgaTo3o5L2msVQuiDimuzUeRAc26FO9kxOGDnA6dqNKsCw
rMz+lpaDTfI6j0m5Q3im25Ud+/bOz0xyVsqbmt4mnOk1ZVX8OVsKahvimke3Dgf6xGON72x2WMKk
Nzx0GWOzAX3zmnXDOOSJXVMyNZVzp+zBKZcuAvWT5hyzH6Yw6hihEdFEDPSINHjOKx72zrSdle74
ypeG3b9kLeZ935/9dQJjdqt9i1D5AMiGh41soWO5lS0nKJAknX2kgqsWsWKqOKyaZr4QxtKmifFZ
EQqwVB5hVtntxKtnO7mi16tOAn/ysiry9CGdZ3fHoyQebpL+Fye2vbUfGHIFi6Sk3pPdAu+ZvZQZ
9F8nhX/NLC+7R+dEMrQ3cHYOG31gxR0x0MDr6Vmlt65A4A+m8zYZa0LrW067YR8yBVoRGhoTzyDc
a08+A1kilfxpEaoaEhpdsXlk6ShWPfbMRayNFPIn3kR6SGJlAkRc1JnRvaoklo8W9+clri1upUh0
9B3m6iqRahEBYBPDKQVRTiyyNKgG584kMuXGRpmSlZ/J4jEp6mzbt273rQlZ6ypTMNAnLtTzFpOZ
8okLA3vlMi9hfNSR16HHruKfhMDab5LEp/NkEzzBONFY2ggVwV8IufS9ABSQGYF/zPKKRGwxHXAk
seVE1cDV0VXjvxvaeMOC/BkNnjgSTP3ADUW3nm7Sssi79CE2rIJ40lTdKgcHFuApmBldkyWh235b
sXjGy1i1w47buuH4KGiZ6uL/sHcey3Ek6ZZ+l1lP0MI9hHssZjEpkUACSCgS5CYMhPDQWj/9fMmq
7imybndNmd3NtbmbMpZRJFK5/+Kc7+gIa1JsnlRtt/P5IhrsDXL6ecK0oRSSgSU4FoNAkq3y5lXi
rXKYuYfK6W5rK58POMnUOk0tvC7dmCCfifDr3mEvrh74dMVf0qISz7hZyRNRrSHx2TO7sAyXW78o
s3WtevrLcCYxvcuE/YzqsntKwTVuXJ3jcUoWAdawkfUa2Zh5D7C9bqrQTreBv8wP2BmqYwGqYsdt
kW191bSXxWRX9KP2IFm/iB9dcr+enKK+smAAbaTJsktvNhBWzgSp8x3irJdMz7vWHZYbBi0AX6PU
ekmN8T87WJouC5qki9aKWuawKtpDTYh3UC+2mZz6Nyuo5SEeZShWSo5+to5EfMSOPZ34RGaU1G7z
lQCT5NUJiLpqIrM8KCUHAmfod6rNzPoYBcOGqfEKfSP/xck4PM5ECQGoJeEPtMXQtQ9iytsbNy1r
78bWBVDpWZBg4Vljv/XotS5wT7FBX1L7NDsRNh/LzwU8jCjbVn6HRkVUTPXgNz5imZI3UVVSiAjF
0CaTI99nvnqVaVli6iV7ipocCQnoSrag5bVVWk+qsN4dpJ2PeWXV92XvhjurnOJzVXsGZ8XxZ9tq
hltIMuoRgtNwT/wI0bXJ3ciodSfdpH9OYUWePOFMzxgoum2CEOXKKaGv9irsnzlWnv00c65n61wf
jHl646SuvCqy1t5nGIJOhoikdegN6dtALNGuHqW9bvIhplWxOR0QWF3QG8ZmXVcSYgLyD++Qqbbe
D41evuamBtzRQRh8xZtOPdZWtrXKqJOvktgzm8L1mcu6Rb5p4aitDZ7/de2epREF2ZWDY6pDXsEX
oizcN47qLysMOeAchHj2ggzQguanynG65+KOYWt8BajW2TGzTfhX1bQrKzs9GHCup0rV7TYP8H1b
UaGvesFIIyk+RuY1/sSdkZHWs6eMxoY/Oy584CSy1yFRLBc1WCsmLOarjqI3VErvmmkr2FC1i0Ox
g9pC/CjJcPuqLt+B7cJY8s/5U022OtvNqnR2N1E+HE1jjqMq8Shz7EyL2kxwjsCizjZ742jLV3bd
CxdysBKHbKge5lZcoBhaK0zlF3MC7ZAsIxQIbIW61TixyNI94568xVsmrYsFb3vmuGRzzUe3Zvo9
g5C/Z9TlXrS4+3ZuZ9AjV0tMM9n3yTeFwwK4skmutYrTB9I1/UevoGMsl5hReF6K/f9cSghYDat7
AN6deQGB6l7TAtu7RZsUDnfcPv1QzP1/7AUhwwBZ4L/OSPnfbfuS/zEL4be/8JsHJPA/2cKR2APR
sPsklCNA/c0DooNPLOH4t32X+FPC7fmdf3hA1CfMGTSUhCUgrtYO8sB/eEDcT0IShcCOGFUa2mvx
dzwg/tmC8gf5MDJbPBI8EoigADml88Oc8ActZRmpEUU+y+4wImSKzZMViW2PpJtdfNn3BZaqJTvp
OIzQ2HHWFWsQlR3Egi6B2RmhWW1h1tiq2Szs8UhPYr69cnJ8CdB8+jDel7NLCAAt3BZLi/tO2+aQ
U4RG/tL1sj5jmKehbgZDfEBgtE28oj25cSHvAggjNwaQHvIwqzhOMogPFOrwCaX7oF1iUHkF571d
ETJWAhS+hvm6a3VF9TEmW893LtnErFXV95ulGZc1ClHE9Gdz2tLocqeACW3ctIe87gHaLOvgOqT5
ICm8NXt3ib4VIo6vZpkhfwVzCwy7DXbMj94w1XmIGNtXiMB6n1aIT7vWW5hthfOBCq+7W5jysZJH
nR9w7iDhYYhdiO5FTZam2rWbXdJXVJwBj6lj/z0clLjp6ult6YEE2tNME5BYN37NFzlZvsNkOFjG
2XR5+GWqnStICUc6eESA/WXuot6MbPZYqrZe3VKzaZ6ctyyr9q17joEmuLfP5nItR+fRBICDgCMt
W4+cZjIiaJtrkXxhXzFtO6We/cQ+Jo1g8qk2Yzs267if6m1gar3RvTVcUac3CPbFZZ6XM/Brd09q
AK1+1p3SpmJxtExtTigrgERkAd/n0foxsSUX2PElN5wHYbhx+295K3PUPP5gXmXIajiCpHdKe4cj
V4zua9MwKM76Wt/muVFX4OvnjyboUG24NK0QDNiWU1WPxyZKb21RxR9uQ04YuHNnJc77V1aiyIzi
rHurUrZRGOnuRR1cpkBx18g0cUsuVuPcYtwOsd3pU1oqqj5/uddReZcqArTMqE5LHo8Hj43IVVx3
Pn7iNJQnqPn1Jvbm18xLph1ZNN9yPB7XrfIPlsxItRpkm95TbxOYAJX2arJZgtc+TF/6LthyzrJm
JTNfdam6FZbr3XembcWRMhy54xnsWW+K2YrB9blpjugoxwe+Zh9nAGMG5+TKZODJnlc2fO8Sv8fl
6ffkDW3dJcxhVcWJzxO2EnnfEGcHF8TJW8hbMRv1TeYvtr3uhxqcS8WK2WxbhcQA1GoU+2slylBt
wiykLDKJAOfQW0U0rQrTQESz3DjvLnoRVN06kmnL2it14+oLxOeGmZxV6G7ZpLk+u/PtUq/lQKV1
40XgFAiZAEp5FdZRNu40jF2xMnBI9AOyT5zFKVri8qNK4yXgcaGG7VjfZkydoBP5mFVDEkKJ6UCt
OAdos9ZmsL1yHzk+mZulh2Vk2wEiiVBYWLp9K+UQ5ezKNSo9gT3hHMMdeN9saeYvxcg3JugSWE6m
0fMmCRGboRyfovKCKW8G3XawYJFgM6bK8cqM1BestbxYKrVWzeBue36MpzSx+YZ04BdlTKeYJkX+
0BJq8T6GdJ2gLMcRRTy7nvTkl0me7JbeLfQ2R6Nlbtjk8+7DB4n2ZpjAmEs43tna9vXiUNBCQ9jn
PeOGg183XfZaN1Yf7wKVgjiVuQ6RbAwCe2ygKFimProPisXeQvTiAfsq3XRICXmiVaT6wxxOjHtr
kHxZuVz6lpTfUj+Orol17l5Gmmz0UtFUX/clYshVpJfkkE94bzWEHi8icM32yXfq1GPUTc+6SKZN
W7BJ0t5YQ12LsjsnERx7sSE9pCi6B1epcodfR381smZE7HTu8k3gVhuZwJ+7/uJzaDWbKiBGEbHv
KgeVeuXz7zYrv7OZOnKEIg4/dqy6nH1ghbyiEJXPYOjRwhoPHOh2bjKxtaIp7PdmZF69KRXFzVYW
RTZecWp/Hjp3Ujs/qruHJFeZcx9m9RDuMqU0QvHWx15ckDg8N5093XsZaOqLzCXSY2ACRhCLEtEb
8EfhrajT2mijyUp9bBiaDSgfl665XBiQwdgZ4pYRuYlWIiYlGL3x9ylKWBnh2i0Fy3+fdYupzkni
LdBjpOmnrpvjW9eCdDc403Stnf5uZnF/CNlz3mnc8wAKFlb/i63grGTT13byqrvKsoN4NZDf89gu
2UwiYZNnpyEoy++F43kXPSvBQzjkinV7r/MXP4zFnQUIhYaqC26njsBEYNSJ/m6k7r9kdPk18SUe
KS2N04d0BZ2jP3S21Mdq7scP1Odjv44DBlGPRBRgbCY/vVlLx8fDplA9Zx/x2XK2JizdvkmHwb8v
S+F/yRkZ7OMhlgpNG3v6oyApgVMB9ZvFmOmxNHVl1i1Dq3ekq+XHAJ3/mdEFCPTajYKN7+Ug2cF8
MA+NmareWmXsXJustfJrNJPuI1uOOj8W1aQZRImSiHK82EOyDexIP6vSsMtK2mDaJ/jD5KUvUvet
pK1CRCT1o10W2bGI4b9A6QnVU9YI79vSc4OwsOaQVPlsnv3Bsu/kJGgjM/aV1+f8oY2Wyr8IASRt
hfEEeGnZHQZXpgOaJnQrHuZRizOibIgYbxo0Y4s1I721gqV9miJh3cDEgIAzmZZ+3DfZAsjXInLh
jAkrRk7JOptXjU3IEiypOdtGWC8u227q5W5xnNa7a5Ihe2ZAyYeuNMY5Q7WH0GEmGhD4EBTIR6B3
9V0Ik1xaDW50m/uvNtAU76D6WPMt2ZqRvLPYBMG1KRP87JjrWJi3jpqrTYWd3rB3ywxJkFY6OnhM
ITbsTRN45hgXlj+vh2Ic7gQ8UnOJV8OzjyOx6dAUA9CQYCrKe1wKFSk0iTWzC6vJf/wckskwEWQA
9zPBxxhgZShSvvIsOgOA/OSipGSA7ceuDh7Rl/l3CZULjqSQc9+f6vjCchfnIvDYTlcylhfcZ/kt
ShkwvqrFKOpGaPBok8H3Je1ybEMX8ULBAPsqdhi84rGoYdkk6CpfJwZBBSxO9ii9Y9+084iAqgnv
bb7w66aNw23nA8xps2p41gIpC3l05ilpa3JIEVMgk6l88+h6hkAfqpuCd7hkpTxrpifQKsgTxdyd
BBc+mnfeVjSyzpq+0+1OktSCW00QAcjxyHlyx26qMa9YzOJLP+VYzjuf3L8qSfKDpUPnaRYDUrFy
npXZBnPfP0wOcYIHMWtoAXIxb1xzHJZhM3rTahhZHV9ksc3Mnv7jpRJ5QHahnZ0WtzzV2H/2LahQ
kvWqbNUUi3ck1ECTYutd1ejDtoXsHg1Rt+hEi/BqhLb/woWRPBgls7eKuPh9ndai3qGDSA+ia8Ji
RStTvxnm4quy9MKDyeyRVUfOBVVNkULZEDcJOtqWdhxJLkrrGHYzA9SJsv3aizCHtCyLAxpfkjZS
2OTrupvL16qdX1l9wl9BlpSfh4LINHYgSIlzAFSCrOAPzdnpN2vkH6PXfjbc/bnjOVuv/tDxOJCv
7bLspoNbZqyxHa9tLovMSh7//sPgFQ0wv/tMpbxffO/DkhcsUKzxoCbab3BJJlnXMxONv3g6P7vd
z0/n/P5iUXNsOkL+9+enIwJLdjrw+sPSF/1Lcr7h/W6hIzCzxvdO1GP8ng1wM3BP5lL/xaPLn41q
vz28whdOtqaiu/31acajSbFMON3BbeJqB8Oze5A6Z+F5Lg4GCE53ugY3mxI09TWdS3xiVBODHTwu
VBfujzJDGGCKZ+iHT92/TCcM5eXBd2oQG7ZtOuRyS6dYWY9xdsvuhaOqVCRhVgmigZUXHP/9+/bn
J0QnbGP15YXFVOv9Yj5dIJOrrGTFvMRtCx8T6UUF2SwesRT5Q8Adb8iDPvzdB3Vs33aF0FSmvrJ/
+Uw25FC5A7QOHtQsR0c51NIdHBlzGau5fvn3D/azffL8lvFgwiZiVfAvue55JPCHL4BBRVZkOu8O
4xJbW6+Rb1Nq7XJ76v7iWf35m+bwsfRwTQJyxjZ9/v0/PBDSVPyZdVwcYpDE3S2ulpCLsxBef/Hv
n5H485tGmKxLF0mZKLFO/vKmmTR2Exb72aEjCfYqQrWzYRYYmSPTD6ffpPi6230AaibgyhvbW3xz
jnvSAiziueTrf1R/yK7giDV9uLCpOteHzY9a8d//qH96TVhU8dEKGOzwsni/EgiM5RrkzzrG9xHZ
6lAhyjhN5USz9Lcfx+FrD1LiPEnC3/zza+/XUVujFWIZHNIMbBq8F/HGhAzwfzzOf/a47xqaGj7t
j+5n2MsPgMv/JcH8FwPE+JLD9l/PBfclX8z3H8yaw9v/+h9nOMyPv/FPOAwzPxBT6IN/Hgwq5xPA
GJgpv7Nhzp+R3weDwjtnKvuMuBWnlOOfrc+/DwaFS6Yy80Sc+a7gJNb6bw0G+Xj8kSpw/sFsH9gB
klT4DvavdnE1DiS3jOOWe6tc4ehddkSSyLUQ+Otwv01/ARb4+UxS7m+PxwPigefLcZ6F/vGoyIxD
fiEFxXZxOXQX13wMC0R9RkjTX91YfwJX8FiethUTzzPKwbN/OSx6H10FCmbaRmGnLAE8bAT0cuKQ
SFldp6EZrvuF+Wcmu2LD8iN4A6s0nDDwpoc8cJkNUK2QOzqPSLBBhbrpKg1M8wUFNuJr+iPvxveN
uOxt2TIEW7xw3RIWxa6C5TzTqQXozmp0SvKF+rPuMxWPKH6pzIlOrsUVdFObzFPZ0jBhTtx0iXLf
Oz/C14bzk+DANus/UO1H79RvIaA2bosyzJYT2zQftUI9mz2e4GTNvGu4S/zFuqrtwB7YpoCDX6VR
wI/C5ij8ohnWxmBGalYGmPcVqik9K3eFiUHtqwWWxIpFNbg7xkyGDCW3kXAQ1NB85IRzXqrWPyjD
54GUHLnF73IsZv/xjFuuiGtzwsvFWMtVDN79NE0ZgZeMO5CbDWsTV89WTs6RtuUdXuoCJ5w6zrgg
VnEgo1VdNfXaCazmeM5zWtt9j46UaQT+riCLNpav8W2jK94KBFuXKEWe4wCbWj656WaGmIzm1kIS
PKibDlXqLmuDdRThvHPE1G09zPwDstN9auQdKM0VQtL7uR7Qd6lzmNMU7UkndjfgAg/MOod1Wjk8
fAO0DF3ZR5GwWvH6hF9E+ONwzl9gYwrWQ0YFXEatvfFdHlz6ub0ZtH039gg5enbjxEyaFyPT67yA
1iV9831kOLAS2KSRa1p7Coy7Mm02+vyKpsixNqEbPdC7m7U9yTevD48iVQcsUtk6Qzln0wuvKL+q
tWydu5C9P7IC8Zb4+c5J7Xqd993esZMPW/opZKHm2eN/UHXfOE7ykQbxMe8MAYmpWKcDea1DVD8Q
urInoZF4kOEqCtN950CcI/RtW9FssfDSKD3rsK7NMXHc0WbSHra3defdxDBViwFR7+hg2HLG7MoO
pne/r8jtw6G6S3PevGbSExJ3DClDR05M78SsmjUeWtSkCbNdfSNhCxC0Qnhf2H6ZjPS3HgxQXow0
XvshHHDHHOcEZhtFGsoWqw3XUpG4l9KcTL65MiF5yH4jn1M74Akwj8FSTTs/xt/Jo9snBVmbmY+6
rVNocc/rV5iNyYo0GFKSSqRFTUtuCm/sHW1xsA5L+DlWlpGdmfNFTWu5PHZWi7ewVY+jzTMtFNYh
8iVXSCq/M50st/99uf64D/+CviYo5P7tyu3qpSmgw6U/XbC//63fr1f9yfMkonn2ahLek+YG+23v
ptxPduByBzjcldSm59LoH9er/uSydbNtV/MDwInit/5xvYpPnpLn2HB6LX7h/63r9Xyd/Xy9ak1P
6DtARXxNofbzdee3nlUpNBRbqEAXMxQoP0w/hEb2AyaVyefdUKYftYs98g8FyH/Q+0IB//WRfY2Q
2UN5jaGP5/Jr8R95zuIvWb/1WZO/k05s89VzmfaP3iDMQdoL49GYC9tZqdha7qe2mjKW2dGCc6ut
PlyI3xO7FjJS0fVo/VzquSRy1OVqqOPZzTfGeDgiEMToE6kdMC17tt87xwsBETSYvRd/UJeW6Rgb
twFKxGJGxZIha+I73NyOBqk3dc9rYjNgQ1G+S2C8rdHgYWavC8LHAFV2hkAhC8ZVF00oM6cmuXcg
jg6raRqcG1AD4pSx57lRrXV2nUwJOg2dsADTPB65MO1+cvz8bvbKLTkOnGZJe51WvBQEMwtAyZMN
CBO6NX95nNFO4EobXgnDcp861cKzanthbmkmmqNXMOoS8Rxy4tPlrCqJnwF4S0IgRmI+x9h+731v
mAjijaqNwcIncFfezWXtbogSjZ472zhmTeKdtSNwwinXzmDp29Fqu4+QnSdnTBkwbzVJF7yBIW9x
K4zEdjCgs58msCn8knxWf0PEU3TflqTvrgqS05DFSlgDK2LDxr22dXQlHRu1GFauo3RRujoW8SdT
nJPzHC94IWU6eyfqGrX23dY+xu2EX7+auLrNaHq40DCbUbUje4FrUgSrCrLEvnT76UicWLdDLcy0
D/UUPPVuuSJEqXqqiSTu0ZS0Fhx/xys/y8lC6EeSNR6llOJpj0M0KE9GOqwqIxZepNfPDDM3AwTf
tdtWQUfn3bsXvm3H1RrD+PI5zyRObaKf4Q8hEhTdhE1Cz7f8ubFGO16Id8+i6NsazEbAjrrgFPkj
anl7sAzRexgqSaGycCu0RB9A8S4TKISDXaar1pYO9BiFPaw0lffZm5FMb5eEuKWND09zhWpD0/83
LTOpEvHFIcxbagYDmf6676PuW11IPkhpbT9jxYjeQ8YWr7wy8X1LtsetSj1iieo5w6Eau330jGYm
hgjHCgUUa+G4K5rG4YTBmUdZZCRw5KfkMANjdb+xUG0v/SXxp3XoDpCZYhi/ADIcQSbUOTEXgdb8
IMuFwGOhCd4bhWQll+Q1xvElGKZXGCkEXyTsTe6GUATfiE2KvjC0yfTW1U2JhzpLQZkESLeGDtqC
6nsxna/p6SUvu/ZpNEEmVxJbxUsdJwxVK8CFGyEa31v7mA9J9xa1eLfaWDxEXZV/xjEX3oEdVs9F
n0moEU4WWhs20RjnWXciUxVDWm0JossfSr92t0Rkg9sCq1wBB2SR2W5ap8/Bp0a645puMmg//qTk
ykRkc20jW+q9iAZ8EkjDBGUFdpNZLcOwj9KouUc9zxIiMHZ2tUBBF2c3FacIWSMI8RAJW7dzNSNk
FqlOPyezxabFtjG9rP1Cla+23RQUc56TXyy1hQQMgISaOQmlOvRFzPPx+7OLuyL99WTlWXSSnSK5
j8k5lKOFTfZdjMn6M28pplqic1At68rfhq7fPBjs7hu3ckcQLF5+lwn8+0vVQpmvmH8/Oy23CYeZ
PX+lzvC/cZjzjmL2hOzbKgFFAYWfBR9nMEm6MlPFkMzCH7sAWRqhz3cTP6mFrxAC+czsUSeBtRZD
wbEwhKFXblJrGW7Gzh8/ZyRgId6ndzlHhAeo120ZyK9x1w7kKvf0RltbWARKooFPrpNA9ifL09WT
nifk/y3aBb0NMbo8j3gk3mqz4OPJo7MwMWZDgIRaAihkIB8hCwGMMJuDCDHLrZgppjeoD+3oVNoQ
FbZ0vc5lSdRRtG8zpwsuZ4vk3NWMv7a6JpYkRsVcJ9bLCFE/XCPya1qG2EW4awuU58jwFf4poNHY
iKqFnpUth+Wu+eCQOl0jx8WWTVZgCnQE5y6+ydlj9eu1/BHhYT+YGjz8MAIAY3d6uQySMy1d6vCa
T1LzTcFwuIZKrz4jEc0vBxwgVwtyK4t7zieWJZq5QdOin7/kWnDoGR2PNzD4dLHNU05qWPtAjuc0
qmsGzq56K0mXe5iYS2Eyt8mDHhG5QVvoVfMx90N0R/whmRUx1KQtw9LxRucj4poWS47DEvxLUZoz
lkKXhBcrrh3jnzc4frFc5bJAgK/69grOCZgOfvIXwBo3/RiFdH22R9QNhdR3wgayGzfs23Hbo8dD
9efELJVl5Sn7IjSzPZ4jBsMX28zIunu/S+dj6QMpBjo9RF8A/ti80TqL6eKmCa5yRbIW5LpofnaQ
ezxy/FanCUnw3qBo+VpyPx99aUhb1pnMvuY94Yg0P/BEVsb24W4PiYrttexRakBGSLFBET7ZfBt7
rztBABluwgn9ha1awBeMBdY6jJcnjy/SK1q9ECMQvtXdVGZ7iVC+QraEJ2jVQJh4WxDzV2uvbpWH
hAkN7flNk3exW/cPbC/7A416mh3rYVBfvT6KPpY0zKO1iGpU1AJLIy9cEi20ih2sUOKhJxceRmlC
/TyLyn/hdonvkDNGE8cWwIMJdlGzEI7bVSB+VnWL1sMOufLXqGRJs6VTxEtsOaTctk3vbSYna/kS
IDScWotUZxmEN+VQfsGLjWK7ga0WJaJcs5Ceox2FARjsvrMUoRqR66OSdQjNq+ezCCAP3WRXRRPk
k5xXQuThTMpMZRFNy+j/tZadc1VEvvZW2DxMQ4dD9CwOa//Yu+IruX/1Uzo57nedyiADdMfHbBvI
FpWEkBQJK7dX3QfQcYzjda+GfuvGnr5n7GXCXT8484xHxeC9jaY+4dvp9KDacZ4BI9HsidgN6YRg
J83worzqB9f9wgaQTxQ50AWFUOZy6aM2v2gyu4W3QXOYrrjgxUeT4iHknM7Mc9wUmI2s3p1u/Rii
yMae84F4JxCzKxy/AibalM+XcR1b38O46emRPYJKsB9pe115affNqWGgrNDVWN8MEXv+2mnn5GUa
HU6BQOaI4AQggIdCV1A3zFBRm7hiGZ/GFHbsmrA4SE1ziFVnxUeAZR7hOLO5nh3bubeLbNE7YPhj
toqXrG7WxCrWh86X6g2yHn4+F49XkGabpq6CtdMJf+exzfwyTmxmPItEhVUTRmKVImFaDfZ59R5O
mnioAggei3zrdRam+moTQ9CxXh1dS66SYNEr0+l858ZAUQD7oaRYKh6sMvK2TzRjHf+cuQCxBnLf
vMnjqbgwgUcQ5Zxo9y6pLGs75gWRv22ToTMKXa7cITzNhB5DAsSdwHY7fw0WKb7wSXQ+iMxMtg2q
Ir5haKdOqm+aYxJNI6yyJFP3i5jjcmt3QfRgzSK/lv3I68eX4jNpJxxXmQOmbq8Jt/vC6rZ9bCFj
w81avGne9L5pSYifq/4DJX3/6kZ4Slalbs+6HoJpocnS3Xw4mu0uy1iIOG41k9BRttLFjuHMKzbh
zJaM5FOIb3Isoo3o5/EjtnBdVUudP4wLh8qqKsKq3yDDx2hHzDpOvbDrJnnRu86kGSpM86XLB5Gi
N8sH+gBuWpuhPV5WF50411hRZzc51Xy+Scmqsg9ekzWg8v34oUpr676cF4yZCoMvjJRFY6mDWDlK
Pa7LIAEe7NWoB1ZZ4QMmyULyISbCikY+xH7wWIbD4oBunKkEuSjP4YfNkLkbMmuQKRlsktBJqpoK
yXJnXlrllk+iy3MSu+wUUnNakUW5TOT4dW0RtFjJ2uzLTB5hC5imj95TZVDo1CqkKiqsnBJR+Kza
VmaU5Web3evj2Nr6TaIRvBjneaoOQBaL54LOuIQe1CQvCSY+e0cb692OcO/FyrGKLFjhxBZXgRko
D4MimMH7FFo7G9D3LoeDi5mIa7is7zCZM8okpB7nbnOecrL7o81hxGifSE1jDJr9GInOjWs/KnQO
2Ciz9+LH6DT9MUZtfoxUh9xKzIV3Hrf67MVvmOJQQkYMmPRlnGv7kqBBPnAh3/xDl5Bz2qJHx0uV
ujCbCH1nkT6huYqhtB9GbZgEW2Xy5qvWbph0IhihS/bugLBcCY26b6yJwpByuZmiFAgMeYikPvnb
0hmRUrvkmZS4waQwcjVK/7blC3Abw+/GYd5VcHjgVpWK8qMph5YgBtWl8JxZZWKfTjZRn/UMLUcb
al4T74taFHcjO9tTPjfQIgVVI3SjuQl5mNnNjiUK1a2FTWqlZmQBpJ36t07gtTu8IRdg0ARha+PW
ILohRLWxP9tFLlsOWBwuedN+KWBQrLtY+vcDu4RtUCXzziumWxVZ07iRXu9D/ZmCA45Rhm1jJc3A
CRXYmwCNx5VAJYLjhzyzrd1kxQ1cieByGeANrMswQGPL4f2O+GFfw6T4gLuUkrOGBr8biuBraQ36
UuFXe5a1b4irpz1TvEB9kxET1rk9/rwKxTG4saFJrdPCzE7hQyGrlCu5rR5z1nMXsg6BY4zBjFk2
J/udaMJ+NaBKuVB+NDxhFki/hchqkNnYs/Ux9KpovzkpbRAFQDzIXREy/943CVggTlI5bbozBo1l
ZZW9WaJj+gzWDfVVFHCBJZOwqQaqmeBuYscJbUh0cIe8Wyc7oet+13sj0biRXeFr6rHWhrSZVAqb
9HxnAmqJkUVXIN7ACjhjuqFGai+rH8dOx4/2tfNdLGSwTEMSpMhBDTn+5eJdeDltAmBtBzKSLNk1
rCvVY/Z1CuF/6wBkvJOXKonklEE6b3Srg0MwBFNwAbiRDQJAHoro0cn8d23wEcVMcq5axL03gNsX
fL52RGHaiwRsQu7CfSXlLgYb5JYXXe84925nD/nWaJsjMdR4kw30DCCmVYvjK87V7O1jrCMVSp9i
kCt/kPaxbyo8sN1A9dTpqJl3pTWRZzgvutv/93z0/2k+6njnVIN/vXq8eGnml+Ln6ehvf+f36aj6
5KFysJXyWCe62mVM+M/pKLM9BirAjhlO0nz8czrq2J/wObKbQ8/CaNRRLPF+n45K9cl32GqTJIGw
4Pw7/4jm+H0oSarH64+ojv9gSInJ6pchJTtyhno0yo5ra/acvwwpUyHRGKfkbSbnYRhqjZEQc9Aj
u2LBFWr8rv9KD5odCohA6SqogRaTj+3A8KuHi2aQAUL8hlhzl39jM5Ca97nsNafNWKibZbHdp9gL
22tsUA4gGif5XsaWQ/almQ4F/73wc5ogllPAjs/WV/ctnRbCztHwdTcsKeUj8ntq4hixMFl+lbxu
tJ89ykyMjE9seYmhTpza2kk3PaaDTRf5+cFU1GEYWJPPiKSB2qD4+mxXES11ku/imT5BW/gY4aYE
W4SUepUkHeMHFRkyFbVcO4kjDmWmOVaMV+NcBpZGxKRT7OMWmLA7UVQ6dZ9uHT3hs+wYXQ4k0d30
CE44slHwRx52udi3j4x7q2sWoNbllNnuziPu98bFK7sb8Nw/DJ3dXQNqWLaJ8oubWrotUq9WbFVb
D/dZEaGA7AKmrhkKr7T3bkKObcwKE4qxqQ++Cmzo1GX47JCSkZIk6/Q2y5zmwjv3dF1TnWvvbnmB
NQOdJE7IPkZug//3bDJbVLYNm8675NqXT2FafSAoqsBCd00dIylMx692N5nP3WDG55k10WMQ9uG7
WFxWmK5eqgHaDREK6xlQH44SuwfgGsOpOjMq3BjXMQFbdBZq+pbM9eju0tCNT4WGdxozP7kK0BZv
m2pEHe5yhcWbsg+CDarjGW6D5Vh6bTHTLsm1XYojwJf8QzAHuQgHQd6XXQrvooH0cQT4am3Dyasf
wFhlzC1AbEJE+eCOLu6WCI0nIbTONf0MeWj/h70zW24cSbP0q+QDDNIcmwO4HBLcRYqiJIrSDUxS
SNj3HU/fH6KyqquiqitnzPqmzfoyMzKUFAm6/8s531Gy5oW7GzW+7bQvVheF1xwVp1tTQ2oyKg5R
12vfcALNRUr80rCI2pIQ6sgfhwdNi34Egf1GGJJ3LKqJVJXB8g7gok237QkRXzRRDssYmW8b43kH
gNGxGr4EOdTicKrH/cDy9x4O6gbAMpLVTMXibPndXVdq2XtVtwQ6wbfa+qEd3FVjEWMWT1b08d6W
/RusnrnZf6Dayu/7ph8x+clhzzLdfA30StqreOqUG5TM8OoXSbzL4r5/A0cnGOOggAxIu3Xz2rYP
vV7WbuhA/JLmQzio5UXvhnTptEn3jvS3vJoDKeZV3uqvRVf4iN1oN3H5eaCnclgtRyPVwwBSfVmc
/BrFxcLQDf8ADRhAlVUV9+YQ1ufQLooXD8kDQVupaCkhMBksBabkdcTgHHTqGC09TDUXYIsqY3lO
h3tNN4dtg0mA1yuwrmDxUPsrGTLWniprBFqi5EdQLFgJmki7D4noPRYZ3W4TIBivO2tuf60Ioqws
Csk8ySeV0UvIZUX6r37Zcmy+0CSUR1ZSQ+UC4ZvUpamRfdplGdBq8tYqyBpS9M9hFWTlho2SSJaZ
2caWS/VDOTdGOEOwbKHt1LELuW3WmUcts9pVnmD1a/FeZEjlG2G6BV4Ee95xFquG4VBIrKNinxpb
heYEEVR/tQxafUbdDA7d2JzVy/QxCjP5pKdpqkKmByC5+uCOwOT8hlrOT5cwHtqHQemyH8Bm5gl1
5mtvBkAMc5EVdfA6MAg14GXH9KcWbm8w5olG0QPzqKFaBwr5rKL6hJSt9reSuifbhw4rGor+nEFm
L8xs06Q2e6DWoa/3c/jPMK8L69YGZkrxSrNwFgXscj0f50O790YORtKiMc+QOb5utW5sN7YmWBdl
mqO8ymBgmI2zHn0J/iwU+Wh0UrENQ43OWQeHc+oT+OIrwl5ItYGqT2xjrfRRtRkzGzRJr5n5I4AA
nMQ9mAsaXwaSH6Ka2H21IBcCsnNNrXksAqEcrGpK121aNNXKagOiTaMyHR+Fz/JpiZq8fQ0rWnSo
H1jhEfL3RriKGfag4FAkVLba9EhMT9SI1kuHXqsxqN/TaMudqjZMpmtm9N+VIrMXsDo1RuR6TJaa
YfZUqUOZXMLY8l7a3qmPiWN8g8WsYFE6F4MBM6QiUjmtxZDkct2K1Nm3Zju8jbDccaG1nXyjGofn
7LNI2gnpgwsIiULY+GpnXTx4T/bZjz0Ab2z+VCAvAIPXTgTceVVZMALjxGlYa1ij7JeMd6JndPzD
ofZG/ypw+TFYTIzaLVjU9oueBu6LvSW1rdMPDSw+QiWQ6ZgMXrvaoi+YCadN2po7RcGpATNU2reC
udfT2JAt36eWpsyzJB7AnJyKcTN5XrfxcHw9t3UbHGMGBz6jbxGFqwzjyQ18BK/ZQgu5Z+llZDih
qGUXdUCbTCJN+WLLKDV2IYmtsHcskitRpTCsW1aiZs6U8cEpeqLiABY1L9Ds/ORHqXSEaQ1lNJ0y
hfXToiES5gXrb3vgDFXfhdqML72w7V3Cng5ijTVFnL1sfxBPJNTqPNztK4qI6aHudNAWYHfBqpim
8socYjhooy2e06zh0iPmc+OFmXP1pwGKXeEkD4wu/JqEeMJfg0ZPj3pCYMkiRzL+xaHb3EceO5eF
A23q2nXGCKo+1PM3Jc6LncPeG7mrXuiPJgsX/DlgFj7gM49QxwGRzMvReaKueTalgtM2yXsItKnY
KF0HeRKjl0NKfJhX5Qa1vrg1acV4NRPZlxWwrXhRew9wRTX21oV9a+DPeRW8k100tVDe8vjsBCp2
qoZQR7pUHxykR/Qf1F3kGH0TgDFC/oSPCP0+2bfJB5/VEAHas4trXzfcAh3UIYNJ3SWugpmYpedp
xTJpdu/HRZY/KFbMOFIrFXEtIgh5S3xZ1h2LbcbvoPQsYqvCymnvLF+rxlXMHKpx6UEbYHhMkbgV
GYQutTjwbp5kJZ6CqGJ5l/Cu4jksrm09yIemDx3MeSGfe1ThZEW/Ph0n9rSslmyjvrRqUlx6G0DB
ohFCW0vclnzj/TCF9D3KO7iz+jwmLjgjPHO0cD606lplSI16qYvDVTSJhopWxQBRs269l6oJPcG3
M+19UnGmKwAd52FOLU6yGnhHnCQuUcEOvEOFUYRbFebfexwm+qemAYRa+CQeXx116Hl/g5GsdcPy
P23q2a1MWucaAlfaBCzAOPwa7RSjizsmo8lMmgyQaUMAt7nlpoXqkUo1BRoTidGC5147dx7w9cNg
NPTDk2Y1sGLDoH4DEcgILcGs8Z0UTvrlEZ25Nz3F/5gabQR6VMPM0AadiYIudiPIoPEvGoj/Vaz+
majGQPf9b5vGMH3/DN6T387V+4+vOvh78SqN4PyX/+gend+FsDGfswk0SPf4T0+7ZdJX0k5yYP9F
hUpn94e2Rtd/10wgFcKSIMg0+si/dY80lgxwpO3oPK7Wzz/6pV38d+2jNrvj2YeOQLl+6mwNMQt1
VGEauNp1RLT/JF5NJkr4xt5kuEdBFNcjLCYHD2GhjOUnTyTHlQica1+a9kYqfbpIDa9xrT7ydpos
CVwgW2HLpYO/EN16mzrpxiDz9S2pYmudT7IgHRw+/WfZgNJzajImkn70Twp0r4vtBMo6b5nsYA5k
+8ToHgJuUFuXQjHDnq11YXx6SZ4aCDVksMZyuh6d9hhGRnJAG6tSuMtmV07+TkowIcBKxDosnHvR
huW2AOV/k37p/IgViSgNdrm3qRCSrhkIYYJLomT44YeG99aaXruf6gj0nRyaDTiSYIt9BN+2JrJN
PZTAyrTkCPjOvmcx369GLcpJmxGqW7KHZ9RpUA619XTuSR0A9oefbZFiu914SQYfd2Lq89xNef7F
rkUe4Vnq5Cu0T1MtnBfARfZZt0pDXWgm1n5N5h5neZhD3WMlxyDcC2ouljFFfWEzYF42uRbf6nYU
exrYZp/F2icIfYJrYNvfhQH8kNCy68cEBtNOH2uLjLhJsFKOrfADyYbyonm+fSjD2rjzCW7+KFCg
+CzUTCZ/TF+PKSXNLedmOvKB83ua+Mm9MmMyLoxTzziAjGqSSZYjF//KE/Y3YtLMpY5rw0XSdem+
jGcjFecmGEhye8DetHSWmrfkgTd4o5Ts0Ug11KaT57iB3Ypb5yMuLGVS4mQD6VK0sTq33fUWTxv6
DEhQJMqyCsc7bC66zuwK5u96BIbQu9qU2K4Jj+wJSxcqmJpbrJkC/XWgB9u2GhjfzrDS+zBBdLys
7KBn9tYAydH61LW8etXHluYC1alWqRl8abwlVG5ZYZ5UtYt2mOsRKHkkNjUivevzyflhFob/PKAB
I8pET6/joCV7O/AkgQNZyeU/OCUdL6GFrKq1B6YbIoNypBiuzI0KcxHosx+1Ud87RoXWgGiXNfJP
7TTpY7qOejmcqLhbMH8aTy3SgOQ5QaFdugNmpbWS8p45kQpOmnH92wRP6qDYdnGhZrYOxI7b67Gf
J/JD9KM0ZpUu6LFitKxrXAyoZVOK4gpcn1mNkdubMaAhCqNnEiycU8Bv1yxNpWNS7fW0t2UQ+acG
0cFZn4C1NAFicL5lE81s1ldiU+s9k25PwPAZIwbT+Bg/7SlGROyYSrlVzMpYw7e2V2Bwz1Obf9bq
sLdjj5WuYHAuGmVdkSaTdnqxtUuWGkSMPQWl4vpqppEXODv0tUD+WVKZPp9qv5x6mgAlAsMDmaLx
q6bQs1Cf5zXHAc0EImrQVywsigIYII9jVtxR4s/MOoAXdXZLhkQPVnlZkTwxqWwMfabnh2bq8AAj
33CzIEsODvCedMk6Lb7DYZvd8jKp1rVFnNNKklWVrpqmAiNPhRhfnJ/f5/jnd1sP8ADuMr4XclfP
50JvjjA2+k4Hb90aSvz2d9fUvxgYWvO48h9+dxxwSDp/6vkNrE2/2hVGpWGQGPtio5r+I5A5LL2x
/gij+w1HLCLrPG4hI/rlnVW1lr9khwuKgM0PT0NFBAaKd7NSV+YUILthIYOPWDN7t4qS7otK0X8K
0mHcWWW/Naj8Sn0qGca31ZtdN+ucdHlQR/VeSzQbmFf4WZYDMr5JTc8DuNcdA9MSnHkCe0Ctg71W
pimx1jGcWsJl9F3WVbpcilg0K95Hben1ceR2soOf5AzpubV65w2bafY2dqJbQ8nKPjSYEyfTH8tT
whpvHfQzSLXprRuWZ28nU53VbRp2F/7RWldTG95gAgd7dkuT6ziNvZpACW96MJCbXPb6HTvJcUfo
B5EHLJw8iKaa/whZC8duP/n1kpfdM4CMg3VsOOqGPRuSbtKuVoketw13UEu7V3vVtdFM1fXJVr9S
4qOyocX5lhCd4VLH8aElzQ0YqxkdaNrAtbVgsa9KY2r3bLCVR73utS3sLoigky3yL0Duw1Uqubya
Vp6dA6+szkDkur0gjmirq0Zw55Wi2jK53KWV7TZdYLtWXjXL0p4pmxbytQet7/uHoYeJ1fVZC+8e
qdUmMJjKslsGwjmW1WNLbNySoQOFbq5qH0aheyxgjRwFOECvJuoRVE1mT0AcsSBvILP646Rrzd3E
1prUhXo4ZBiu71I71tcUzuGdZY50qpVl6zBuI7ShPqS4pag6MquAX90zRygeJEPtcoPfHOh0KhPX
NHQyWSroG043xWf0OvlRDtMMl8xoxny92A/Sch6C+RQBJkm5Yu1gFSzBE8DFA15AU1H2SQq9ZDwO
NQCryLZwQXNNLEeOqno+s3zJ6eXN55juqwEp54ryTd5P9tnNZ11SYb/tKw3KRDgbqhNzgx6Wg7H9
eUhyUhhuO5+c1XyGwgHmnAG4OHEQBGgjtPm8HeeTd5jP4Eozhn3W55y5hVaONzaOSAz6kRNdzctL
Z5X5YQIM+mYy3HJzGA0055W2Tn9eDNF8R1jzbaEmKkTheL5DSpx+JDAyIAqX5OdxBQmnYETuKGPD
7FAtradR5OY9EH7Dc4f5XmNmpsOTJ9bC3LDTrvZKVxTrer4nW6RvbvTzBs0K3/7oCxCEUATbBluO
FhaHgs0/Z2iTltvcwxbvBUSTEq8zX+kAgfhgkYOg0THDbq2mpVUtppqPiP0jVcM4FxAKlcQ0lxR4
tyguYtlHy6y1TDeY6w5B+eg5QbmU6Syv9RIWsZ7SDoc0UQuXtKth56EwBlEMXLqg9MFSkka7qG01
QJZ2YLhq54CiHnLSDej04qOp1dFOJ2rvGIHheQlyaZzAE9mXbFSBrFV1UK8ZtTtf5VRo54GZ3meX
tN05rMfwWWmj5tFjmFS7vmitXeMHCmr0ShnclHENzabTo6cJA/0kFb3dVkoZw2jlr3JuaOwRqe1N
1tVFsC8QQp2atkNTWfRW9TFU3U0w/3QdW5kHW7ow16lnqxubLvrJ8vnFI7qGXaUUiDMD0gBmtTY6
naLGrA7PTjmbU67vELUZj2mUyzN+e3OJZI3nIw3zpwJoaLjIWUbvdCWMGlQumJEXQWdHXLxFuyTL
BpW3ZOW6kl3vbCksxQd67/aTqAYEpwAAYZOPfNHWPZ4tscDDhfLNV3kbkYiYGwgrfItxKofghAvm
TZWt7J2yA6caDcM+shjAzR54LKZstR9CXxGvKnGHE47nJ51ImiUpOezuMy/cBzDpB940Wz4QPhS/
RToaY+g8JqKPKm0+fGZJb0UL/1JYRkIOZOxt+E8+BOiCFa/IXDUkQh+0wuHhV6wm4SoX4YNSklKX
6clM42QjUKNakcY55NfwwNQsTbTPNlLUGSv1JTSF2WeTY5fiTNQVtxBRvrbDpkSTqolbXsfGvhvr
9mjqjD98ZI2rHn4If9maAGgHgEaJCyoJlrDZmdADwBqQe0cY32nvfIxDDsRlSBMaJI/GzSJ1km97
T1GeRaV/YfI/bjh5KKy9WFyjIXTh7qVX1Si0m1Gq7bZrk+KlN83oxatF9RXzfXcdeA/briGq3RFX
XSYSwlFkyp1p5Eeiie8jJtgU/bN2fRjkKmbBj/gjCWrUSB2KQ+bHuSQam1HIzpYN964Xm3tmevp2
aopopVbm+ErEQgGsGIQigqYWw7D0PrUK2pUvbVJ9rHwu66cMdREIv2k5BMYP1N/exjFKZS1VwkTC
Kg0PxQh06EBucX6RSqc9BfQvJKfnQ/OF7JlyUY9r+y4j3EVfdL4ePWZFz2JiwjO/iNI4XVuRUbDy
YJXjRAU8I8UzJWEuRDjyU7vwPQmJZ/WsotprIaGfkV3zuyMN3/WtHR0QIDdLm18UQVSkAIiiHbmP
ZR1sM+K3Vr2T1JvCmwYaJ12fHY3jbnAcbRMiFVog7rRuKZVgiHFhdI7ECKEOKfR8raut9RaUobrR
uhAyuq3ELWLqkW9tNQqyDjOYT4sir3dRUr+ynTtOlviel94rQKjqe9Mp1j0bW67H4gllpMFILmjq
i+ZXY7rpw3D6EbFTWkDivKbY95D6cbeTyaW6PfISvAxlvRgJw9yIVjJTYoV5bXxyWvB1cBSXVVdx
JHWN6wNBfigsL9XICHV4vhMYVU+MJ6YnCd+CDAeBahWkwh2qLvaGOb/zOclyDZEzWn/F8+WRFZL2
0PZhg/a4qexs41iO8oiFVT/ratZ/G/GHV8/k4wI3jOZPgbyHmGJsqzCmLFKyY8p0zxAl4QU10G9C
36INNpGSUwT9uInc003NH6PEZbme0dyA8cYEWZ8DhLtgJwkUdjpREB4arTuZor3Z8Vs+XbDJMd5n
oldmWvQdmf4pjlPyEkiEf7BMr3zl+eLyYrF0308WSZ1BVtxE17EPCBOmEAQ6KNUGj3H7Opl1/yxT
R38FDGu+SBZJKGlrY1czJt9zEwR3EtX+0kaCCoYrSVeZQhpnFPm7pooYL1rhbLBpgwc2ufIyonN9
MxkLI0f30101oXfEs2AsrQzO19a2K0h5RWMNN8Z+cslYVtVn4Eew9Q0z3SXhWK4MxrsskIke05CR
b0wlnzazBQJMZx5tDdAjZCFSyY4JQO0uVIctNSQxKtDvJANmXXhnMyEBAXkvcP6kNVaxpgbP4O7D
TYc1B4V+W25to3K28GwDIHsh8jV0N+2a16C5pZ9Oq45EyFvZjfMGdSBiPgvTiw/DhjStXJnW3Xzh
2mCmNgihnhNlLPYATdpN7BUUZDFuaVKi6PnRXjw5DIJXU1uQ48iZAcl+TIqVGeaWtmwSpUe1W8d8
A+NMcGBPmBaWEN0iIKFavmyclL/RNSnCUwLUrmMW1qygJ+uz8DN9G8ScEB6IN7duIPXACku3mcaU
u8myaoENJCKlPuc06/uyh+NvumMbsx5WPe+YsbcgeeTDZDATxWLnA9NQA+9AZF280JABr9oce1Jq
G8vAAn6RmNO4Z8KH56RyLvTlSzTCPe9tSrwnCuz0GMRas0z7zoJgrUyrcDAD2iRQ1YvKjpNDAA+B
t8BTd32Vq8AOO5RrWp19B14/YMKEiWDro7IsCe0lKdVjS55lUUyocx6/ElcKjLWMNe9iKJ1zzCi0
z/QqzQEJcrsTo2SyxF5Xv0aKgbAQi/FrKnVSpooEe9osCDWtItoWrF62Qg+TjdFV5V2mZ/W2Dvsl
TidsthH8dc1wJpaikbrhG6Y/N7Rr50aJAMmxyV2FKbOPAPmDim+L5TqxpZq5H+rtaPN+tojbUIks
WRzaFy3rHAbkVnQFMGTsyjhJ7qywhhLEV3Dn9dHZ12Xf/onDT/tXrbBp/DQwCjLdnF/c7WQDa55n
6PZGGcd6ZRqzssvvwDSWJpD5hVPR/+rJ4EP/ydBXV6yXcjcICuUBLc34AcK3qFaJYQYr8t1w1fjz
vJKZDtTO1hHECarBZCiL7OeEU8gWhbA9MCAcyaraEwxpkC1Oh6j8JfP9v3tq/z+JIMHAAq4fOBBD
hTgASJ+Jzn8t6XLff1Tvv71nP347vfvv1W/bdzI5w9/+L//CfU/fs59/5Ibt30/tATX/8//ijxm+
/jsLHh5m1TBNYfEy/qYAQ+ZlqfhjLegwDPcBSfx1hq+J3y2DiTpVlOBl07r/bYbPHzF8kvw8fp35
R/5/+WNV/VcghIks2NBm+i0AJRRivzzGpcdqyYcAjrnouR1xpz2pa38d6EtsGHOOUbQMZ1LkRX/O
aH1Y5kXPdRmuw/QFl54bzldWZzBWSd8cr3PjYBukOFGVtWVXm66w8XCnu8CmTIXsXPjs7EM25G8a
ZYoyVhIm/iMpPGz5x3s9qNa6si/sb2QYyRzD3mkn/wcDskVm3o1NzNjwmBNv7MlvinK8nBp3/yJU
KUsjwirB8Jy6NHNn00oSjCzKKKLhVWMGIJZa2QgZQYRViVAGeo6wmNp2wsrTf4CFe64b8YAgJHBD
38IhoI/FqrYQDWSfTXIv2dIv2o5ag0AOsqV7gI4lZdi8qzyrETCvZNrperUWIww1I93HgnmBTO8w
4xDOUBT3dVvhSPQrt8UCAP71nKgUfyDJFgp8ChNw5TIrjVcRKRs+plWHHyRnHBB5/dqo4/VojMuq
YYwiKzeJ66MeNudG4sD19M/YokfLea3ox81FoWrXIRyf58tTSyF9Ak3Dl8Z+IEB3weyan+oH4dlP
C6YYDiFmhh2eyrnUGI5/97X5F9NC8Fi/TAvnLwWcXYIlVNaZEiv3P8BG4k7UA0ptZzVM6XPVKPnS
MOrz0JnbAJyoqQnmdZbcN3G2SVAOpcMGFeWBq7B1R0GcLkhVmnXP2ckw2aInWIdtv0ZHjE/IozLs
8vUwmI+6Qe5IFNVuqYeHMjuI1tgwbDyo41plEpONBSLn6cFMAqh2/apSnVPDR1iMM8/WvJjxq8Lb
7LV0uUDlMfqtmdgsK+LJyx7VVFTfIZ10tSHHG6Bsi0mcK7NaM2M9j8K5k4Z/HMZ2QQu2YbjwBBhx
ySO5mZy9ob5JBuYs3velnE6CJB7yoHyUENaABYanMh6zddGFd3Z2tMpkwwiAcsT+SIG5JonY+iiL
+S7VAoHKdDcB1bBxio2Fuc6RYKf8QDzfYT2D0fccFy9UJKcoe9Kq6lh5sMzV/ikb3qbIHA6FBpw4
ylTrlUCIlhC35IZEZEW+xEZGPCK9NNbqzJfXqx+C0OxFl473/th6RHLlNEbo2g5lj1xcTn8yVP6n
i3R+SnQLNqGNLghiAECCv0fSTH8Dp8s8/vKV9sXj7fMq9Q246RJh+l61qgvN64lK5t6vq13UD6eQ
jZ0aE+HdlNZdjBHejeqCOti5DzQic8LmgsqPEqqJz1HQfReE8v77pxvA1i9Pt+Tk5vnmAOf0V4X9
CxCuLkpYhmrkrZhHsVzS9L0X84IZP9GtzissWqUksDcN52Lhy62SckjRcL8D7xyKbAOnF5WWgl+z
KuFmF5bFM+trq1wLt6RfYAGWyWkMu0cO1g2VxDmM2sdCUZ8nHTUjNDHfHB5TtjSebjekfFfNwgth
LleyyVeDbXM0dto3Ea4trqVGQSzZo5aAnEjCeH8Juu7c2+2BDHG6FZkdMSJFa0TJb6VFNaLH3ZNU
k3vMMLBnTfShlGYMLIqnvlG+HSzGSzuU31JJHmsZ3dIp3FRdnaxN9btImPwOrGPIoA/9cleBuJ1s
Z9kE5pUon41u9w6B5x99oOxYii5ID13hRPIJwANgsAQ4A1gXY0cYbA1vYK3WHIUSnuuG24OVmIsf
YEt8a0zkVfsSVc0zQjbOceM2xeWzHw73rZZNbkdG9qQ0W51YgNIXW7PMHs2g3wrG3lkTfXqieEwC
nLtkP0lym0nidWWEyioTu7zoz8yMXKDkj6lKB9mm0m2Fs3JUZ0ka8pqQuzUf/Z1Qk1XfsRIcwpdk
KLcdsxu86EtzPIr8rvEmrNbmunEgyWB+UutbND16Ul/GoY0N5eAg86RQf6l4CzfQKDGZkpJQZunG
jrFd90wkIf59Y4ZaDo08t8Kg745eiZgkSK0mbmFGXy6BtICrllbzAon3gQVStVBK5IxVT0JtwcjR
jD7LxCASVwMqm+48xXkxmD14Sv7D9pX1rLGFNOndgY/mb3T5uSnjLZ6INS3NY9rLS+xHB0Mbe3eC
aATVkg4IN6GHBcfJ4elGvev57HWT+BZp/Rbs7jaFDEenRQYD4qJnPchuiEXvhkq/Jo2Ns0vezKl8
GmDnkBPd7krP+p40/eC1gVwRBMOIi1SUkTn8om3G0a18O6HEnu7in2ln+X1aUl5YlXg3wPWuiB+7
5CSvx8gvkUo3N8HSbYFADTOnM54ro2GBbu+7OV5PF5h54l3MSgQgV7ZsVHqnIHpSa3lrtZYsvOED
g7cDVDcBi6lvlX5wByHOqUTTZnoMS/qFTTBnZUCcaJWjH79OaDrJ1lw6XnCqu/BBp7EdedqNqPie
Qm0x8o6x130cRv1FK0H1NySGqiWBhh9dbH8z4n4b4D752rBWW+czMjQXywf8JtO8eM5XylzRclaG
cqrsU6GeTP0+ay9RF54rheG6TvapfunAdDeR/ZyCzYipOuZlbAZcpCsGV4u+YkKtsh6dcH2znKce
C2Y4GKymvx3UvKr22vqPlp9upE2ksvGgzIquur/krcbjohwjcSFRslgE051Av2uN5GpyR4XS2LH5
MtlQxlg/HTjihbxX+08Hf1dq6bcGW6gc+V7H2s12zunAVC95ED5Te85Ksom0GA+P6frhR09UZtp+
D6QKo5L+GHQ9WZM0/aEUhDfhFYhD9UfXRw2TRRCbcY5avIzR7CNl1pCdNE5u76IgZsXYOTVwp/Qa
jgooWW00frDsQBqs2G6uW/aaPTUL7Owp8EvLnSL1yYmVV2iwL3k8PZFvc57gSSw78mVx9bBf9Zs4
WQFyzFbo9FuX/dZn3k4bxO1bKEULBMrVUtiUU34wPCpGiThAFCt4Aoi0+veGUWOrVjui4VDVzmwP
aX2kXbd3+uDLHtsnh4TpZRlp29ne6uY1pYnjpfHKs1iokrbrRl3zlJDTDXl2RaF+lxf6N/ldSzpn
v5F7w8ghsFdHQB+cvsYxIH5nHJuNrZeaa4ByWlfGiKWYVtHtSyd0GxPhQG0AxUlmnfD/CYhOS6yW
Mq0wnXNMusmCCuwpFOmtmnziNPMA9kHtXfRA3fPeMKoEU7XQCo9sActqmDm17UIoNv+TVD7+vGb/
G9rR+Uf8jWiIbumPH+mCK/qHf1j9NPo8tF/VePmqyUj4q+Rp/i//X//wD7zgnym/JBEimjlXCv91
f/n0lbxDIPvFNPSff/MvbaOt/q4j0IInKfl5GGToWf8wDlm/08RaDB4oOlRTanR0f8UqOb/jgrQc
LBamBlRu9i79YRyagYagO2e9Ag2fMFGF/fV9+KOU/3fSL37ir8WPadIxajSwAGlpIH8BK4WxHdZQ
k8kDFM1FEs61TfH0YtY327WjpP1XZAPEUCAsYpFMx6U1JPW6C6S+JcBVZwgbZWLVyVk0gJ3HfKhJ
a16rk5cx7kRYGSTxcLJ+joZtn/Wr5+TrxvbMH5Xm5WvcqYhxLHAcH4ClRc35hFIO8Fkob9JUg2tT
ZPWxzKuchksj6mtRtcI+WMNkE4PVg7IZYCclfOMwQMY+ARwtagkGxVn/Ce2gWiE9P9hx392kRqic
mRcA2Xg7Qki7o8XYWdrhmhDZAmJRZVS7vs6j5yy1jIIuTrLA1pIBNLxi2Ap9HcmO9/HA15QVsVpQ
kyqOeWw9O8w2g7DM56wS3asj7AlwuEW8b+FE3pNA9c+MTMTEuoWlDE5zTHtOMwB/bYGUJrxvkqS7
zoh5qHNViA1ZcI13/XhS4VuTd1f3n7lI0zeU0zWyvKSu7xvC8gK3z5IO1o1qXj2BKKHRdeWJg1Pc
lJxsQu4Sq9vB6euh1/hsynUf5+g4q598OcwvPNHXBR0bs+iM8Aa72nJL5HciCVke8zFnH7ItSJgO
BKiOLhQaL5IGaiHwiGxiEan39KVAjGKLi93L5zQ2WyHgzmfpstHIhEfjznlpBHipurrf53iEV2Qq
Kqjy++DSDiHjgsjvVMTfmINS0pHpuNqpf/eDMtqz9u6PPFAtI1k4MPTTKYESQBeteZ7qdkMNlQVW
jOtMldxaShpe8Vgi0B6U8qAqeULoM4v81B7Ke6Yl/iZPc+qdptfvAydmPGvjg5ZtSiKlQXyxptCD
pFMs3sppmvZEN3vnXM+i4xjxoKJPsj5ob4c1HI96F+cM4PH/P5VMiUlbzSGYt8EZZg7eWacqnln8
oAppbeM9VNvxEIrKWFLP5dTleLhIjnthk/3Ktmhc4GHpFnxM15qgQ3Z9XC0GSAEzfOSW3VZcY4XG
hROYe1mswdqDGSG7gRWCTRPSFi0J3A0XD+Mn7syi9sMnvgfWsVZTeXFiU5IX2QzRPgGrdKstYT8Z
OJxiblDUjwAvYEIsikFHoEd41/iolaLcxjxTJ8Hbh/qkaSB1kbWJfHue76Tsx68Zc4gT/a2+Vasy
IYkwJWXLQ+b0LbqkWFegERrs1R72jiSFmtHio8eTrmJ6bUIOCh91PAtSU47nwAiDB6OMpWtFnkD8
SMrWuRhKX3NHZtIX2h+sBP0YpCvI4d1rwdZk7hn7/Sgy/C++HkJi07uJn4TpP+la9YJKztraE86e
2cbePdnOoD23qdVv5X9Qdx47siNpln6VXs2OCdJIo5EYoBeuVbiHFndD+I0bQWnU+unn88ycrsoC
qoECGo3uXBQSiQrhHk6zX5zznWGcfvpZrDFAiAIlDC3zTz7f8Xfk9qwUPGmh88sRh1ytIHNIDIQl
weQiUuqSOFW+nkxWyQs70b8TupNqO4QVpYAm7nuLXDG/RHA8n3stQnz0UjyBpbBPbP0FvySjrvsI
wryGZVmB9qjb0Nl2Zhde5iGxHnocLUy/4/ZENqn+TPgI81cNbPGKc7g9MS2y14E1s4ixXezkSead
81xjAMjqif5CQXo4ukFp7fxqQNhn9cmJfUYKnBKRMZkJhmU9gzAbGqqfzFjz/KozCWf6watD89ER
o2C8YiFTO5TzoF7CTJtsf8up/hzmYsbzBUhCmSVdWC3RX3TeIbkxVPAbFEDh0fbXKDGKdAuSgdA5
GqPoYJuMagY/P5t0dwY8KCqXEkniIvJbazeSFA0ogLRjyYO7bkyC1Gv+Z2ENc/6ElwN7I2lrwOL8
Cx6/8C4dtfeZ2n58NwCu3Fiwuw6EvvTH0CVASbHT+pnOCCxQho6MSAJC0vGl3swztyCr0EVgXxHq
0yXkiaomP+bTxOKskN2wJvnqJ2DRYp1ZhEKgunPfjKjauB6NqUs2FI8+AAtAEVEl4Kkmaf/LKeIv
RhVq7TakF95kUsu+MNC+2tUhpnrcyk6i6bPiizActZKBazzAhVI73GH5HoPYwQxribTAHc01e63p
fSpzkDHYb+oHwUKCROrQKNc1TcScZ88wMcYNuk0PAV35njGh3GdlC9+rjn8mRj9kBwEh2V6Ufpeu
htChNze7edy00M8erd5J7kZy0TdeWrbnWogj4t0f3VjunJxI77yZwbmNTbfU02idvUKcLKcFk1JE
KAIWbu1TOg4+aT0FEw3QeHjiFk05U4+O8sZXiEz+tSscva3s5AB+BpwufoxqWs2RSbtree2kF3Ex
lLu+zq56yrAQZW73YWclQlEoSPFdMrX9No+sigRm26geqzart3M1eIxCHI86oR+7o45CNv1C1/g9
J9bec2fYX5BZ+3jNFQ/i1inbiGLGCLNlOXRxvwRFxj0QiwY/4sT6rCGBM3E/c1J8Lspth0ucRs2C
IG3EcMAUF76P9JLg5TvCKi68LJeiWU7Js92YFVEVfkt0lsUG7jUICCzj485OGALj0BLZgMSZWVYC
/y2oHmMkUYuilZoZPBILXhQxvmbChpyWb/4wwgronspQwti1T5IcoTJLc2gnPFP1cKeQ7v1sRBr8
CPnByEnakbRbLH5aG2pT22X9UqgeLo2brTOoegfynbv7MgnC11TqcqvnQX6zvc/eh94pN3hXJIig
DIIeqIGw3g05zR1dJSEXvHhUW+zI8nvugGHbZWl/9iRUL3oI5zWeVcrGzsCnKrwQ03Rl7kumOVxI
iAHmHgnA0hOxR3Qq75X02/lTVNLcEdPdrGw5QxzTgNdW2kITRBrw3KYvk5siD5SoMyThT6VNanVD
eJQJHsgbc7JfPN2tu6H+gptLPVfwUUzRpwiTXDEO4hXNu2ZZbDDymR4Mu4KEVgzOPi0nuYt1UFwl
5xnNESWFbDREXg9TQNmi3REzUrCk9rwHF2rRKSQTeKPLhv3ugF8QMKXYlGzDVyRXLyV69XPYd0ch
pm8LVSdwC66pcSmp9n91WUOKmARDJSi1zj6RDZs8HCpUwTDZDKK8zWbgVoGG0T+3uLRfJqfLlmM8
Iku1xrMZgtBRjO5JDEaZgb+XZfkQ2sCHDYK8nNLf2Bxl0dK2xw++qD8xTJh/EjEKHTMxibeMwvxk
lultGIG9f+G4XQ7uoowVTKvUWcvQNHYsgqMDIfbqoey5y4MO0k3EFPbCEomxZDAHDyYxCydt5inm
LiNlGVOm8p4nFJgmErr6RB+iH3Coyq+ZkfKSLTJh76NggNEJ94CbXX75UeDfucR9LeIhip/suqqO
0nSdAedmHn8QFtzecWyiBZ7TAae2+oR35u/wtmYIT5LujFnR+3CclmTvJEeHBuAPjclECtxdOVWa
yh940r7QIZsOjPkTpwdmLYx8ObjqotuxpiVRTqrpMWCFQLRa3R2KWAWr3PDzgz2m0+uAjvsy6ui9
cFVwbwZl+sFyG2GnKmPwRfYWiky6nsKk2qjYtda6HsPVFFnFucaNnC3KIFyX1E3r3ORw7nwX0YFm
yGnSyvA2e/pSdRx41I/Fe5TH8oefZ+mBfCQ+wMxOTx7eU2J/wq5j4xuH0QN2EgPstNutRTmPn8FE
wo4bc+8FnuAnT02PeJx7fMRrdyxU9eJi43/z2HIshUYB2lEQEe+xnwkm1X5b7i2dXcce9Do3KsZd
DH3FypQdfj5Sl0yT/CLaLLSd5fAZx0P3nPqlPiQ11OY+6fs9K1froMaOQVyTQlXRabAbIg89PmYK
puTJXmW/ht70f4Veae8T2DMeJSxG/iGrPycjmo5ZD40KUV+WIlwtjG2gUUKAuikgUQy8fc7gXAzp
YTWN0vp+6PKcYNuixAdcVWf8Hj1MeeZysUgUC8GGcqLyjV2rJgwpRFctxzCenoIgbqgXkuyaWv7M
Symztc7n6JNmTOx7lOlE1RkObJu2ejGMeXhM+5lAFGJcrQ9QlcYPFLPdporNcgdBCxtm7OOtwxup
aXqwdt/XpH0sgx6ZiIfGbtn7PnlVJUFDS5b/7kwn18dEOfH3YhObvk/5OPDJGtwtxtRhkSPiso1o
6ZIDqQrJULtjggmjgiEdb3Xrn8YcTGlANODYM+L2Y8GUbTAPMA/NtVb6qxrGHfjQZ++moHQtJoQx
V+IizfJp13gqZJFYV/veLtp9yqv8qMyiv869Va99uPmvhhT+iTC/4NOgZkKhT9LNsq+lv+XP46x9
3as70qHKk9s6+kMRiEVtJOWevLJqS6ykwS04jcbaykRsotyV4JJy2PGnKs854kke9rfCjiTJ58SV
UOoX3iaoE+/T9NFPsioGmojaSP3wXYPRL5re9LWkRFrDRWdpN8zZO/iLeAuQIt65wh6vbh5p7o40
B0SMp4mzLJ8fQsPoD6mcRxLaQPAsCKaH7OYrsQ5SJJUzk4pHX/v1NURDvXXroXwvud844huErxPT
TDcd6juvFSY70haWaNdimRHEDj60sgVG2RV9/WXOYf9s5O6gFiBukbzKguF1N9kYZSbhfWSNXW1V
w9AdKO2BKC0WLdMU2/deaJnLIbPj15t+7WZy7qIVWpXujsw7cagDITaISvR7B5HkM4XVcZ/zuEPb
yopzUPfynNVwD9FAzxN7nxxfHY6o5j6F7XShuCYKDHjltKsTwVFTcYk+hjhQfORcJLeUriZO1Zrr
p6Skhl1Qwumdxvax8uliTiKEx4ChoHlxTZx8TEzVcmrSkGG2F7OWY9m08GesTUPuQoNphvkAyq88
VNU8vANT6599qtCHToCSKefEftVijA8+25Kfoeq4i4JhPhMhQ4Yo8LTwVBNgdJc3PZYBBvYLqBdy
b5b9WMGDm1FmFYkrr71jROhbUTNfsb+mxD4qBJVOCjd4IRIfxpfCmFKtQ/YRR2MGomIXHt1uFbAG
n1Ra3nGPlx/kGZavvargXWHCuku9FomjJ4qL7Tnei6tSdUA4Ny6srperwRD6LKuJEitpm5QRfBL3
7+SRuysI/9ElcEaxrRsLIIoYUvdjhrdK0WCai7b0sqORSqrOOIGAb3ROtVYoLe6Txg3503pX3Amc
YGz7Z4ZWyAbowXkd1lJULtgLe+kGWEWQ4htpA4GQ2YOFUHVntbgWayNjo5IRYV2kTdev87l1fxoO
/cUIHS9c+Sl2RvaKlSZziyQgk40VOFpVUd4a7vgUB0l2FzsIh6RAjHXj+cT/zc7f/4mjXQlx4D8b
6x6uWnf/9n+uuvy//3a8AkmM679XCFl/fP2fmiD3N3XLqUbeYzkOg9S/aYLs38A7SdqS22b5L5og
W/5m2b60PORCt0yVmxn4z+GuLX4TCpQ/Mg6HyCkXI+6/MNyl5vzLcNe4gfcdYE/yJnn7uxypXHSh
1eFE3eoADIFBwYBsxGQBjM2iP5dO6hZrPwBLR09OUs2iA5O2BuFRsarrgz3BidVmihSxLPkYrWC7
q1UWdeMuo6JYG20Q6mVphFax6ZgzrFCb0xwGdrOoinYC90cXmuGNfxtvkmmF02XdVGa0Ay9QXaxO
pG9hHeAoVkW01TfR9UDDAQPR9/cUCSiZb+JsnUf1AU+Ws8C6HF+9m4hbEZcZr4Lftd3NTebt3QTf
6U363U/wIFn3sqShgk6eit9V4qi4vNPchTBroNG0X0iC6MOwNorn9iYzbycI/MeKy/w41Z44lQDX
N4FXBNxMzi8nmUnB9lAesUNs0fGnIh2WgSidbXGTuGcy7SFgIHuvgB+vxianqUvJ2MSExGjsJpRP
VTQ9dylksWPD5sVeEsdyk9YzdrxBB7S8y2unW0QCkmFB0OFRJqr86QABYvZRGqy/DKiEvwv5b5J+
hu3pm5JT+RYS4LIzb9J/ha8ALJ2MQMDcLAIztqZ2SatTf4K9Cw52x/h/i5Y+NRd4DuV+MIC3c0rF
xrNhMFS4mx2F43ruMv8bVyf5rsC7GAdmRn2EcVlejZJV/kI4vb9E+sCi18zMFXhVvktcogVbdnbd
rmHu0Gzg81oDiLBWc+ZOq+j2/7Rp0Wih40484mXV39XAX2El6GBfSSFDC+v5ZJ2+NPYAt1X3gh0s
UXcKcxVT7xrypBdetKvsva+r6F4K9OlWCfSVPzfpiLxtNXPdqoum+4C0c7SU8JYcvqW4r/kVr10y
ghaSgIUJiq5QGCmDTjrH07wJuJHFAqtQvY8cY9royAq+p9Lld2rAX8ETsqIbB5yPSoSsrhKPym2C
K6LOFGlZQGqNHC2BOZDN/CqitEHND4TyFAADX5k46x4KFvt4nPzSijcd+UxLASvoMXay8FtW8KrH
oCjxkd/4y7IA6sswr27Ruw5UMAvfy7pul3iG+QsD2nSdMcG82PxYuSKwwf4Gc+3xSIeShG3SExtQ
qLZnGjw/TUnaXw9REFNtDk00Q/ZMBHMmimI19tLBX60J+RWG8hxmkjP9D+pelgRTMro3wy9QZwbk
NZqsmOCBBZPfW4iEbHKxTiguWGiMnfk1TNA9jTZmZdPqGVFcFeaE+hhmIA8WMggQ8JnvP2bj+ClM
TIeTVchPCrtsR5ho+8juBpNtR7jPbFUO2Rch1izLK8fXEUbpFUkuU2e3TvflxCyvxtkGCNclpVel
vsDY3mhe6wwVc6kHMJa8mVnLYHRGniunOqZ7dP2OBS6Gzh2MAXyuAn6t6Ev/i1wmK12NrQHKQ8XR
z3hOBgjfSb9xq2A6z3iqqLgb49BOUt+TsQ2fBNEYOi3HmpwfRj3ZWIGUrZn9zihEyFo2V4Muwh98
E71LmHndN4kFosbxf8C9KdeMFFxmJZgVvK6W67j3slM72fKH54QqYeyPGUs1NMvLNsAdWirOHnAx
FLxWSlzGskdJvmfkXhzgdpXZykN2zApYieCUJGrcTW7sraMas+V6LL3gJBsrw+dumBUq8Fo15Y2g
ZV5l6fgvLiEBawg8/mMxZw9TTrBuOI4MgxwCVaRxW/iNsiufEb35R11m4xL1YfzJ0sOBdjRPWIM6
c2vfrL19Ysdr2cQe/t0CsUlsyFWGPGctWY2gu0MBXtzO9JzKaFW1jnFww9H5yMIGzVQcOfVW4uuH
G5bFZ4Nz706TxHjxiSFZRRK9lVnUzaPknL+vwp5mvi68cdl3abV1h8i5dzsnRfFBtJel0OaD60v7
dcfG9TjrMdmR4hXviEsANuuEKFL9CPjKIPICPwlAh1U56OQulHogGcse5p+hAd47SXX8qBHA74Eq
Pfhz4WcIL3hm0UX44oN72z+SX4zwRsrJfZhvzTFJ5YyxKt/UB2rRKb+AxxjxaBXRd5Kk4SPmjeBZ
lDAHeToweyEIxKjT1M4ZoVh9HbR23/Aw1AhUAB/TJeodsxAqUp+2a5O7Ct1n3A/qQZMOccrq2V2h
JBhOfW04oAQjhQM1sYIDmakAqsxwgE4Ux8ibZnvfGn2IvsJq240ykuxRqkavYZBCp5iZ7nzhoYuj
s1D9fDU82wKbAHdQgG4u5DJBA3SKYiK1aLFAdsHkOc2e7j8IW0s2pmOiI+YW2/a+Jg/kxrwjxiAg
JtuynBwChF2eZ8+l9Z79Snwh9LyBbzl+02bCLcyqdGaH5TWfwYyYyJpzsemHyjjM3tx9aYyPm8Jq
+icWFCGsf0eSHYzz8UDgRXoVsc9eMvdFeAlTOHNsQmuWuay7l2Ht2ns2wQROMaDvjkBfrWOvgQ34
htltSzuh9XQKTjqDr9nHVohfvwrG+8SL3G07Y+RpXK/i3WR+QFZDvdRcJ8uQ4J1dOhbN4yBrGAxe
oJ6bxO/vo37ADqcn7ms0DEfPcM9QQfJ90xsOxUCDSkah6zrBAw9//lfJKv5eVfHv/zRN8n9ihe7C
ABaAW/7TKj264gpC3P+X2vxvX/mn+EL95kuKaVxmvvenMv8P8YVHfY5W32GNIn/Hr/5/6YWQvyGG
8PgC7he0zvJv0gth/cZsQaChUNK7KS+cf6U6V/+QwUoilG+jMkHewbdzJAzZv1bpJnDKMDAmqnTL
metl1hG7voDTA2ei6WTH88HS6K0JJ4IjmtpFaV82KTVSONWhtWoa4bCaLKv+aeBIIX1KtkgUMwLg
vbFDgzFE7SOBbJiWrAJVuNRo4UrO2V3UFfmRX0ivoBYPLOg6d7ibpDeMJ7cw62MJNyi+yK4Lcb+w
EIxXN8d3dKwVQ5A1IcLZowNNn1wMPQGgkupW9I2VmcPEVJw4GF7h8i06JCTxDUfmcQ7nst8Rm5c8
9p2sdhD1FEk4Y/4u82IE/xxY3S9eHNF6cFcyEoPt7lk1LuFyCKfI7hm0FWwH+IWcmoOLfgJJpY1e
ze1RRdmVKjbxPKCfasCYnGOGPGzJo+qWraXQeR/YotgAATnPIa5BHlG75JbhuXNmZs3wU52YwZ47
wMHDA238KLrAJ6wgm+JTgbDhWhHZfWpgiSBNKQoVH0ehzHnlZVObL7Wtapdxcw3QriAu8D0ciu4j
o1WA49e1xZeYDfs7cpRhoD4oyxPscnADA1cGFRUsJLovH66d5HbYWYYY7o3ZIIbSJkDghukmlhL4
W7aeqsF4byqHUyao3KbYOlXj3htCBuVKOGGGIK3piQUJij57LuysnxZma7b10pndsliSmmh9uyWM
gCU9RfYxq9YmgwL8GermG1IvjpmwL6OyrrHAqVsH0iEwPVox5n/ULj0Ve1Pdl5NRct7VLElbkARR
4pnnCtKqgSA50QN3v0SbyP7pajYtKw7qg27JGhBFUckWyahbsXYdoiX9sWS6GnswfGby3LatUxWb
gk31hgXf+KamAOltmPu7RqbN61gW8ZvjJ1y19uwNoIYJUtNBOz9ZxTje5yF9n9OOZE/iuL8kLL7R
xAEQdUD+38GQ8zcd32vLsq1ZBdYAzqlpvRVuDXMVNvxKw1yTE2bE853REYUD/y84WFZb7ISO/E1u
u/lWmpF+rXFbL2FzUkI5emG6ghvGZ7DcH3sWbJTsmgEvel3wLr2093HEKx2QLK1iZFbHim58he5u
esGMWLJD78aD3RLoGKm5X1ami33fnUBKWNrh/ce7F97DrpkfbNETsJAn44XPur0tmY6Xq6iQ+bc3
OO0Drk/U1PTiT3M4zK+IPt1dpmBLbIakUv3CRqX+mkW5eHOKhK6raMlDjerkFVcTekav2zkp3zsx
A4x9TYpCeRK6+qiEbh5y4K7XwScDaVkJ5T+JuGM9G2VEzySQJTG0cqYQxAK/ZD3Y0wzNxBXXYQZv
iG2vcV6EqMILAVzpqh56/XMME3Xxatv9kURGs2ZDH4Sr3m36R9tTwW4qY2sfk8XySzWoExe49NEl
tKRwXBJF54A5CC0uOCjr9fZBeLZnNX9jtxzKlTeY2ctcmeph0uO9AlFNvF0EVXGppDXwOg0yS0HO
WB+2DadhSyJKjiEiywISPlV3IKIkfQzGOPzStNRkovbj9Jayw2kXDUfzznZT2mIKOVSbdUG6SOPb
VbRoUuE+d9RpAp1LjBE3k+FjrcP86tYOT3/f5SWi4jK7N2No78vSx2laW954kiJsrWU4xzM2gtZf
gRbHlBsjlRce7CZSBzGC1lO1wZlttgsncOoDCK+qXNVZTYudW8CGs8mTFd6YqCOd22ZUWqS3ZY0L
vJlgJtE8smSqiFkAx4uIq2uekqSK165rV3uCDdwjTIDgMcwc54Pgh/SQm3PwwxiaJ7PU4wlKLbV7
CeT3gfkLg8tiSFmBNrNAD26H3Z6wUoGEyUCMYFmTfXIZxd5lVcqiFBNKdEnl6J99Iaknk9lg71Vg
Q3hgShMO9Aot8Awzzp6jPpQ/RGIM674PFcERkfmA9Go4xI7vnkhC04c47TQYog4KLyor/6IRb+z6
YmTEktRGzUPWI4IhD5mA9hZvrwGYoYolFGC/YpU+iReXwcsDgLHwKNrePUxoc69jU/lXI7O7LaU7
vzPb2voXhTK+jiIWz71FTzU7uVp7+FNPYV2Xn2EQDleyH9BLhLZsARgZKetqOFD1zsUAilWizdB5
W/l30NAmIJ5S3q4zWnvTV7YxrYRkBtMGY3FKBvg3BaxMxIiU4As1SMSR8zTto6hPwW86hstSwdPl
Jh5T7luv9KuzH3G8YD+RmpkenoUrukDGHpHG6Ru1U/fNzlh3FyvtkGwUHrN1bk+V3wUkvm/yLp4e
avDHN19rUz/khdL+siHVCChIopwlk+j4lPddxeXVu+m5aUbAo5EuDhGYAwi3diJ+AXbFeW2IbjCX
sBDioy+nwd8I0ZsM37P4lTubBNo6LmHiKr/of+TSkMcs88otCd/+i49SYIkbqKMbRjiIhlB05FHE
EOr2cd/kz3Ze3caJbZMcQWmazjHKkdwXpemi4Zf1Pib5DftykxcHpIVs3DGHP46mJw4OSpUNE0nG
Nh5iDqRLw/2cI/WwfA7dBeiP9k36VfENsXV+MwcSfLO2olafvWyVEMLxSFyHA/bKFikDhMZ9a0WN
84bZPeUQ6F8Z7JO6dO/iKIrPWVClbwVa3jsKtsrZAsiDmVQ1fnbyp8778GGuLm5qVtNBRYToAQ3/
zVcYhw5rv7p0njFvpXt49xmmTLvEYZOrRr0kbtvl6zLzceDINPvIMdW8kk9JJ5WIujyCfvXXEZ2K
uUhnMe7EmEUHNy66/TRhlRNthfMqMPDZ2RgcjSSJl0U89D8mJPaIHFLHReGi0g9vqpHqRZ3t7WoY
fmd76iIM/ZbZfwWy8dckgS5rCqO1Wd64MXZzzWHL7eC9pBg6Unm0WgSFkJy3g98/Waov32rCMre9
g7ptoXroQewypLklyJLhSZGF2VPMx+StGs2RTrGfdzHzSE37bcWP4ha7eOgMXGDLoivbkEQs4bz7
TTv9LGFksmnkVIcfnfmc6okOmm43M+uKliHk8KWJOLRZ8meewdN2EswzwSQfiG4H3kSfrJFJcH1u
gwQ95Rx1GMqmnCfVJ+VwVUyGce8W8XNmhur+xoNENw+hZlnYQHQ6QpiA6BYjYzWzML5Kqc3nFqnf
Lskmrl7C5TahGTlLCCP2MzqUgLd8A8thUepG3jXaNNFXDM560DXIEcYEUL0jvdcWQCbCaML7xmtL
crqts9KxdXYplZnamMMDq8r4lM6ZtUmNmJUyDnsokEMgIrkEr6aQqRRiA3AzOVvjWJ/C6jbMgLEk
2QWmYXtXzxSLGBkkVLBeMu6c2yKysVrkhnsEx9m+drTL3soenfC14qzjBpvkY6kGkazsjipxY1UI
jXEJeT4ZTFidXxLseWdcqtF9qFqkKpDVJgwq0zizduur98a13BePATAoDEWwoZP37mvjFvKBw87C
TsE24IMH2NwQTIcCQBtM9nhm8ie2geEd6pOaExXAJdre0jswVIq+EX9q0F4DiKFVSr25Z1vKyCyb
b2lNjmobc1fqVmzsxm6iHRQdO+fUnCxj1UEDJwIqE1W1nE3NX6kNQ3vpdI2K1yDHpFiC3TCuhuE0
TzlxLdDLqNlXJWGLFybE3UehXKQTwC3yuw4dWgWFqF02iUGJMzm9efGINPxo0pEOLXKIp7g0eWSS
KVZVmVzJyMFB4hsBCGAI1AicTCJm7N1YWg6VJh9l0hCE/xaojkanV4GPK0bxUUUZUjUEH2Tw/1Zl
fluKu7P11jSGE25bFx28Pw0DSkcRxtiEPT096KKegHIkhfPNbCkstmWl62kTmO0twkchyFplIR+O
S2vfUNpZVuAY9cBIc+ll7EfhkT3yzAwLaWsWJW00U2tw+hMb3O/qTufHEQ/BG8eSfHSBdAHKCfxj
3k8tlqi0Samm5jcIeMpg1QALheMXo0/NGgCxF9ZZ9795P/mXGcn/IhICfhETljADg39uT7mL56K+
6r/MR/7jy/4Yj/j2bw5MYlqyP2cgf8xG/NsWUvCHVIqP/x+WlT+NKcLhK0hL4B+8JxaDi//YXd6m
I47L7U3rZfG1/5oxxfoHOKcnIXJAGXIF5j3YCtY/mHJHki7z1NL9Lu95TBCGlPT/lSZ9yjrbdePv
uTw+iOoYOX26LxG4wW2Qa//xAfunyTr+7xDQv4OE/v57CMGIRimw3O7v5uG/W6XafmgUZFP1O5eJ
L0Ika+PYKUhjurdTFB0dhhnufaDjcxcPxANKunoRBndk+7Wc4PZzV6lzI7imXuf4bJv50U7Gchl7
EGwDWtDBVcfSgvHFPGDhyPZh6qatFTAVkCUKL7N7YVJ8muSwHoN8nWhc9+l4GdLgIGycaoZLraPf
HB1ejAQmWyLT5y4G10xq29VRKfIv1aFzoJcpF+iNWQ7wg1YEFOL8K+L3pimf7Wkk1WXaJaF9T+SB
DRMe9whvbGPb7XvkUm2GkFE3YN5hPrknCm1rIyEqTUhkDSwNqGJ7781I58cQhALXzaEJKUlsRa4P
GdeY+0xVPeHw//AojVELpWffYevphCTmjlCIdraM38CwY4ucD3hTvooo3nnmDwzzL4qY1rBVd1j1
H90AiBaeaGvEAUdfuRCk/SyJs19C6Vm3U/azyPpfcWW7u262aZBS91v4c7BvpIj2eiaZuEo7ELpq
PrbWcGd4XbNSYZQtBro3e3KfdBbua/OxyUn1JqVzNTvDU8X1bBH7A88l4d1CLYYKa026busOhyqx
X7TnVdjmqJibpyofv3vt7cfG/Jip5iYmLpTpJVOheDPJ+CgqW240wkJEqliM/Rc+XosUMgcTBZZL
SrOV6vEZ9Gck4u9BOR97TKG18tnJqO7FsjEJWr8Krc+N2ZMJSoHmdNgNR4whVgv6rxaU00G28scW
Sh6MSfYIC3PM3hUfzSpyX2KqkUVg5r+QEgWLKdJ4FRONRclY66T9NFvMtQGYNzROh9bFLGmh0CfB
NtHWs6PfFJKlCxFw6Rs7xyPMu4cAaerWowPAsc7mAbDhisCSIwuZlVvluzZK310yh1JSX6b5UsqX
xiEkxaoQy4vSfCAFGmnNMO+hirw5UMJ2HSAowrrxbxI3wJomdOWGccrFoXfxyjtl0rLUqM8KZypO
DiubriOnonOj+5Yd4DpMcIujsMDaOspVnMt050X3fWidcrR8tb9voBgtJQ0Ex8F9HHc4UoLxrZzb
3Zy6P5nPrRO8VYvUsOq7yrdqnpw0W8auvZ5ApTRe/FNm3qZK7zGrLYfSetBaY910Npk5v9Kv7XqB
ZL0FMT3PGAmgrzhwDPloKJS+Qu9tItoXvcXyJOjdc9FZh0ioSy7mF4z+clV16iMmXQV3ucQoKpdU
V5R440WJZisEQvLZU8c+J6uwij7d3rm3sB/xOMGFNRGCVa28xH64H1P/R55W+7iTv4rU2ifV/DCZ
8OMcUegNWkKsQ+Zwyioj2RSKvDqrTh6ppBHIB+YlJM1xjRyvdjF/NCbvPJ0DguI9yXx3Os6HlRvY
cKDqfuNMmHAMV97LOngAzVYtprx8jsG/9RFBw7Fk1cRJ87OQDDkm91VbAEz4D6zVUtS7Ml2hIDwC
PnhRc30J8vajm3S5i6wuWlL3v87D9MSIJ1yNPsq69kiM7IKs32fT8C+zXX20GeMDar8O77s5dR/V
lL6lk9LbtuR1IPObjGJd9xPhorF4nBzjET/YfiR/Ze2p/NB2zEq6lLq6cgrUz6pOdsob9oiDMebb
SLvKbzvV27xLrh7jGiCRwT4vI3FHoCL4yIqYRZbiX+CDXsdbSGyB9roi2wkHUrnEl9Ss2dmiKbBy
bEn+FQ/ceOsR+fy15jZzI1KcE+NFFPZpbEBQ8YSd28l6q/z8J8huAG+aRtnUzTVhidrzHN7yOj96
P7jPDe/ZGLyT2bfnmR07GRdq2jZ1eieKmy7Y+apCQy7MOsQDHzenmbeVSvQu7YdNnSIvYwEAVL7W
zNVxOS6j+v+xdx47liNZtv2Vhx4/BiiN5KAnVyvX2ieEiwhqTTOKr3+LnvG63COrIlBATxpoIFGZ
BRe8fi9pduycvdcOwb0NwdrS0yOP3r4zOIdKYKJNpSwWi5BJaaKd2TphunEYvzdltcW5f613GRI8
LbxqM5opLvdD4/FOputGuGfSt/blZB96srOz5iCiDt2fF+/I/lzoY3AQzpO00rsgb9dx12xTKCxu
XyxrELJkhAWbDlZkRZO9Kp9h+57nvvugGmM/ZP6qy+xj33a7XlUbAsxXhq8AWnhir8cc1lLIiql7
UweMojt7NwLIKbuHMSeyq892Pne6lxmPWI0vzJ75xAzudf1t3AXpymmDHWG5E3qJ5lYEHeMoGCoR
epWDaB6QI60cNDtiHm375q7P5MlwT8NkMVNBgaoVzZU2WWdknW0w7gtGxzzyyNMv0fN/r8ZjqNx1
6eoX0fAjVyBlAEQnZAQ0uvWjC8p6bclkJTPjSP22VBjrYrN4j0L7whLduSWaXZyGt/rYoySa8+4a
/9FLoArJH51jLGsOZhORbq3ToHsceAjLRx6RexSlBzd7Vl76lKiCLOdk1abJSer4YBJSnUuH5SWI
zhwWrclQVw2nDxdEi+Q4Plao2x1gzqGWrUbNfvXd+lxJc1cO4xnAC3JdE2uJ8nGXW+2yB44iJ/kY
Jf6MwdvBMXibmuIVfdIx0s485CnFYOJMI91TRNVZKwgpzox2mXjgQm7M/GCxKEQ9KX0PUC2gvxB0
3YHkgM3TW2dT4u17M7sgb/C78tTaykIELAH7Z9lt6RBlCqprlOpn5Ry/lMHhD+30qgE11U/iWuIE
jkJy7/LuKTorspPZ3iV2iq8FhEabnFcQUw2cwAtLxffQGp2FNplrzmxLCHQu8ErpbjOsmWXevtv+
cIzidEd8Ea0684R81wAiku19mqxoHI72kJBJKO6boXn1axmsO5vBAZmi906ttaCTO3ioSX43GMK+
6ieUo/QpvQXEdgqbsgQxoaxlrzW0ObNlimmRDAznEsLqU5iMb2YgH1oFb2hs6SjYzX2TVvRok/sE
3YXD9EyYahsiDxPTrepM+AWcLQO0Gk5+XSOVXgbtdjSctau0pRmeqd7xl300nHyfW50Acb//kZEi
LeOrrvYPfe5fMr24SNqDFo8rzvbL4XqYok3ZbiJRXNRBSbyy2QzQwyL2D/gcuryWbEWrsZSLpN9O
/l3omg9hr18zRmA98LZxeAtyYttZzk7G9uWUepuqkacBx4kyLnOLG6hdqil+1kiTHWqDnqZ0CM1+
7ftuJ3rQsVUTwkkZDoNPKm5fix9+cR/xbI5leOgNOvZNuQt8DhJVvcFdGRtjuMi8W4Hn3bO7lxhb
lK77EoeezriS+kFq7kPaof4e63tSRdZ0IPfSPAJiXtLfpRFPSToE4lADSSBvQjlrRNp2D549rbGc
uoLJbZ7fhTrtowLn4sF385N02ZFRiE94cYr0rPJE/qY5kb8uwqncBwGOGZZpv3tE5F7e1wQLLCZA
jUtUXCM02M679BPdOwOAr95VX+JzS319C+yXs8MkArUMpLc0PWdYl7Dm3kSRRVeelYujXocwOVns
8x36p/S+xAyNzTH3rydl8U5qXfScUw3vsriCuJpoDkF8jIAPie+ZchkBewVbzxR5yOK94Y7hzm1s
/TuX9N5A2k+vGlaUXe5Aqggwld6UoqFl5IbdhReNzUEvkvyoa25zw3mP+pjCjAhpCJ9XNYkDt1C+
B1IxavaWJOr3utFWx1LZ4V4yU9i4DS7sYgKnHYyGtw9rjaZsrjJ/K8uqPivoHa/Za6rl4PjTXvOr
dg7xCw5ZI9uDL11cbSkq8vuh8XnfS1GddTbCwsIcz0rPBKfJbB2tqNe593qjj29VWdTHpBN4t8XE
1GqYyqfBotmV0JC+46DD8+O1Yf7qJUI+MjhwaJWoKGG+1Tm3tC2ja/BY41Xb+9W50TfONb7L4aIp
/eg42vcqdsjkUpBkJ5wLQWnYd5ptg+Ao4tF8cjyt3wz1rMWbhuyqgUF03uO9O41smM+RE7u7vJQe
CjfINrTgikuZ9d0lwp72IpNGsmf2SK/NgWrvh4wTIkg2G2Mswm1IXb8QFhxrfDACUigNUDo/+daP
QoyC8wG7SIkBREsYkPGX9TArcXc8EOSARJHl6Rn7k3leDdLa2UzOUeZPI2tKEQIyji/L4XmIYHji
SliSgjde4JZjJ63yUd203JmjEePVJHEBheNK1tObkyUaJ15EDqsqULe43e68YroQdfo0A+JswLYR
nkIbSSrLfrxD7U5QTbKO0feuHRccr44P0QZ04tB3LHT3kdneHiC/vpSG/Y6vdGmZyYvd4OYqk6UK
002HpLigcmNjsB18dpXni3MvtHUij5oH0hFvzYLgOlrgmS1XhKIh6rd4xXKr0nNTb+4NNPtrBpqP
00SU2BjGVJS5uFW2ugs046IaMfYTyI6mLT1hndmH3njhxaHaV2gbV45mZgADVLqiXX8xevgbTezl
6HnXxE+e1XHfEllNUd5ix5cmybJNt0F/aK7AF8oHxl6Ax1va/vjrfA9Ib/EDMsbdp/7QP+H8WbPy
/FMqiGejdrFgpnPWRLlOzMYvTRdo3VRMeMR3InvgmB8fp0EOF0NfmaDpsvGgi6I+H8pwumJ9iq77
WDi3kBSTiwZJAg4UUSiIy0x53Y9HJZ2fmnF+fpz5SYrmZ4rpcrCp5+fM+Hji5mevxMB201sFDZSS
R1POz6g3P63MwqdDNj/BwcfDPIRWe0Asrh3CgGd9nJ96b37+Gx/QYp5PNS6x1iepo5/1HmEASigg
5bswmuASGAvWznltwclZHad5vcH9aSGTCMhJt3vrFmk165LRUp+HUdTdAHhnElq2+dEzRYMxviG7
buI0xhTauDEDhzVvXv3EvA4iV/TetLA0vpvzKtmMXbyPqpIBOamY6cdiKud1VYthw+Ufiy2S6343
ph4Iy4o6g0Grf20nKaMdpk/3CtzWzut7lm8dzuKxHntYCX5pvAUEHazz2l9aVcIm/7EJlLjntv28
M0BHVu8YRD1Sidk3EtBZP/R5L2nmXYV+TnlvzDuN9rHp8GmW+1CwE9XznuTNu1M771OBm0X7gTll
Oe9h0bybGWxrBD4yBvfwLL3TJDzOSqpmUZtGe9+jPn2EhNTNscmZ+TA6Lk2tXJrjU+8PxHuNFtnv
VUgDKuXeXEuhECvmFHBo+UxUCsW522YoBJms4Yg0o/NKcedZWb2pOLTthEbO5NJu3ODFzh1JJhXe
dA43ZWdsWpCtDakpH1cEtJETQ+ShyBkCzZ2HjAXotbYss8uSOKEXr8YAnycsEshIPc6rCMuoFPJu
du+56FNeLb26UlbmB1D+TafeRAGwlIbTwlJCfqfhlQsSpzvmcTrCnbWq0cJw2tz1mv3UAJtaSB2Y
cTxRV07cvoTZ5Gw2w5o5wC0T+Nusg2ihkY66mrQiP+/1AiYkB/bvHGIeNNRnZxZByuu2su9UTOmp
NNNa67lKWWFxZMZ1mF17vdBOHqNhEgUgWsMjj29dHXiLYG56iIS4jY3k1qvj6JjUfrojX6hd4jw4
hJaBzVZFQ7QRg6Lo6VBnKCQZKLnplRgxId1ausxmjKpFx2xtGuOpof5gksy399wYy8RVj440QE47
uoVCdWB23JTmtkaGyZyDIUY72VsvKgmSKHoN+0ntbGim0lbRmxe0blfUhahMBQYxqo+7iuya0syL
m16rOI55WbS1pVTeIpRpeYogvqFiZ6IBRQ5JNzCLrZUAREEGTdqmrWASmTxrpUdfk7k7J7BwdBfh
0D73YKhRnqfxYzwVz46BWCV3qmaLQKbbAjVptsGUSW4r+Jt1ng/LxmjjBWZBECbB7Miv6C92iWOz
O/o5pUWFRdO6dOrRQ+tCxTRGM9ECuuZ9ieh37Y+cWoP5PADQ5Zafc/YIBTK2XdOy71pPFEeYAABn
Kp+RFdvuWRm47wZq9tvUhALuDSwoBKW/c4r5kVgkYeGUWw4G2HhTC+3zqsRGUAreu8yP3ltGMYsM
O9oirdt8RVVgYN2MX8fRfOyzJ91JzjqPaI7OjJdMOy8JkoGskhY/RAsW3ygB9HmSsXjWZRYIeqyV
HDrC87Yx1QriIjNfbLZLTARsVqXd3My53Xckn7acXo23odQtlN7JndtkOwMy9ppkYmLYsqpBw2dE
p9C1jqPbo5KxeL4GRsn4NSgHaEifq8AxAcC6Zb2LO1XuI1ODat+H0yOWBw6ZoTVupiFVcyidW0/Y
YNT0DBgzXwHbipaMy7Sl7dD0Iiqzekmi0dqHGlkVUe8n+6wjWS0o3e5StUFxiVljeA1Yf47GDIfB
5NA9q7m2qucqy5rrrf6j8pprMFPrIFX1JUK7j+qMFde+8+aSrZmLNzh3/zvG+v4Ba/sjZs32sab9
6xnW8TtLwcuXERbAbH7kp/3OxWRneL5vMHNCRm5Qz/w1wnLtb9DRkNaSj8ljZbmf2GrmNyhHhuvb
uGE4izm4AX/a77xvps2oid9n8rtc898bYZliLpc+zY5stj4oZY5u6miPLQu98Bcbni+RNKWpka5h
869FAKECwzF5V0ukSPIE+qBZBjonS4F3YqfnVgffoKHT7OV+RTiA1j1gl+fYWxAm8SiqpneWul6U
+wywLnWFl3ouHf2u2JB+A6ok6oS3V0L08QlET/kGm0IeGWX4zUHqQsJhKmOpUJMF5PLaZG8wM9F8
HehEXM3dI/Rnq4gJyDuph06+8pQnrJVnwQdYsDqgIxnVMBRHvKzuHZKwJKU9TLPAmfTgOLU1wAWE
W+IB/7DJNNv0bttI6y/gVzJQUFOrwXbVw4MyPCGRoMxtDo/E3INppNN5W/RgyTNNJ0ZL2YWtDiYW
Lx3zDmlKBzFG5o1e9NLZpKkfZ6t6RNYA8c3wIR6z9RcrZlZDcBG5rZzWTjTRMCUwlJq8JeGrv0A8
4LYnU9i0/HA1N7BhaNK6C0I6oG9JN2xw1yZ59QPjfXlCjARgQI/HBhN9ojuEfJLPt6RqBrdp98l4
06OAs0BfmnG0YcqQgeiMOwLcegwGUGT7Kn1j3DFVbDwyK1f4rrmAHRK/DeY5uUjh4O34ZOxb3UvU
bgzwHAXl6F/ShkSPE/tJM6zbVi/vTMtCRI20dgi2ImzSQ9UMtIZwaw33kD/cqxTZ6JvOWD6mnpIO
yaxy4K3xQo8gnz4BDoMSxnyoZSwfvNCxQY+QIO6hoM2ZPzAC5sBLe/nGjvIaLopX0+WvOmyhe3vo
onEZ5OFAHCJXWDmdjlJHSsu6JuW73DlhHV+1ud2hLDQg6hhgTCgFIxNMAg6t/pw0wAhfpwXiAxPi
d5seWrgIJoeIx0D5A29BMPl7W2kJ1AwnNoOVxKrB9xniuXYleGuKayula+ezL4vcruxNT+6cs+OE
NTG7kkADmfvYk1pJxdSkJkSWaY01jyChpKQru/JoMdaMLKgT6Sv9EMYEwJ5fUcCa0yusR3kFHxDl
Qy03AcYEXC1WwRRDDQxyqzHtN+nAH7boIzAuzDUQqC5Cs2tOdSbSd1pWob73cg1NbODIhqZYUuJ+
7+3Io86wuvzG92EEt64kW2ShstzUzEVro72tOBZB68SKKJvepREu/Oqom3SQpIt8l10T/xKQi/vC
7PWtXYwTrQ7IuaFPW3GMlLmpB0gGYJZ7F/m+X3TGldHE5X0D7BzgKg5UR/WwbC1ympDFUVqFUQJp
qh3VFjxxO+3x44IBThPnTJccoxYd5vqeC1iRvdADLa5erTafTqainlumFffJQTM5T91zeiTguh5H
pYcL5sci3Sip411cNCrx51DrNH4NtJojoizEKx0FRKs6bppo35PXM4FcyoxxafDIQJn8mHT3XjgA
MSVt0fL2gpSx6QKB6YggW9OS+27sXESPVgeVUg72yEnRiUxJ3Hc3ssxT8kVgssm2JZALG/NLOVTH
ovVoGejY/MaZu8STtKwcSbKO4/DXLv6vA4xCB6BHrGQ+VJetqbqtUVXp5mPH+kkp/cLc/Ewx/SIt
uS1z/vkgm/7X93wYu//x//6lQ+fLL/qfp1EBAv+v9/dbJKCy+brB/6VR4cd+alRMjDqmMNjiLd/7
ayf/KVMxvrG3EqgtOHwbrvE5dsP+5uDPcfDWA3wQlvlJpmJ+w3Ov255jQalHyfJvxW7Y4ledCr0S
YWP1R/piOoJoiq97fFWkmjbapK8xfyAAlxY9s2xvl6s8w8szPHqCVpgaogykRIrLuuy+D6b5kMz+
BTfTr4OaRDin7t+7kQofHt885RBypWmGBn0R2Dl0jfboqpDmCM7MFZQXdFV1ciUqdGG9qcgna7Ei
h2F17lYpq0s8zuEyzmNJ52Ej5Hhd0q/FxnlJMxD+XeiAovATWO6p9m6H1jlRewBASq1+jkqgx7NY
ZMcxi03EsQKuGqrnGO0LQKtTkyUqQgubuyzN4SUSBX8Vmw44wZquumElxamCe3DsEns6VCCfT1ER
uGCkXDufCWfjPXGlt3qcvvRR80iEKxoyRRzuGWJnZ01jM1h1JZVKJJkBJqYtr9Eqb4l9tU+VMIa9
CYxjMwUjEQ5wgWYZdNzBoJfjgDjDMeQPQ/rn7RiKtdFY7pUNlxZBaAS2D5TQ2Dr5stDq4sxNcB9q
A6nXFvPRnaCncIhaE7EbYebLkjixfdoY1UEndfW1E+NzM/hguOgvLateUUL4Gf9VWNWrFL52Fgil
7/2e/mrc9QnWd8c+mwBQbZy8/E5QSb+lw+1eNAjuNz10goVMDJOTVYl6HNnROo1Igej9umGkMJjX
Hq2VqgqQ7KZDfcFoMX20yvHR9jCMkzgUI5XkKJ63+glwpgRJZUeraT6wp5wY48JLd27pP/vzoV4o
vn2iJxtteogna0yQB9SM3AAETO3YEaNj7Ga3qA1ukVAmB29uH7Djx7ek09KmcU3aSeC5z0ggzK77
ufWAJitdTqlvEW5IY6KjQ+FahCe4DJrPZFI/cL/634e5oaHPrQ3YLw24Ntodqmrp9Qa3EX0QUQ74
Z+iMJHOLRM3NElQZ9mKgf5IVg74D1XJtzK2VtKPJIhJrpoqX3b0eAnN0hHetRv8D8g0XiXuW532p
IltA8GFmBPxe97fD0M5KLMusG2h4HTDGALEHbZimurTFUK0NR9OAyaYZhmOTREgb9Qry22ojuAcv
wq5VhyC04x3+UsSSUcRy5rfg66ozqSeojr2ssY442JLrNrG9LS2rkRlve2+E7XCT+znzJ7R0O5Jq
cHXb4o6ztLlNY5XfZ2yQSz4qte6dkUwa2q7ov6UWPDFQV+CNzPoUd214mMZeEEapEKctDKcxVzIA
A1E1xQqTHp2egSqCwmi4YspHjuYAx2PoJQrWVhwE6r4LvQmgqAekyAm/j696I6MPV3nyQk+mfBaQ
TW/d6HMCn+iC9W6J7irBJVdNxlWQklRDKQztKBpwJpAcuyTDlYG0CKNV2s28BlExx0eMXEDgynDD
jxqHCL/X5MPY+uJOhuzRtTcGD5nuBvTtXRJ8lI7bzHajfeLW0DdcJ77z44ohbVnDuY+cybzOJkM7
R+SNN9LPkgeBdUmPaImXYoRgHha7qh0uq06Z31VlqOsYT+CKmr2F7qwATsUE2XIY0ZjmIzuh9dl/
V5QyF25l9QcQVf2OxiizBfCwS82FVWZM4YOHRP9ca7xjoBFq54pFFyI08otcB4pplUsKiyN0FJMn
N7aSFSluNAdV5B7tLE8u+ynA2kdFcxHpTHFLXZ6kiNWW8rh+KHTA6ohu0HXUIzO1ER+YjEFH5C21
ssI6d6dIo91k/ThdB9F0NRBiuzI9MhzLsY/3VSKv2IcYQ8KV3Di6E77S4px2RqbdEuWoryeL01Np
Ft1FmYKH8LwpXsHoJJbcjE+DF6XXdWiXVw7UwEUeo71rDNq5aB7ntqsXrMYJXgP3rm/A0CPCs9Nq
ZxWAtNvqTdqcBo0aXyOvdxHkED2Ua7EKx853w4iKlS/oitq+f4Xt7C1GQgwMGVkEuiwka5TYa5Ao
pGGDo1krCbaDuDwwokVwr9slu+L8GswM4VoY94Qpd775wMnTWWaOKdaosf2zNI1MyBnKsQHZWWH/
qoUyJwyp6Bs89d4Pp03O8l6y+hq0yyNj7ZnehbLIbhtUSo4lru7+2uwjuUH6gIRdS67dwZh1ZIIy
3PfEujYRWPpTdA+jd+tofbbC/NsUS6H5T0i4pk3tV+9YqDjCttmtqlOXlCViNIpMP58U0AK/Bi1d
CSK1usZkdqn5y2b+pL10DDaWolnn5Sw9nV+8I/N6pen1rEA38KZOuH0zdIxrF/b4rHONDwO2vziq
AZdh5MdlZF6RQ2SRZ6i8ZVkoc4VskdzGCVwI0zhr16q0uQ0txN1TGwJG6Lqc7I7yRddYhUSergIz
WIvOeR0LlCq28855z1kGHaEZseXgsKaA+99y90+9LNefY7H+da17eknb6OW9//69+tLQ+uvnfja0
7G+GaXHSc4VFAoEzt7p+NrTMbzqVsZgL149CmK/8/7AAg4bWnAhgsQkwtrT/UezS0KJyNvmKj6Lb
Fnjq/w2e1BxV8KmfhV0dtp7hurohCAygT0bn7DNWyin7IGqswl6JPj/4ebv1YfOewrx5BtQMGsXV
V6nA+Z00cht4oeTh1u+jQOinslWPVp88yao5F800bodIyV1Xd5e4vwjGFPSES7aaVY0FCsB09th5
ADZ02IqY4jjOjgfw37B6pMBQW6FW6ZOLT5/Gz2Pa/ylkflnGRdf+53/Mbvt/NOs+/jjPsjhRYMrn
MGH/8sclsKrx3kE4HvJkZVBmpsGPgkpBR4j5713J5pOkQsHJzz828LCvb2OosfiqPLdXrQFBidog
KTRi8RD2VuHq95eyvk50YQzYMxtk/pfl8K85Y+LzRwYVps81kBqrQqg3N6ihKOfFQzfOHlQW+4CA
umUmmEvrtahWrpLtUhdEDLlIS7c4pZHEymqLP/6J77oFOH4GW3JaOU7zGGr9EZLqC8A6myM8Pf3y
tRmIiKgskGJDUZ9GO4TQ4cSEslk63BrZ7jHnUDOqdFjbetyvomB8EWp6quv4GW8WyqhUd/7wdv8t
vY4/3vPZFOnnOvRjzV+OaIHjRhgsNX9Vet42IpHWyAfK96jbVJC+/PKxygXoE0V8EFl+zDcXtsrf
M6Ayv/8wPi70j1ts/jDwMlgI3+kHw3348Dx88hJQRQ1hHhIUmnU09YyaTYNw50cvbAG/GNkblf7R
TuDiZNmxkdNt6YxkNyTuFv5Stsh988qS0B5J/h6cegs36GVKwud8NAjScK7/8GL/1rwWAtqLh1pb
d93ZH/L1zoHxT1J1N0RrXZ/IgiVcFjrzLXanm1oTZ/DFbltZ7rEQ76ZBgGnV77UITKikUGWwyCQq
WSljgudIYPHEwHCeR/ZVY//BofG3TxejCYwPk6hiHiWHle7r66QJ6ZJh4GorFWc3FcPcDTQdRNA9
Nom5/x0QSUZ+j76wRWcv0mZ6VvV0M+bNWtKN/P2bNr8nnz/gX17Lr0lyuqiMLHOzYBVQmw8V6iPf
oJNGMeSZ2/aPl/tYk369nsCLA8YEnKD5a/MB5n/qTRmFv9XR7ZUhE1CvIyol77kr7BsD09vGG4EA
Q6aPlnXuxpciGvfMFJ7d0SLGOAnaddjTqij84nFOTgxbf5Mn7e0EwfdoRqRfwsIYNoETX/k0jFF5
EqhlTScoR/YuERiPK6MgEkARjgVTa92H8sjABjlx4eRr265neXm4AW3cLCpQ1zumkSMSNSBvHI7J
RWrgXXfWdPn7D+LrYu7O7iO2AwiK7FVEVs4smS/LHskDbdnxQYDnw8EdbpLqfEi8VZr/IT3Q/Ptj
QplosSmCmWH/nadJn6+EVrY2af1Gaytxj7FKvxcOGkXO6qjofUuuYJo+JEN/Y9fTvqMXY6H0Cjyi
VZlLPjdoMQunfSfWAxlTumsywIRdczaU2fb3b4j991vz6+ukfvj8OvXAx78DDYN4enEajX7TpsBU
9CR/DNigF66uFLmuTPcjLWoX2VCcNUM1Lr2qfgxnMTE6ce1c2K22HobaIo0vVmc4yPMVSXEpRgIv
2Ia1sA8TwLZ72ROSU9XduSrprduVhEjQqQHLeIXB2efCQlfgAaeR9LranltmY4eIM87XpdlJaF3l
w9AlL0GE/mOo+vF5dOQ92SA4cqgcfuTA7cC94boNZB0eyYebNmmU3f/+Pfv7TUS149DcYyDI/zrz
R/9puU6p1qWwcLGETnDelbCeO0XFjIO4Mje/v9TfWEAu08u5u4kGCQUkQ8Ov1xoSvZatRRiaMifr
IOX0MMWVdayaMbyPerwsWc35vBjP2vBH6ILpKK22Wpg+G2zf0WCZRkPwoTjNpeGPf3hx87W/rjIu
lCSeWtqpPE2/ln20/IzcgZqzSvLsMIIDcDRc+Xd/eAd+rVR4BzD8sYi5czPXnCe2n9/txiQSUIks
XCdGRED2jLQjEmk1a6ymOJpnaPK6D6vqJaudu6QfrxwCURK9pKFvF3JdY23AcBfjV6I1ALowOmUa
jYwmgGrw+5f6z16p8Gw2RW4Lk3Hx11eK0D3IBicOVp4oWVVi6KNJzjyCMWcI2BBFu7vRmYl6BA38
/spU8l8/CUI5TOHh/XHYlZ1fFxsFlXwqwzJYkSZ/H/QuSwxsMr/krG/SEJPLOK//cEnjn11TGCaz
UUx5LHC/fC5+jmXITXHu+HWwZXxFRk9cDYeK8foKOvipzOVblKq7OrJfkli8kK8QLQPttWvicBlp
ZXnuDcUPzql7o3QZst7+/i2x/7YAe/TdPaynLMKCGLP59X96SgetNkrd7DR8WXIVJ8h5nGATJDwu
Ux8JhM8TKnxuon4wfyROdJCTeAbMMWwQIj419QRRQdi0B9SPJIpw5umbUDEv0tL4shfptoowyDgI
ivyqfBPst2tXhhsFKXBf8uWpIoooSa16kYMWGgdZb1Kn/T7CB5Cj/WS0c0xJgZwz3ZAoBeDEAgny
+3fA/XosY7Nj/sGxxaXI5dlBfPP1HSjimMG/EbmrVrm3Zu5cAdMjWUFppDcMJJb6HX5QJzqrBjJR
yDVaZpCDFs2IL6kL2+uu6a8ZSLIZaCbKstReDiaZD52r07TQH92avExUldgLLfgCbUfYz8jiTcrQ
pumFsXDz9OSGdk+GePCCpaNA+uPdKMt/Msz4zAitVZqZ+yZhNwC4sOp1hsSM996jGZorzfq8kfFK
8UINPb/IsuE0JMkpBd+E3B9ieNetNIA9c7tn23UCy2m6rTmDrAcf2Dao8Wljg4lYD1a9LjUipPRZ
9N/lwwrR17CJ7HZpDXjA+NLBdKq3vgkvStyQk4/Z6PsfPopfn0/s0oJDusvRbsZC/7IySFEEECUs
6jFzWU87xwVRs5tFVOXPSvO/u83yP2heODcoKJ7+dQPl+iV5aTuYf5/bJz9/6mf7hH4H2wjr1H9R
/f7qngj/m82pfn5M5rOwZ/+je2Lp3+YOCU5PAXOQzZcv/ZQDmdY3Kms6KwQ3ohjSWfr+je6JJ8xf
7g5OnoCeWaNoo/C0fsiFPq1UpV4NWqF17UanK4dpJ2AAdUbrk7Ng65diX3ghsp52UK3Y+kmCWqgW
5kTWjZbi9m185hwEi3lHk67mprcGcEvIOmO60xWCFrdvKtgdvUM5nsjclCdEExvpJhYksdrtu+3Y
WIhTlKqmdRjS5cTXYwdnqA8alLN0PvfIayuORTInPkiMCXm48TD0K8Pi3Lr2+qRsyGvNmX/pRRDS
VlaC+VktCTHy++2gfA/7jjGd1ZqHlbia0iVRVOW6qmV6jTqzflN4jF/IyoB7r2eBeM3Trng0ZUhE
3GhK9tA5Ry1CoNSG74pRwUPGhgdOR6f3CxPZTb0tjZPhptV1uY1HxiEnnOXyCUkorfhpHJ5AOjIJ
7MkIOI/Hli57XhgJmucCliqQITPSV1nH+YWE6BAwrgL+jpWUUV+7CBnnXeSNUWN8Zor4VJUGHnq9
AFBEbhXjtXUP6CnEI4o9U1DD4WY3aCZ0dJyx1PqFdmhbC1iYyhWWNc31FepoNbbA5gqsD3vcD8D4
ugI5v+wSEMpd1/IHpJmNiHggsb5OiuTV6mR6muCaX2ZxY79HhjHc+dIB/iGRoxaLfqiLQ5VOcF6t
qicIKOur+7wtsi3JyKVYIoyG9QHpuqR9NknnPpJhd1/XVRqu6smPfXKf7fLaEGFSr3kFw73qO3Ip
EKlfpUabUFKPnb+LmD5tLdJ+HhMmSw6bPv4TMHaFHNCEudSnyLwVXk6jN7SlFQ+asZEEwJg7zVbJ
i9MqBM9+ST7f0XAruk1Ooxd8Zga7Ev5z/batVUJinAdZZWHYSa1QZLXkE6HnYP7rj157L6mDpiUm
l+EJHpJ3QsiO+T72m0CuiTLKK27Y0Qwg1gm852hfCmsLg7mpt0GfWNW6q3PY0nqpqa2N0OSEVMm8
km3v3aVJ65BCEXFVrWjzfOmrfLoMks7KoFLXxHPCQdhBDrIujWjqGPswfdpmLWfaBVlJxROEfQzu
rhZoc2SveKs63V0ZBcjaTSOt7hAH5KAs9YFEhoYw0rVflOLJDwETLnIjNuolzc6wYnwkfUYjlZlt
OEY2e8/i1LMpG0YVOhMkyPiwI0fOXl14bU+mT4oJlspHKGf1Aw1L71UozwZvq8gg1DV+OXVxuoSo
8CBVzICrtIBQjp1hvzBkE3ihYcIIBnV9FpLYl8mLGuD+uEqltA+NsrGvTNmcHm81lXx0UL29RklI
zmTmjl62bVgHko2ZTtiACEYZnTnIkSv/P+rObDdy5tyyr9IvQINTcLjpi2TOmUrNUkk3hEpVxXkI
DkEGn74XbR/DNvo0zgEaDfSdf1iqKqXIiG/Ye+3YVEi1Yg/Y/QWSOypFgpfwoaeIN1U0o2vCRSTG
xNxlBVs44mNaBEvosKwtK9NuiMLAWnHuccBrnpqDJuuLyS8DAx7Yr8Y1sq/CaI34aIdp+UvL0drn
qMquNW84AyazT787j1Lc91txmBlXvaUgTYELxI773bEqug80ov7LvHhZd0vIfPk0FqiLeU1twBY+
JJkpT155ouhLiZPZxXW3wLUQpv4oRl3eZBKQad+ZEsUgy3D7gOeqxnzkq++8c+cDpHMZ6VRjMUrB
c2xZ74/9BVOd8q5J6S3PHDYCeXcYUCDlRnCzEx6Iveez8e+TtviRaSfGEjQEvo9IojLepTmPt0KF
5p+RfAYyHHNssBj717RN3u+radrNr8GRIeErMrPNA4LXInhzAacPWA8qx9iPit0iurGO14ylj8nY
daXz33VkKR39uBEvQWyV1taaRo1okDfFBYpZ7/q8SS8AOT6BE7JHKok9H+x2/CrnsX0eJ+VGdk/k
k5iF8exynFXR5EoyzifybUB1hKW9Q7alvkQ4w+HIZqd+CAtcoUhAtTpZgGNJkZILjmQfOLvVkGVu
EZdaAyAb3OzZdKtZ8LVx9gbfdDE3YxoQIM6AEtigzdqvcJeW42gyrV9wL/37ZiydT4KCqgcbPfve
kfP4ViZzkD1U2IY5UOxEIL4XU/2Zl9V8rEtvJthyarNf3ugxl8y6JtgZiwwBi6ty8l8SY1R/SPC1
q62oKvkpOtdHHNfDnGC1yVrDNapmiDCYCwUaxa92pZIlODqlVy3PEj+MnVpM5HpxorYU0pxarmF5
70DrEDA6pGqZkNv2xOeygw7j6ZmAiPmCMtA+0gOnSMnGlLka6oA2DsSZPfz4ARhgijdJxSBvg4UY
Eub6HhpIaP36KlTn3A8Sb3Ppz1vHk++IdngxkwbjRT4Q45iJ+JI5APcQ07u/5jQ3T0ka4hgVrWQe
3+otEAdI9WSqsST4LebsJ/GkxsHKkK+ugR9jNPbYSaDtzO77UGQy2CFD4KmFCwg90G7wT50wmOGN
0a7M29PkxgAwBA2gGznAIdQ2KbUjowSiFsDLLugg46XBr6aRTUrIx2C9pW1gEI9uDpk4TkUZzLeF
x+dX7HlLE02KUsdNSyhgJvrpqzvk+AMwYh2LJDd2tiLNZExLmCgzXB2fF6KHkZ7lJ+aA5i4Fkv9U
4P5AfgAcBflp8V0Fmf0nIBDtowycntQd3f80JJv+YvHcjEYlx7XswmC++R5GiTqcamtH+C7oTxNW
JmO0vDGMVzfNcBXGk8rQCICXqbe2zPD0y6DO2PDzwNA/tfgT2GYPpMcRtDCf2sxwbtLC2AyKnpCn
XWONzg/2wEV+Chen/x1IrJiVV05/HSaWp6oCNxpxIih/78xmcL8sJUlxS92Fd9PShldzsIExDzAz
fhJn6JxF1yGQilU6/GxtOC4snxv9adq4JbbaHVC+jgamBqbGxGAcas8CWzCY6NMxg5XoLrQAWFbw
Kd9ZRKNAMyscNBH27J2Lqouj1m4CzBye3b9RRAHFYNRtf/dSdz+Q6aTnkpFRivxgpfZxKc23BI8e
N0nYgWaEOxuDBHGs/H70LfyUjieGbYvBa9laxdABGQIpcCLILUAsxWG3n6Zuvf0WX5ZcqyZ/n11W
y50oeU2jOQyCbYXH5nEC1//mrKOCSARZcwoM3/+RT3LMj2jV5aPCLt2QqmJ3ejdm/JHXrPF1dt9Z
cXI353034hztqV/Ahj7a7IWe4r5DfxTb3tBtEmKx2tXQxnOiBDrXwsHItFd9vu2CKd5izWINalCY
PopETJcx5uMh29QipZdjXLwVE1UxR0aq20NG3iL8kdQNqvdE5JBiu8rOngrUOHzJtFZHedou7SEe
h/KLQiF+Qn+vk2vQtr0JGBfZ3JqNk1ToVzNiNyA74lvkgNYDGTnp8FbErgW3jzv6foRxeKlHpXa8
At3vahTWE2Fqac/OMSwfU0KzX21phm+2msXBJu/u9+go8xWY5HQJhDA+NIJgGeFrWh6nJh9JTrQo
F1w52G6E0y4/VPWKlJsqMziZdaLfm0xDfYPsXb6jwmsHFPoIZTgEzLw4NAPRjBTNDub+BIFySaVs
Fu7JNEqqmD7DlHsMqP7RMClLbhqVAlPuba/cSxOu89ZLud02RLFJfYidNMnOy+AVF+S9WkJrtPoO
NB2bh+0YkmqjalV99x2YpqhEkGzvenqpNzZtmAK9dJo762CmkCVRNHdEXGQIIhVnVt4iVlqmSdHA
101ofJFF4R91bpcBK2lWbvkprXN8QdGiaHe2+CeagGC7yQqeBHAP9uM8aUy8UZALnPXx+CWQ6azy
xHw/DQae3rn0d4ntEpQ4164HGIisnN24APO7pt4AV2Z0XOWseSQUrE7jBxszEC8m981yhtkVPxZE
HJZE5pGdkHAjYKm7lq5nxEQfk6q0q9jC72wTyYGDfFEpOpWyFh2iwDqVUt6lS0N5BFx7RBRvtZV7
Y7pZx2dB7EJ6H0z+6N17zHWmY95nAywUUT+ixJb4DgnlaF90iRz/gPpFOPseFER2Elae5T+ypO2q
IzggrcmYD3T/WS3a/AqzvPA2rR5F/Fl4SR1v/DmBm5KUwMgTfu+T3a184Z4ys5tlFlm2Jqhim2jb
/HQ81QMTZFw1RnIlXseZ0OGV61tOxyKwxrOrK6vbAdi1jowEgUokA7UEbLj5Oa2HqjrpzMvNfdq1
SMZrsFn5XeP66xi1spphNxR2v5dGqoztkJDlqFESxmfMpPO4b/OAuytEzBqfiafV0kbraZvwuhsU
NjvD8Mr+Y16Z762cdXVHfrDtRyjgBYs5bxqCFrRyjdAuDkLEhIOo/PSNS8rrV59FTZljTsR5TE4A
LDLLUDG+pp52858YUxXc4nHAxey1q61fxhmtXe+pB1yd4UdOcYcaSA8tA0B+HLRVXabRhiWBr6Ct
uEu5Q//no/c1fCJA7A7R/xJ0xiWrio8wN2IqcpQHD7DKuRPRxH0aDnJXYMoLOXfJU64ki78uK9hf
4ldeEaKOQpQ7e3gyMxYwAJWBjvJEGfGfJaPWAxNB/uaWEcMqFi5T/a2TznFOPZM5ClZT9Wcp1fg8
WtKLRmD/3P9CVyflSChqk1s+jQk6gS1oz+KSzLyxVC1xJrdxoIUHvz5RP3s/gA6AatxcI7Q7BMma
Vrg8Zj056lGv2Jv0aKL4fQRLjkUyS6x77TmlfYfjiXQ9vhvcB2RSklElcuB601TpbEVDZ86HGVHK
L8nRn5FrAB6mtwgnQqTZAlw0vPpk9HgPS1Jkr35bEppN+pGFkzIRXbldKkhlokycJ5k17gFrVXXK
bW0uPx2Lj8ObvO7Cczm88MmHRzdMsOGAL7YaIPT9qTXr+SvpzeSNhElQRTIZ8oOFXPisHMs/jXWo
sSAHAPwTQhNbPLdVYEZ+w+x0OynREnIlc6O8heMoOZccrGR7gx/sjciU8BJ4i642c7E60djYTSTg
0Oxv+y725JY0ZswzS5abajuNQcyJLUNv99eR3f/tueV/6oZY/6J/mCb6f+jStl/D17/8x+6v/sPH
8Xenn373EJz+Y3K3fuV/9f/8H/8lFyPBxDarw/98cHn3RVgJSYLDvzod/v59fxtdBuZfQhNfAtov
gSmBN/+flF+IVgD+WAKvgMUl8g/ll40ojKGlh9XRdkL0JXzT32eXlviLZwlml5gf7FVM9t/KKmHW
+e/Dy79OTQnFcBwGlxYL9n9dMtijDubBBjvAQWNDw8y4hddJ5bBZUvdPwrJ0fQ1YHm7nUC0dBjQl
UdokpnUJDd8ggNsH7lTUvWh+oE0IQ+hR5voVdW9/O9IjlzUjrMifXeDIWPxni6lD0oEiJLOofRRd
lr0brsiSZxPWTvPI1r3s2fdkQwHLpGbNDN8ptrduuY4zqZyIoh4Wryg2XBtIesLKRhUS2hWPPt02
Ck6WIMlDPSTWH8jOLuYDzw4jBPXhSXLBPdlFathEEnO3b62UQ5ZkI4aD94xZpyupWhWpzqXZ8wN0
03kYTBFsO0EAyC2utM/9GmA9egoK+0dO4wuZwaCl30ifJNdoipExzxmd52aZyU29cscDv6oD0igj
u5hJUmsU2eWRTPL0xQ0g7Ow7eILmVtsdIzGKwyy/7x2T/Phstl892TtXw3TYzS7wZbBqBMlUnFng
00eSx8xUGZUYI0Q02WDaEEK4UBetAqmWiRbYwNaIsCMAydKudmqkE1dq/vRxtpL2o7eMbwE5grwD
Do5xW4QVVMJw6gdITEAQQrfM3vnTPPZmSfdAUl3QnHCAT8DX6ZWCPRmC7lOhgX/cQVeGf+yVo4s2
14DUfMLWZsz7qfGYslKpiuXOHXwcn4lvtV5kToCZj+QW5++gQafxAEAjVndxR2gz4exUhKQ+2OKh
nmcglVkQ9/UVCwNRVMipmUw1qMOPYgjdKuqJBgtPJjbR9lLMVUbsoOeM1MMYT4/2HLBmgq1pN7uE
fPhhOyiHarYn/Cbe6wJjxcnUTa/Jq2D/tgNHgBjRTdoZj2tqlMd8dtyfrRfL1yptzAinZver6WNr
PvPUwVg2q1h3dH54RbfCakCCduZ4SsoeSjpNDek/JgK0Cgc+XKk8N52fbWiN84pADKpdOie92srQ
5jdG9k9zdiaGrxvIV8WVNWv62GX+g09H+tr3I1GwQwyxCstleoYewhqvt6r2Pahz64kAhf5zQQEP
sr9gOWUzXicbPLCf1zhiZnAlVc1L1iW0erAgGhmNZqufmawuv6qUhksJs5uicmxS674bE/DpM7GY
086ul1YdSR6r7sI87IYjXNdCbs1cVR8Dw5X7MPdNue1IC2khVYRFExnCcV9g1VEgm3aFyyEgfmwg
3qEWNPd1ChwoWT1ROVhB6zI6nAkb2EvuXddalKtT2qAecfIq+6Sztecdgc887VZiLJHVktu8bWRq
oMQx4zdjKePDApQ0quYGskJrjCQtpgSkEf77HipeO9nngX+wZFd96DJZ5y9g5++TRjCzd6vmUlN0
v/RU7hRGmmFPVoYz+RSu89CFazw2vUy+gktXzJBVQuI1lQ1ulpnhK5G//aXXU/IpChvOyjKgTHoE
F+6viY2pQoNIuM9+tJP059waUm/yNLDhf5nWum8oJf4c0znNi+9SsZT1OtTxVoV97Hvlr1YQlOpA
ZHeieA6WN1Co9bdUjQr3qnTm5JBy47TbqvCTyC8ntXNVMt1S2Rin2LUxI6mkKafndspifFdCY49N
y5olTxdW0jp7dtyeldeCdZy1g22pJ/AuB+DietiAYp7VSJiyf2e3C8JUEfRMoKLxaSWxX78Geb/m
Is68KIzbQ8JvDOhkW59rMPiuDOBNJYf+QXQTj2eK5MUwfw5gD1HwN/nOzYpuH46p3OIVZ4MbVpWz
bSwKFKzUmTx6bi94R5Etc+zDuj9jSA3rF8p1zNqWy5pLuTLGQWaYL4ku+EQ9e/IJWhZWBogSUvuj
OSIPofbGRbcJ0AIZF8bsOZJUUpSOSUbQ553rxEsUJBw5UW451a5F9EABPXbjAzCK5MUKOOa2Kpkt
cmKcDDGGJSRPYihqA3N6Ek6vIW71hfPKyuJNzyef7ZANeI/lDM8sKnVd4eIlJabdelrxD7GRkjxl
0ib6ibOhYUTZZp5ES0EFccoCe00irDJvV3OakRXkZ/OlGMhp52FesIjUFmzTuWmziBkFcFzbYMm1
H6QImX3mTD3nEEfK2DWPhhoyykGZLd8FhNpu0/jCZu2ej2uDW2VQF9WYLwxt3aIgiIlkWXoTjWy1
8hbb3QTB+iGwC2HnXuCB6Qt2cDvWjA6EHQrJKKjhwOom6O9Yfk7oxou56El05WgNR2TuG+Un1W0m
d4H0n1S9TaQCnguNA3lvGsaCzdxkyJTgd1B3RbjoF8aqQbedcvZfuH072YLyGIPf/uRqwJOJdYun
VICBgd5BHPBSTOBZIYow8lH0zlY2pzEUYbwbR3fM2/BBBx65EMbkp3eG04UfntDiMbeNi0TgNiNe
rcBFhhnMtWVIUXVa2cHhkNsy2DWOeVYikRiBsbUlwrB2HY+ZwJcYGFcsXxL0au9DNjp/+pY4h9TF
kgGNzkqjRqriZM70TJwxwJ2yJH+m14OUM405sMQVx6pmhkF4Ff2zJX3TPigHW3kFp2kNY2M1YiVJ
Rhus0824MHRnEpPakS8FaEI/Xs6GXOKVW2x7Ty6RcMVnigvtitAbXFSTLscZMSdxcOHaULaTQ9gu
/+hDnjCO3wSWPRyGNJkuBnkLrLHoX3e1n2kf9mvm35Q0um9Vuskvd/LSj7TXL4a1MsPtHLdc5KuO
OLa5dbdV6pn4ztjLACDkLOqovBZbnUiP837SaLfmwapL2zirPD9ZrmbyhCLy0bXpmQVJES8l0LpP
YTHuvQGjUX/YrdcTtUFhV/fekNJtpfkEAx05SBHZOmiJNbWmhvbfLeafCWuWX5NbZwoyz1RnBw+S
+y8pHLN7JEHD93d2jtzt7FZY069ZaPExJknIOsRVcfvLSRizUN7YqTrFJlMVbucCh19pNVV4rmtH
PUsSLNWWlrd6nsKeoBD46NXyBMvxSfVt0TCElUpvnBC5Gj712iQlNb2zhjk7MrvozQjFNMm2KVfW
UA5Vi5QNpx3h8TGvCYX48JAtXXpiihOc69zI4FgSIY9ogcl6NUwAxOcZiHTTlrsQryp3OTXIr851
5ldR4ykCp4CTrcF+xMEbvBlGHTOiI8VzOAXsQWqW8UO4yvuL8IXsIvfXqCQTzgTv0z0rUPk2zrD0
clI6rLNDRisheI2Pfkgm1jtxeNabR6126weRHMJSJYwe8IBVB1F5brkz7ZmsE92yYHCK1v3mgmTw
joariBAIOO9D3H/ZncRHOauSUWFiF+2ftpDy3cpEa2ysMF09ajEChQjeaE0LOyYvAM6CltotSCEm
mOJ5kmjxAp5kaf8gApAZjVzK6XtwMSO6BpGAVkwTT03+ZbH/i0adPueFjc0NmT6E8Fk44Vmuthp2
MozjrwWAKJKgS2DPtwz4Khkkk+HnG8MdHZyOLTupPf+LeYPJXZJG5HwGyT6TY7vvkf7Ml3EJBrbb
7IojQGn2MyMvzC1YmZNNqov2qdPMVHj2lyPOMWixBU4bfHrLOD5kQeZGbJ7hQJS9A4eIqiAr3d+r
97zHb9whre+CXJz6vNfpe0WCtIpCmwCcTdUCaGYwY1p3rSPHB3eat0aVt5t5JE1Yeul8NhEK7pgE
AhPr1WcxskTeY8or4igt/S7cQHwUZPmFw9NkxMshse3sR8tne6rruSsiMvCK5pgZoUHaYeVm2c70
UuAc4DuMD9Azo3HOjbYGX+FU/uuED5NZRO6i/q861XyzrcYHHnPR3hJ3bc4avy9Qu4Th/JxpsO37
BuwJv0KxfBCGNX3a/Cu8bT6lJjBAPu9265KPdHCdbv6UJKeZtGOFe5+lDmICTMmkFi5kWuuxS8+x
08y/q1jqvaf98sR0f8mOKmzcO5qGIIba39o/86YlGduindlSZKAPSZcQ6cFSzPAsbU1uDUhI1+a3
GLMyZ2kdhfzGho1fOEW+42VmME0OkvrJ6+td+6KEe5eyTs4oO+rkiJKlbLcqLfeTKX34prGo7m2T
YmgXSzOzzn2INWpPR2w62yQzcroq2hsPplXGSNUt7E8xcIFFyzCulpTEhNyuR6gjNEqhp18x9lou
AAwnzPcZiTO/lOzESaWj9VHNNcyRVHTHouWYX2yHsSphxZw1BfkJZD4V7EsCkAJ2RZseoVtET1LZ
Xv/pGjK+T3wlDp7VpW8dMgI4Z7pdU7VyNixLB4jyLBsb8kofErvBlrH2dkE1g+IZJxIgNspOqGsI
pJ/vAzibpDMNWfgrC53g2emT1xRgINnJuUfEJkB+Ht2FlZafscQuzOCse2uC6EYkVztn7YOvpLkF
/u0BNNaiJAeTELunLp6sDetMXyNJyfrvfGBcvgf8MHRHf6jZM1jp8KsdFnU/d6SE8LOZbKdFkyTr
DotRtDtMaIH4PfxhL7E8qZQLnmrUu7pj6j2yJiKmKI2nu0YtF/RNYtiUokEQL4kkKVzvu0dX8MAM
G7OxXU+XKaVLYoNy6HMMspPynHdAob943GY+Y+gzCBIgurHU6mOn2pYZecdVToUM+PnmVkZ7rkTP
P0g17UPANQypuEs+qSkqPKKZ9p7d4sskyWWX8RxR6NfOFgFUvSNDSJwK9E7PMRqUwwooizg4t03T
OyxvGWOCSbOOsdm5J6ctjksdQG/0xiLHLN7W+5xAqufOsvTFXwLzZ9i59cVT9vQ1dmiq3Lioqn04
aHM+lgXQuR2H5PS9QBpigFigY+ljEZyHQlJ0MShdUXGgWL9E4QXQ9j0prnp0OiDh1PQFa7lDnrfT
sQXgwGPSFg9T4OibJ1yBQGgq9XWa0Y1ugmlYfuscODkDI4IyhVsFL0x+2bjawO+8vnbpicsAJ2Bh
bm0q+d+lMXeHDsDMepn8kGE/km7diBG0OIfo4OVwYFvEzUiYmzA5DpY+yDIoDvWQzghbW4YfhdcO
r5S7kgGF7mEK/7XnmPHkSSIK/gROGrKRbJanSefLhwUa4qlu9DgD58z7SNqu7jFxjBZ5BxyXTG4O
oilPkw1iNy0t734sXPbnxQxG2kYlS7FjVKSKYOlmJz6IqyrpT0fflT+mzrz4FrAO4JK+eCpDdzgS
5DQ/lqbL4IggUsARdfFDlo75IzardluOiNImZ7J2gIKgnIp1fNZPxEa5Fio8LR5SKTwUK1l2bk0b
ko4e8Qj7t4AyL0K/4V60sIl1IS6FhEKktLVNQg17MFhifWLsFJfxHvwJ5Z2XQLMmq2PHKxO8w9NY
iUidlBEqXNayVsJWCPEbC041v3je3O+BqeMfl+Eo7oMEYeQmyT19N5UEPnLiEvLp1OVeD4k8L0vS
2pfZytthxzTtpOO0/zDywHwRnhwAosilf11Y3oMrL5x3iW/igP7Y5Le6QFMkCT3q6mTAA1DmyZlV
HGXIBEdeCSGoc5bC/znX5ZcHZyyaG4wGHsap30r78YHzoXmCXTZRDsXGrXRQOLjx9A5cEEKYVUFc
KMG5HhC+qCgv5ydykP1bK+LK2gy0A8iiiQ3lcJ5IeTGLrj75Zhf8NgfnwYgpu/sZuOPox/rBIwNj
h6UeABJ7hM06OMlnoznAkRxOEB2YTelm8d48tNwfojAiFE7cJMmYXXw5ECNIv7EDOlNnt3gW+ide
LeeVVEzzz9SNBv1AKB7GJTvknliGW2voYrpLFe4E/qz0iHTkW+KS7GE19vOR0luThZhXD0Uv7KNU
Su46sxr0o1mwoR1X8XowWMC2dA+WdV4gLlIO+yyDi5zQZSAY0/hoOqD9N4IdOxbK/7cbg39eGPzP
/4/00JaJ6cJ3/o+bhdtXAh/x30LQ//F9f9sshASa25CQGPD6rALEKkv+O0BpzUBffR22Y2IdMFe/
93/kfHlQkoT7v1VFi79YIWsK9M2oMvgj/f+OKtpeLe3/7GkJGIyvO4WAyzmA4fjv7oUl6G28YCzJ
dOZo2swv7E0hY4auuqUkS16zEkx4bVSvTVtgMi5G44A6rvyaXeHf5UFvsRsMDrlA4UIn+1A73ONu
HbwmbhVuyw5l1WbMfOinxUrPcdWj6lBxTpRE26kdy+ce0CLBFSRao8UgGAO6T+/d6Z5KLxAZo94c
XYyKH0djRkdcQeEt6Kwh3rwyTAj2HZ4lLBDiygvgffnM/iCGA+5tbPiEQbjcIVOpomEa0L6UmluP
dAmENxOHoqLCzANiIoN1LT8y3JLohDaz5W/JZDS2TTg94qphzkUba/tM56trNVo73dtPWSUuTdcm
kT2SXdPYf5hpzWcjjdcQEUyhBzvtnjM+2/smq5q9Woz2gKTtlctj4xnTdeSK3oZD61xzzY+cOcWN
rvwgDXQ5aIHvHIETPDCb6pDNw3dr6+UWvzFqQ6ouSdNOJdt2Ky1vxAe8MTTZlsjAS3erZUULhkL2
z+AqEk4ROpDsueUqRZKcv0gyENIWukrnk+ajWoTPcJe3xpIfDT0+GrZQpGb08ytByuLkoKxrycqh
wW52uiWmafZlAgQ/SZ/rqntKHfUzFhrMb++W+3nWQZQDfbwXTpdTrSGRo4hvI50Y+SEY3JgZRyBO
3HD6xamaJ6dYx3SWA+89ryjfkKSj00ED2R4GI0/uZ++O3uDVgYdzWHKvfpg6ItwHpe4oxe9TiJlF
4b0npb6VOYXhAJfukE9YZLr+ZCyMdWDKTMnUXeZsp4XO+FX1N9Y4f4r6mf0RJzrbMjwibRlpKFe7
gct7VpGJlpC70jGo8pA/thhktDKvhWDFpZH5QELdN1KvCWMk5rzZJbPVNq2M7eytf3d+kqbBtKU1
X20S3aNAI6qdmc30e9LYiFkJJusgCcRkCvrlAvm7LFb4p8zDO6dYNizfyKeQDw7BxqrOt8z2n7ol
tT5UZ/I9Gc2NO4bBc+jV+zqOib8G9iiQlnTG/ZI64sGalmHPKCU91E4gvltXjpehKzLyMingHkrG
C2cn7vUld7vgi/FISnlSJxfDCmk0rW48lXlcvueE7aqIuV92TRHtn5Ahd0dNHMRL7890ghAeEMug
zyV1siFffmoeUs9RJ9+vy0+YK/7z4pLFXZpFAaKo9i6p14QXxl3e3vImCkKLIeloLPMd6QfVyzJk
8wvTo/Gcm231SmYmQhCFN3nTtWH3NcBf2korVTd3CsVdKNz2WqhgeiQcybkJaxnPg9lZH1Zejjs/
aWbio4nWXgmRp47x+/3SNelvx53JAOor3f1qq4JlJFz18G6hD79jFDldRVwOlzIGGxA1SpkPQTCb
T/TR8mYR2HCtiiZ9hdMTEkkmuiuPin91jIlgWVJv8Nd2GcIAfIEHq7TZ//MDbtOBazwvU7M+/tP+
+uFv3s9/ZmUwNviXUztwcYPa2FW5BQJPQAX5N9tzAZULB+qSnIIkKW+t2zXqlPeqv0mnJuQhNudt
a02sWm2GGxbaYHoiNlliNpKdO4yvLGWNPQJGyVuAtAh1rdVsBRP3PST6ntCsLPkY4pGVT9Yk4gFy
bH4ZzOrmxx76GBkuD61nMeGJg/JOJ4gzeJJeUSw2mw5KwBETDbNrC9FUqsVL1yExHMeJoeGYBPl2
0mP80k6TbRxCoRnN9/6CbDOt+YNRFqdwrjy/1Yd6SeMx6kmanA9mtdIzVew2HwZKQkgl7E0Q+1r1
q+OnwUdvJ+e+HJY9Jrqn0TcOAGFprMkQJLpVRHKAUZuZJaSEqr4aCFOOiJVQX47OUzsP17TtWMH5
AS4Iot4R4ZH7miHgAFm2Y35UbBxjXPD45BSN5LHCVleXuGuuPl7MdSZPzFSf7Bly2ph/EDdWuOs3
cvKS71SJ6Vyryd0b6GSJl/bEDaot7LwQNewqOH1qFyx+7cgoflwm/0AyOo/S4vNULczYrlMrCCEZ
8/5K7m54hxklfU0ZLV8T1hI3rKHmU2N5JgIi3LJRmKnhwu96vtatl91N5hDegS/ieYfN1P/yEwI9
Nxih099V2dTR3MXzvlvfFGb/3iVY3x57fY/G9Y0qMXWe03h2boVRz4+tzOTVNWvu57RXt3biqqy9
rv+SukKdNIZuvy/WNzhc32V0xPNL7Bf1i1rfdGFx+5BiNkFz4hzI1hNBL+QqtKwqI8Yg63Mgg2dm
zOUnYX/qtKznyrKeMO561oj11BnW82dZT6JsPZNCozVPiM8ITU88jqx56Kp1Vz2e8qIKT+0wJRdo
HynYfi/4yktbX9qYbt/ELfHAMpmDMeSrLxQg3jcO6fQw43XZKzY+D3y1cY+/nah08oV2Web5ZqQh
IxIGF3cB21AqfR4PRCP9PghBqrI68vNpj/Cc2ClJ7lgVobjq2I24aaVuNRKMyBRSsJr3w55OLyQ4
52hNYZyf6wUrwjvxzh1ZkKJoB7A0TjEcybZWydUmF3veNH3mgvgYAjXuHFIwJ167DOmUmbAAIEg4
1ck21LMki2MRrGhmARw66twVQtXWeXMI5ODcO4ay78C9isfZIE+1DJ1+1+Wu9dQvnWDQuMSVeWBk
ybAHVE4wIbpnY94ULbhGRTu/DcKSdTFKiNTYjVVJBQRCDTWYz7H5YynLDOJIWlucLVCqQx4xS1rX
zhls1LWSz6WWj/RhmOXynAS1XrfRYNfstwJzn/vD66CuHrGCyLXNO0y37Z2bpSZ2LSOOqFFTGCIk
Opo+Bicr1usSBUJy1bTThlTcaWOq/LMtwmmv8+nbqlENBp0T/S/2zmw3ciTN0q/SL8AEadxvfV8k
177FDSGFIkjjThpXe/r+qMqqiYqppRsNDDBA50UiExlKl7uTNLPzn/OdgKTSbWQ24wXrq0DCaD+k
/4FDNTwRYZI8b+gRHzqWAbtqnBXD8r2fVLR9WPcpjU0b1A5aHsfokBQ+DriiNbc9cZRz503Agquo
WEtpn6LAuK+ynjVPWjhCWP8RbOrvGDqM5TsiRDvX9qpNxluW8ydt1fKn64zJEWj2QDdOpc9p1o2r
aQS0aAHq2KRWM/8MK4trsI/RS9eq7cyUSLEkZPa/57z/CgR/cWexuv5z+9ht/0mC/kfbzn8XfP3L
j/3pHqOxOcTmaToYt3wbDNhfz3i++wcEi4UV4P2FhM9/+Ss3zPvDZ8DPQm5hZ2dszMHwr+4x8w+I
OhahmsWmygjE+u+c8X7nJXgIewHwMZ9eBpN//G2v4P6Ns2wE7lvEwEoFQMLiuPcZeBJTIVY57eLQ
v6pL+/svn9Q/2KgsrrRf0RW/v/Ry+PwlcrvM97LMVM0WPR3yZ6Iy8jCa2o3oY2xwmv/rVxPLO/n1
5RZ6hUXtgO2a4IjEgh3+9eXSaODhjQIHECJzTnET8XRPmVxMgch2aIqvJvr4nm+62eZ5H2xDfyCW
WpvuZvD614FWpJWj4+e0yG4BXl+76QQ3MXfJZUQvzRIIyRoCOrJKz5Zdqr9YM9E/4h/VP/isIM39
X78+pBMa1yCGuYIL6rf4OgEE5XtD42xdpgQHoCCpWlWdAdOdUMHW6LSL4krtic7s6ZZ2A/ngRO6N
mFDoBxGoldk3r2RnYmoczTfDKa8S29mLKvtY5gmrpJBHiG+sCiN/Fl9UikmO9pZ4DJjMJsSWA8z7
cSPMRwNrQ7uKcpTjpQmEChBf380Yq1IkKHxK946bHuJ5/FBQArIx2ZI23UzR0K1jmd2xp7mv8xnk
zufcLv62afVtkpPe+7M3bzrGU9cVYZR0ZdXZMQz6/gjoiJSu8vKNG/BmUNefnday9yIX8aOXmXcl
uzHMz7yy3Qw0RsbT/J4Wnb+vwhS7MNbPM5uWiSk8bWSYkKgHhQktb2YOulh2xuaAvBjvXDxM2KIj
Zs7GGF0FwXLkClN1O7KxPGhivKdOVcE328Q8HpeyuglcKJp9WMf9qvS8bzBHyR2OifioXT38qPvO
PA3WeRTJSIeQpmPJDJTapXZW7VCC9KnEwMigVDOmK62dUfr1p5TppyQHehyRf9bUaI87nKV3Btnv
VTUzPMvyNxkkp8YJn+IBn5vPV+OquT1Yih+o00gexiJKN3mhmmvMsduprx79nO/739xOPID+7nYK
XEbZ3MIwD8nu++J39AhdWk1NE+62z/My3khXs2GsGwql8Uoiq4NJsR+lFNOVTnrjWxK5jOTqoCH0
IpvqKvDtp0kMpDMiWit6fCKMxeYHOzPzvXIjtfZCZaIiVNmLavr+2p8i8+fXW/h/Znf+/1W8RFb0
+Lb++aL2+F7I/D8u75/9r4vanz/2N0s0OC3WC4FBbUG//59FzftDWLiluTSIu4R/1+5i/+GEFNdR
PYbkKcDl/G1RC/5gGeSxxpMZoB3Idu9/sqihzQgOwbYAQU/By++yZYtnoGfv1W6JurAzww2cGc23
wrHjdYt0CHro5JCIOfQKY8wvn9Q/eFCz0v9+Y+AQ59jNCRxEH+/oNzYfYXszHRGOtgCA9SHqeORS
4zmv20lNq66nTULnKdWohHiwzJryqiMg8J34SbwN6wkUd9I5AF1CrafL4PI0nvTknkk9T8TV2Uc2
LZt62SpEIamCDQdKOCYRDt6ZSSL+zbb274giuvSYEqJcN6D97IREIYgx/oe+rmqMzaN141QW09De
U9fE+TJWrqzDds0heTH2dPinlX3xMa09WlgIZxojbX0H8UpcsZoYj752aP0IqvBmtGOC3mx8ruNs
wQiA3H9KJQtV40dg9tNJr5Lc6/fELNxzSG56vwxej3oBGrH9N5ameT8xsoPjN+LKdxtPbVpD9uMR
znFlnxuybYyH4OntY0mur8V6gK08mYNvQeSkNuiIWtyzTYrrtSpCFObO4FNT9nyYEXSvOuRaEqtN
UtzhQhuwHszmG+lyhfPXNcp5bRLPwj8gxvF1jOMkw0o0Fg+lrV6ok3ORFQSGQdGdg9I5h4w8D3Ha
qsPQBkxxGuOb15vhtdk7k8ekj8K0vFc9m4EsZSQEGn3qWDsmipoJzPNlZVR3BzQl5zT87AXeIbo5
m6C6KoGpHJN8ItU9JCPE4CrlrI8QK1sSuUpB7dA9X7eyMvM9Lz1z65W1ijB0FtM+o2u9QGi7gjgS
7zLsJtc2JJ6K7SM8dsbfK99QwcGCIr8NuXPczdT11tUsx6Reo0b46zYdo3oHyZKvvy00zs7aOTIO
nFalITCrYvvaeF2vXmgOC16Wfdt1nVLtOMXuObCg6KjlOu9ima9JKjrXNu2QjwPeQXYWfbdhyKiw
t0BhcqlPgk3QMNnlG1SPvtB5uHKZyj6A2gytzeCSuEA2DA0Fx7xqrB7ZV47f0qC3rV1N34TJR2yW
zSZTjOy3iTW68Ju0LgiSj4IOnUJKfQlK3/4onai7pzIGI52fdvl+XpaYkV64HzoW7YM/qvCpA/RB
e9KyRqXLaiX7wnm0M3IWm6maGv/iJLjqt+U0QHKLBjcad5ZhQHIOXbBMI/5AOtCyJq6OXRaPH/U8
yZ5BghBXaWu11rcgUDRL+O68Dl2LRvpQe+mHmtr8dqSJZYNvKn9U1DQcyqo5qpJ0NUO7n3pJIDJV
puGmtO2fBNnZG0wqPcyxK68JQiRHzB4ZBqoa7kjc2MPFC3HPm64kZtRPVvdE/3L4PY3s6GhUHswT
l1hUqcYRy4cq3ENmNmmzkZZS1xozyXa2y/YFeBq73360Lmal3fdID+WuHyv5U3gW/Ejs+PelMQQP
1Rha70WsvVur1/CEk4iPcArUE9nWap8P1B904FTpGHeb5yq17SfO6s4xUSNHcmJNEbOixe7Y99m4
rxXFkpgJ8olZRySt9jtcA2TnxG5jKirTPHCeRCWrEZNJF722OtpHxEN/0svs+QdnNmmVsnCW6gO2
JI1vTKZQLD3aZuaEwWdIyi+gfr2dzHVMqoVCgon+DKITbASndJDvXGnTvCojWurWkx9Kc2PQf8hU
I6EMKckqoBt+PYLHsu2+YEzc+OFVV8/FSduzhRjtZMyIArTFI4Uh1jcXVDuUAT2g9vvRi7IxTm5S
A/PFBk6WNLZRNHDbDNKI3skRQo2I0BbO8eyOz31a0m8XkbSMSL5l+s5qUmK4NP5SPECe5L1Mp/rS
tYkSJ5wG4XYw0NlHo6Q4MOaDKYfceCh7u/6B/XQ4Kl0l29EXSEJm35cBLWEzKos3F+UrFz/92YWm
TGlNCDy091nUsfHu3QaERINNZlwXzLSppeRkQNJ9rK23CY1uiVJn1q5AunZwqzTdG82cytn6GAlf
6IEyXxuJ/9VstPgu+06sbUdDqOt0u8MHqW7GyQs/FbVqFxNHW7q33Y6eM8vTeLlzHVX7OSbLuuaP
yTNUDfACce3bjxFVRkS1HW76VQW4n7Bvyy9QZDqDvZRoCAyjleLzirO0MFaZyuqaZ6bD8wKWpcz3
VYajEkeU2xPkodZt2gVkvo19QTLYWIll3eHwWD2z9EQYfYES9OtqGuonJiT6nLUUhPCVlesxDbqd
kwFDa+qIBQ9eSLjCRtadMPZzIsgT2+jWRVWUt8QUAW073A70wfhrUj3urcIXnGzDwrdv0mHwLsQX
2zUnq/KK6QOBbgLpZ5j14z7JSMGvsGSklKQyZ8RZDr35nmmM5QFAWErbnGE0lxsd84UGbr+NzTD4
TOHnxpgpZYgomIXqZ4upFCRBBj3B7CZjR4KRnVAICeC1cAZnwyixuzOyam+jWN0mo0X9eDbGz1bn
fpX++uuoNVHU6oROSKcs3HVCb92VSuLkRkF0ZCrrGc5TjnX6O50mGfeMbGnENClVXVmLz5hppW0i
wbntdaAT2NPlFvsKC3Lf4Bo0q5odhEgehykdL4Ou+eGE+pSLoI8S1FJuXxysWKhgZNXuJ/JcKyAJ
lElG+JiKolgNFalUssErat0sCmAQkM243LCB/Y4D0t0Q67zBuU4vy+IcdNKa1+MHvd0QFf6pq8Zq
rzNPUDdWJzuHHooF6lIGt8RYMM55imjBJkOjwbzu1dUZlytdcSEG61XFRcU+iI3QzwKb2gUdYcqP
gcQf74nUg8xgSyJG8CfMmJNswclZZA7DOtW3P0CxUHPqBLL73gdJi7OVASZ1fG1dH3x4XID2CG2s
moD293Va+Hiwc0LeahVaRTQeS+kxkcZBz24t+6qJI2BPlqXTSzO9Q4+cH7ush/VSL9ctRXNjY+bM
wJb2uWWrQovGVyudGQSO3KZLWZ1eauscHHzPFtUK8boZZHaKAxt1kZbSUG7bpfiuiQs1bS30oY6P
NAxvG1XrC92xw6FdivO+0rOmECk1YdTqTSqjYW/6atvLAm+qj9EknYxf2uM3GXiA1+uFTSNXWOTb
H+FXcx/+W1r84NLPDy7eMHwDagJnwKSazj9zqtqr3ggTtZ3jigrapR6w+2oKhONEayDfCzwgmseA
r1mew0NMDqOrrtqvxsHyq32whSVTrskKDnrrxMaMtdKcgnKTfjUX1rPmA6LvmUbDjA2xu3OXosPh
q/OQZArEpHQQYjiFXjMEO2spSgyqPDz1g58HbHvMiR2wx2DWmh2qAaOU0VnIqeix1qN48RPTg70Q
psPJclr7XCxtjZqHTsYjnQ5HqGlDeaa8jWpHYOzNiDkNFt4mALHFlhV/4Jloi/FO8YmciO5ops80
EdCqPoqSCknByWGgFsbDNct3Qs1kQpPhS54P6TN0Saxj+quS0mUIcswr+pCStjF+mFYaAS9YKixN
VpUj3U08iqul4xJcFf4E/PTdC982wrulsRTqgmZMd+nIjFQuzuCcAYS5UXcFQJoyTferWJO3vqXg
lhTq5DkTzdFunmx8Cu0VpYZq7jc4xN3HzhQQqv7Necz6HUHKKZPiLw9BjJMqRP/fdAoCMISWpNNt
I8vM4c3EH6UsHwjVv9ph8SDckoXVT8hZK/lNEQe9+9fnwd8cNKgjPG5MANTs7lCAzd9EzixSoshG
A8dcpACX6rq84sPPz//6Vb5OtL+Km8vLYBXixGnyOgx9OZT+oqXiiMEXqh3YazGAnX7AA7j2DdsI
Dk6ioednA86OlQhxIpcsT2Ij8OYzI4Gp9GpNs3ucjbK/8uqiu8+kzxyRj2ztwWS8GKiKr8D5auij
UCHWPetid4tVvYp2X2/if/WYf9NOQhpvqQX553oMZ5D39j9u2/fPHyr5O0nmLz/5pyRDrS72Mq41
z/OWwQEK8Z/9JP4fJmIIIwNGCsvsAN3lzzkDhE30ZE+g4Pw5TfibJCPsP2BxmvxkGDpLtF38dySZ
3xHnoG9dkukL9Z2TLEULf3+BdmRZvLZ3h32dduHDiGpxQzcXhSF2KNsPI9TZeTTDpl7/8kH9AzmG
Z/lyg/96a1ggRzmdIFPyxr0v0enXW6NXXsbIfhj2ntNHO9nabv1eCII2KzlYDmT+2sJ9Jtuxf805
08KudXCzrQM/t4nvZKPp7c28tgTjNTt/iyB8UD5uwYpxrDnulgEiPeSKnMc6K9juHUaxsCQB4eE6
paMDV1ZNN+CHTdzN7ua23At0tbcClNr7XInwuYDzTpGDGIa7GSpcTXkXG1+Z5GgyQR3hqR4s0b+W
ji93sMmBlhXF2cHtswfyO4/kZpQuP1Ai1klnDxtNjmqjoooQWGtdqXZM7yB9+i+cO5u9TWD/qi2o
BSBN6njkfGMvejKGXKZbHRt4egMx0ZY6//ArN8NXYe8Ym4hjJ5hZc3S8DZLe3w1TARLfZzBvWOWz
lAWAuZoAmTWyPkJ1AgMp7ueC7IKb5ssKW2HEDm3npqyZD08wxzA9xpt47PnBlup5zAg5IhmnAK9u
U1QF8Y4Uwbk2dDjRKtISVBEyK9+XRFHI+A+rhtDICpjvnuyBWiv8ZPyhaqQ/WI1QAPrmik1FdyRn
t4wqVL/rKqYQFROHtdWYPMViBU5klP42wwG5UVNEqs6NmTaYyto50naPWDZJlQ2ioa6w70+RqcgX
ou4zmZ4gX7r0NWVRSjFtHRecxTK4sC6lBhToyL3GjrYdYAfBzaHogZSO4XxShhYfegemiW94xkWn
Qwl2u5H3s85VtikdPHqx6mUKYT1K6Pslak65R5AU8cYJfCfcsHniHDjajnoHmkhMu2YUbqwlAZm3
uHeCa3BZ1gd7xuKz8+fUB3lWu/aKAUR/H1fZlYmTOd/gYJeXVITNsWO/iF/OoP6lrk+JLqqXgpMG
n3XaEvIyiV1orN4jbi0CMYa3Ms3K89Yy9qrbIh+gzZjI+pCmqgywWiHci0PMdNnq2flVrgprT5VX
XqBPJcFD4RptQ+7JMTeNV2qxdQ2LnbwmdHZttjapOdXMw53Aew2OG7fCidZMfILEtP031QUz9m34
lhfyOsRuG9+AuTUG5nFxktAGxp6U/VMljpmFlAWqMogPnJmcxwpbX7SE0uTMh7mQbO0ZHh4Hzjq/
wWs4PIcQIIkYhz6wP28S9jk2nHbcBu6I630eO+tH1dQoPnZhPWd0bff7rrCcn6U3RuEOCv2M5VQ1
zIVWenaNe6KB484j6nbOaLnNMGwITAZlA012ZedAI3oBqhWjlHFuaxNNi7/sNf4q/76n+xirAoaZ
Xa6Nm8iZP704+1BFcmWB9alNw9n1M8C3YhD5YUhC+8ZzUvxODrC0Dp5GMHvZVdjhSaKkD2HVrNWm
0EZ3SOvmAo5b3Tap+cnxHfh61RYUjeXxwWQMel36frYTMe/In4t6Fy99JElkdHtYEAHBuUlsO/q3
P7TXDrsZ0s6FmvFYbjhSjVeRyqafRUEh40qOQp5DMvIJF3AAAVaXCNSrdnatD/wv8pSLPj+Hvn8z
IV0iTyqrszcWqBHvR1PNFrM8H0cN8WSj4L40Xrsi3mLuAcHBFP2Jtkd/p8qhvwvZCzUrGBDBQscZ
TmDLfxCv4/kBaclZQFLRJsQBeT2QOHedTNtgVXG4jUUs2QcmxS3UcTqaXZtKRpP6rHvGZJm9+JFa
Gp/nrDtmMSfazij6ixqZFWypYK1gg3TzTdASL6QWiowgEq/PlUUVOk+L+CNAc95QsBIc7AAcL3Ax
c50jtK5SqmWfghyAJyQgQLsTShyaGazHMbswYlTrMY4OfS4K2tHdE2gm/7oWHlB8z/3J6iQvcM7q
fd4CHkF20a46Mkqc1nUE9nTbag3wSqrYKjfG3LSf0oCAuOSwzSvfK1UEaivt1DZpjXTCPD2A1Eso
Z5zjjBw0x4acquYfZmL1e3w0VDCF3DB7l6PNcKgpz3O2wzAEF4Sg4tnneyIDbeH6zKOSXKrn3Kqp
iT7mPLecB4XPGN6MLpNuU3WovkwrvJZME7sDAlNW3G6RqDVjB21jiDM/asQ76liV3ufCGs5YzDdT
W74aQE0LUrgKlzFqju1v0KRsC5Nez1aa9vAAT1Uju8eRszksGit1Lr7y4S7PXitW+TA2ZMjLu8hG
Ik3QUjaqLozbHLfxZaJ3i/8pPeOBszNhSQEIXpC3TQwJMj4WQLK2Y+C05xSmoeG2w8pGWuctJNfh
YH42/vR95vl+HJXPVsEU81FqwnQGRKqDwYCC6jAgW0LkVO7mEzJU6+6Dge1zFNOkrpOYLzmZnHPq
xs+xjdjYdCMXQES74Qhzj94QRw3rwtDJPf3XyJmp3DGV3srCs3bd3IurZJLlhhYNa2UavvycYtGt
o37orrHl2StpQIOopilbzwocWkxj7L72wXvwDY1b9oK4hawSa8Ckn6J84IPEJLUtPD7YvCmj6yoY
qn2k6qfRTYzHsCrbQxe6uEN0CfTDIxhdUWuw5wkUnGO3hkCetR4ao8g2LrC8A4MPBzdHeKuMmdu3
EM4N5BzyPlBV1qIdsGMbmYc/bvJjgnEZOWy7RWXBw4Z3vp8UU+7lS8Wg6xKElerWk3VI/UinYJuW
0fgW+mZ+73faPJu0c/5Uk+uB/iqsozWE4wspHG+DPb0adqNrVnBCIJVtYt+MfpqJ7g/Y4jGkdzm1
wiyz0R5R25WQWK2E3mRsIessHsyTFwMQnkRqv4dW21wNpKZvmDBlcCQJ00o+b+Gd4rBA4RmoGTnF
GP4f4tByz2YwWI9AH6MfuUJFX9UldZ1BiwOCB5MVHdPOdE8xH7W51lMabmPbkKdlQCLxguGp2Fcm
AbiC0eYzE/hwhb9oWLSWKVwnIo8/e2KFA5Sz0K/4EkoCQkFgPALgTw8yWRzcU6r3pTkPr9RrFOe+
mUvCTGwfLnNZqp1QfYidwTRJQ7iJrR+zdJ5/9KlHvV4dZNl9S0jsPkyqmiSRhGvA1rZn2CH8XUr8
/TnA73GJkrLE/2mZ+1ksvng9+yNJvdaLX6XTQBgozPyMqXh6HMbCOQxk/e+MELmgE150a+OluAYo
aZ27MvBfDWCq6yZuqlfbiY6qslziX/GFRLXHwBFuzJZZ3ECWNYMIsMLzR4UTDBaoIVriOrU1+YO2
3VfEFOzVGGHP9XGS4odUE60vRPy4mDLyYBe6lhIC8bh5xFCyYSzm7t6DgnNE4l+sC6X1ZHvDkK2q
tkN0jkaCldrArHTLEsH6BldnmHmAocEWivlqnisFcLIMd9QRMTjznAYwFXwoPw/pXKmtrSGsjOdM
Oe8FFqQduPfkk00LBkpCjXIda4wsq36ay33hju2xbgb1xk2r741Qsdt0p3KftbxIYJhim/pBtsU/
HEPDtuPbamrFZVSk+d4rG7PPHeOnJn8wvDH2N12t04iTCAe8dWTF6bjqynaK1o4YwOv5PXPSlRcM
xt6tqUkunDF+nGpL/tRGJsDeeHioSe3H+7411R3UHuutr0LnsZ9GQXyjFeHrgrfQ21SiqMSFkXxO
o5eeDM+x3xtHQM/wG5yPZGO86d5kg/qjten+jccKxGMhp+Z+bmlG8jTiNxs2ZfFUc7sm3jdTxiO7
VXaPRFaY7xkgmCdad7z2MUC66y4RPkx7q1O0ru1ifNnGBUjWwZ5T8uhujKJEwTNcaNlbszzWFhch
sR0jStm3q3bbFbNHBjPj7gU4ElDky3p4rqw0JBdkNzU8XD9JNqNhCwoTat/ifvehS4Csio9N1dtv
Of01+9IK6+c6FP07ZFYoRU7d3LeucycNeMoTBLRaBcG5m2lZibkO8Sh55nvqk5+P6Xg/Lpg2KrYH
49WqKzeA2zU7bx55+9PQjdjUwqC6Edr27mInIAJrxVN0cNJ828xYo9hRJ1cIouOhwSB66PkI3wc/
HnATGN6tg2V9VxjkDaAX3kg/nU+dJ6xFGErvS9AL12Fn92Suw44EPyFRkquYq+qVn8OirVoYcSS4
ous4Cb71cfIJwXu6w6wQgaiGwsTTWihoQ94Q/uyDmnR+X8gdbYXkhrA7PbdB2L+MKXdObpTdS5rH
UFkmz77G8VSdoCYUd1kFmM5JzLWou/CePAegVOLu7K5k/cNhYsQKOopDSX/Aox7C7qRjiGqW7sbn
zAKMpIwsuRBwTm8r3dpwbYA6bAur7q6miLqbFoL/kTBscjcgAGzsWmJ7YMhd3/acST+aWTh3SVF2
uxmuwEoFVXuDFT87Vn7z0puTrBZb4Mz2gGLMLYGRYN2OZHezvtPM7PJ5ZU29uc5y8tNzl4rXIanE
NUJydsYtH75Kv4m+fVU0wxpWR5bV4R6hev4m2Ytd4NrprVZRd90zSX/o2OVlOHxNZ0cSzDhRg1Jf
R4pLflA87/266r8RuStph+vk+8wE3F1RmcBopRz868DnsIaIzt0lWVU2CeUCKw3ni1IQlzDszBkL
pN5O10l6DRcles7xrZ1cBOlnuCMcUBOv4CQ4lJugnkEPJLZ162OrOUX+QHH3wHwaUIi4Toyi/Am6
AkEaPLKAUE9rEMkLCENzGdmfQZxxwurboj2bsWJuAoAqPhhcaBZ+9MEgidtl9Gs0WRdvKsOpX7qp
JtMRhJP1kLlz/ei3Qr2nBmwCOA4LqxsYUvnKdDh6HzsTjncI+TU9UxDl3aI7x8/6i/SdflG/qW1x
2l2agfGPu5HzldtL+2PwSu+5EoVeZ75fveN7qTfQEfyXykOkcYuuuorZqYHB5tnBL5Qy6Clh2svB
d+7JD1hby2sBnruDgkMN6QimRPfeF/1wthaouRJBRJ5Q5gey9CDPF/i5oghrVcWyfm19E4xZVhj3
LpVJjHDMaGX5645HfLWmd6T8xFXqTReIx4l7oO4dJjsQ0XlhNVjPGAKAr9ewyH4OphPsoHPP2zll
DLqK9IidsCrn+SXjDLmJwe0elC/hz/PmY/YEX4B3kSin2LELaK9mc0jeRCitRz8tuYCkpfkdDFXd
LwioCSEoLp+dovmpvvDxjT+X7xpE8M+KPegxcQ0eQ0wZNknRkAUCK7L3JvmRxQhbFkg/YA/vsF5w
cLI0r8eus9fjwrFnM/bMQ6Y6za16MKNR7ElKG+c4hXsfLgR8GNDuxvCqq6yv4TD1wX0nlXODbaG4
gk3IZNN2FqD+FGVHtyvxCjqU4chp5nKgVMM96aLtqw0z12WZKnZZxXw79PMVS5XiTjP0eQKPeS3j
OaEOMWz3VhiZHwmXz0fNREBjPKhgPiR5c/YS070eOEHtvNzu7oGm3c7k6/aszeN9Fhl0eneW3cJm
d8d9boTAoxGlblxh3iya0JvpRdTFFCRfqNUyyvSGnV1B1pDn1XXCHBe1i6ov2j0Sh/lsysETxLJ2
0N90t7EnOhJNCkq9VTi23h1bg9xZZ0kW3YhUmlTZ+BR0OgnIH8j5G5uenVUQzdyXeRQC8mUkuOt0
l+EN66v27LRLe73TC8zJ8SB2qq3VWzrb5jXgfABGHgDNlXIG986WfXONdZlGEmzMt1BS7GuzNqiF
icLKP/cUJh2wYaYnIWd1BmRRn6Ujg3vPyutdOUKQ3IiS+3RWQ3eDuKa6rWuTuILZBny5waAwrrRT
p9vYmb+HwNY2tD4QAomF+UkUMzsOkY4eiPREK8/vGfE1tRYrTwfZLk6pc2tdU9+EjGf2ifCrBkdZ
EVxPWVffQac0ufQAtuwTwy4PHj2Y7yAm/FPt1umT5zY8BadKNeiN9JrViFfWipsaC4JrimfaVkEQ
mebAnst3DrZiMesqWiN8xtZ2hgO9FcZT0A1MqeaxYo5X4PUx62SCR5pPxFQEbqc5MI5d7tUnozKx
LRll882UbECMuJIbVRBQ1nDeOK7vM6tobgZm7TtCwKiKemIh5V/dY+fAFM8nf9zZOcvppkxSQqsz
mN+tYyfc4xVzYdx2c7Tvs6a1WHjEcLHyUD1Tv2A9Y9mPMZ/N8A9RrhjbDl4qt34OxB7bhqwfM3p0
zJ101TSTjxrScmfkaHnnIUkEkmxdCa5bxA8aI7LYeAENpE4B6Ay0ZzbRDPTpg7vXc9LKc0Wj70Pi
a3NkP2Mg9moMW+MmbWRPkWCh94QmvW+Z0N59MJFO2ZHYMpptmnoA4l2bfPAqbZKwJXHtCYorwsC+
V/S3ZusxlGAAyWXXL71jpx+DYZIDCoPRdAjUgkE+aaT+R+no8rWxo3FvpGVzA1BQxqvYbdQdXGkI
/gK85G09IsTZg1PcsNy8kb/GGBkQMLBojPxmVHayw6jFNJOs20kFonhO1WIdKYMJ7pKXCMaVVo6Q
0h35FPRWMXC9eFL5AZiasHroumHamMSUHpEv3VPQCP+WiDkSQzoG9VUMJV6tOmyon6gGHs29pQgB
hrSMDoxpMhwaqMb2gIZMvhFm6PQqA48FAgl1vu4Kx9/2yZ2s/b7fwO8JH7MuKokPY77IvDYDquJP
15FgJTgolpliJZnlfjCjJQyXgAvCMkoT2LBCdXbvgtq2CSGPcx5upD+DhsBkLwg1VEGZ4Wiq0h3L
iLjNnbC7s2ehXxDOxzvD60u8UyTmJV7Jfadq+8mGY3HDKJy4W0C4FSiUmDcK1P4NkOeZc/kYeN+6
Okve5OTl586whtvWEKBGC8h6zrkJgPvwFeT8PSHhcpklu6x15xvD66yXGgyPzfUucacU5r+cbqaw
xTDhQ1IsYap44V2VttrADiTiz4hSRTo1Hct6gK2IOUYWZvEAAg/LuxFxgA497bKcKhcrOXap9VTY
7qWtLHWPWc+8F6Nd3syGW6Yk0WXzpmmluXg6bTjLN4F3bULHRMYpVVoeZNdYT2RfxZkQKj7HopGM
whU8QEY0GDNOYFCj7zIr9HsdcvNsx4QN22ogUkbxBHE3HFc2xzjdDvkLV9swrMtcshKgek43MKai
74yIlwccN5HLUPYFP6042lanr00BZjBJIpMK30KdebazAKnQ/FRO3yabsGLlw8VkPHmGrO8wPfun
ifqwK2fsCEnaSf9T9Y4kxBHy7ByDsKEmCTLdDy+Nik2b99DPxjxdd15XHkpH+yeX5zbB3yp/cLBh
nQxBG5PO5v6zTAmIrzXk+32dE1tOHX9ijxYXzbtVg0HZEhqq7jkioX7XpXr6T/bOZDly5MzWr3Kt
95ABDjiGRW9ijiCDDI7J5AZGJjMxT47BATx9f6DUdrMoWdXVpq0XdyGZSmVVkREY/B/O+U422P4d
OpocVYmH6Vso/kvxHmqjoXmJwPzQ4oVgF/zEaw1ARabe9vyGD6jJwBoYJHbhtdPBozFbdriGKiCS
bdXGl77w2nsUHpLtAe8WnMa9gzTX7LpLYXv5VY1p8tEKEZ+iUPQu7lgyTTCnon+dGastB/Licezx
YoQeXQnpcjq/R2iRpes4SAW4prCa7wAqc0Uobgh0Stw7llvlMTet+L4Vsl5I0HINj4VWw6nUVil4
NXOsw9timNwT/1h0y9NtvBMdD7nVql7icMi2VlJBkA9m/6b35vkyjcVHY0n4rz1Sm7gi8icNprPb
TcVDom29V5VX4asJHqakFUCacsnJyOjy2LUm2ixbgy9Ihek+IlmirnA9Hp5pifPIea5RSrcat6q3
bGjw0x+NpAiPHWX7K/ZFF8ejaRUrxx7VPbZdDmweZWMAmskpN4xjfUoGaRcrhOktQPtRXbNd/VGp
TGSrumvlbRwJ76zdyrkbGWe8lvjMMPwQ1tLR7rK+ibEpn7QZHXirhpcqKX30l8wUMtWLX3UZkjbX
mg0SHKtqjWTN2F1Zm0zqqVhLSoSr3vDKbzZuHorOgJIlZsKZWULDW2PbQg6cVT+zT+2OBb/vNm6w
RY0g+DYmNJWtj+at2pu2dDhNo5GlVdcVry54gzO7Q3gY7uT/Qq3XXmkjy5kFW/53E1EOGMw+hwKV
mQNSnlBSyHopeyt77ulgBLDxq1ag6BVFgxiHbQ7j3lq+1dIpHVh9HeBeAw2gw4wEqhtzjDMYQ15y
gddgBu/a+EECp9shV9ePCUD1j0pP4zsQje6xGftercCwLu//cJFjBCkksplkt9cGunexqOyjZ0ak
lCZzQY+HzpiX8dD7HnuYrLM5aLIuPoMzN99zW+Lp13UIaltNHFxTGbjHkOiTK74UUEvO4BF6LVbq
SaKRR5uKhlm1EjYopPGS6N0wn741YDXZ28TBToiaM79sYqQ0rgkYqwqFEW46L5nPfRIuIUZaZCcv
cNtTNLaIt2Q2eT8IgYKw5pps/JAwVZxWIsFlvSIKW97UxRJrwKAN70Eac4qtiLpMYQG7vd1cB5By
w3WWOQD72qoKINs61lM+KPYoosxI/vNgCnShYRwZshfeRqp2+T80D90q7BPxxM7WzlHfCSTuRSnl
B3q2Emu67dxxeFG75ByXq1BytB8hGFjZBj36+MK8WWxVlhqP0dJdFT6uiD4Kxm7tsB/caujxmxHA
7NkPBvGROdVyiEFegSVFDBnmMliHEhXBOmA4fDUXpNuOZTPeoHQju8ZahuSgyFesacQW7o7FkzWI
rZHqO8dgMopMmu66fekpwk9TWCIoJJt02xEBudFTM/y0apmee8qJG7G8naMZ35/nmbALhlqsw4H/
Ra4GTgii7swXE4nYTYux4ZwpLbZVZ8b+uiEfIFkjvX2J+3q+U8NQXgMFX8iElrF1RFgcc8szf+T1
QApO7SvoNlV8G85NqtZ1opNNn+v5BzEe8QG9nHcklY8gmp4ENl31kfz/2qCf/y8GZMu1HBYd5l/r
g94y0nc/flcH/fbP/kMhZJGZKxBzkomBDgfdz28KIelx45kW8e6wtP+vPsj6m+PCkVosXhaurUWo
1FZ9F//nfwj/b/wNH3eyZ5sOdN9/K4HX9b76poiv4ONZh0LDwgxgfhHqIeatlbRdJgSpJIGXRljP
a1MSvxSEnnxrp1DcWZMJOQOwIC+6uRzXJtEFYoceomPN4+F/AfKN1o33FMoMqNz1U09Gb8lgbs16
W25it8mPHnz+9xhl+pFXk43Gs4s4fhjhL7x1X3JOTgUcXF6q5n2YW/auRIR+K+y6ZTcG7S8te/4U
LpJdNmH9CHNKH4yyVj+BMYAaYnQVLgxwAFeB5d+YXZ9cRz7BBBN9PIU/KeSFsGNIK0WybYl2uEpt
K1gH8YxqyEqNfZzawUfKog/QMlL8ndWGzh6YofngzUlym9UIeRb016awR1K2nU6DlLYSsTHpkncC
JSiS+5z2kxNTveW+xR9URzkpYH6D3ikaYM4BcUFZbMnev6P6izZuU1cX8krrdxOc6o2TmdcOWexd
YJ7nCkUK8WCHGcbwMHhXs5zuYqNHmuL0S7LB2eDKbTi1OrJJ0b64kTpqPx27HaPoHNa2UdTn2h91
t2Ga4T520nNRphNmam4sJ7kDJ3+lQC/iDi0cON6sAFZ+5dMIoC0uiMZTJr1ML6o3BI3TeVIqfMXZ
K4/p7NeXubX6aj0Lw32ENdmcVDq1gMcNk/02Qx0U7zZifp/qciUCKzu6xegdhrbxDiQJDE+DjTl/
VUcyA7Y+0+rbhkVwMU19JRrjR2t34brPpOD8dEW76kvtfdN0rlcIS+E8RzGTDBqNaRs6RfKRuJol
J3flgd0ZitwK0OreJMzkdZDCvfUqH/MS/sB3VVffkbR434Ng9vZeUWb3BfyzC0Mb5pUJ+RzESZnX
QG+8a4ArYC4ttnAcb9dhNUZsIsdypxrbOATQ3ffspcSdR0ufMD9nkUufyB0t6fqhYPR4oXj356Oz
eBMy9F2WV2D+gnsEFdBKvecO7T3ytgDYBHKk6WFMovFY6Na6CIs4kC0L3uGNckJjPyY5155JlBuy
uXvFaYz2gySoA9tY+7E1fQaQvq40GJFUveZkbihIhDMTmGE0ZHMToIEBNKwLY/Fgey1z3szYZrZm
HhLSOUPMzUbQPqyQ1qV09WVw3eLZqQyFOsjgUjQsjONtS+XprMrBrq5m2o+1TSTXyUthARsJVgde
FxBPskQgc4olE+bZwW3FcOx6gJJ5GS0ceCu8cdMDiYTWycm6tsMdbgFCDkR0a3YToERhpWI3sFbY
JqNHWWhbnnFVhPAQ1nrBmPOhTPjYz5TnkLn/BaVdv+2Av26ZxeUbQn/Gg0d+WQOwTNe04fQGiLjq
a2w7EGfqbiRvAB7Dzgc2rqjd8+RapKHYoX5xr8Gqj1cmsTKUsKK7hiELJrLIi1dZc+xS80C/Xovp
qYZ5FKxlbYePlirEuyVm9va6CdYZ1QW1Zg2hDXv5JsnB40PA49madJHdhFGu7/zeGu8mKTU4Pdad
6xpZzoZX6tbyuoPRmPB6SfcDbxaahyCTw4lWvblYblBcEuCnzw17xmdSvqqf2q5xgc5jJQ7h7BsP
HhKF24FO6RmJjSEJ/dAwojTMgqTz0itpBtzSi7OtzNDvVJaun2WF5c5AR/icINbgpmDZQsxQPm9t
a3J3KbiVvUizGLlGrNfDHMF1dRTFosGw8cHxmH/GsQ+H1Pb1dESRZl9HBbTmqXDRXgQdUbZMDzYR
gV3HVPXBS2kob9e0or9viK2+8JfhkdGH95Joq9gX5BvtQM80N8Jt+xtIguX75HXDzrFE8cqiP3gN
UGJeendI9mI0SFyaM8Hd7nbbgshXd40SUhxVBrPTaooCDVKexQQo5P2pHpxmifFSR2e2ikvdwJVP
s+SHUKO/RqxzwnnGO55TrQir19qeiQubeu8+InUvKsbp6Mde9IgzbPgJoVpvXNKf953SJbTDXjTW
1p3mBYIOEzWGuQVTjTiPxZ+p7Pq69nAnzY5Jf9izRs59sl5DpgwHmbI5WnDIjv2iJnVigWKcLbI2
isjHXJCgGDIgMfKq3jIKLddFWjQHYE7sU3E6rq0xL2sa4Y5lIhJ1Oz9lNm0qkx7winGK+2wtYmAi
Gfnqx7hnYLiOiEPZqhH8VKzUq7lMmoeeFdza1/aITdmU+kG187TBxTVvRaORigbFcG8bSmLEi6rg
gMAQoBZFNPztMVjp9N5D7rbK0QhdzJbzrO7tDDS/qN8bH8seKydrC/RLPjIuYrBBFMI5Zri1maqw
3lhtOV3R6e87e54PLuqYfcmyG4l8+IE0kH8tlr2RQbwu8i2/inEAuL3qGOdjVQ6PwJ6q9egYTDRh
YZ6ctDIfHBCOTJJRXd3GXjl1K3zxPb1RbBK5UY7WrqBRAdVnGr/GULknS1Tqmeejufb8Gg4wI32O
mb76KDro1r6oMSyJen5TMXESZlxewsxahqnTvI2GInzgAhT8poJk8CYD48cakyly28Q3LJDhQpDz
i8p0tBATztUlB5V+3SLhfdGDOWyHOKrNtWkMQ73TAhqmcLvR5OVkBr8KwybFxjCCnaYlA/Fkq0Xm
5OtkC1PSdfYuPttj6ZTGvRdlEXTO0RkOpD+xKKUldvO9QbD2PfVFUp7zyDDijVHkcbziNbCOj6z/
Zx8BVpPqWxo/ddKQyO9C9NM/C944E44wDInEsvir1naTJ7so0m1KuYvI1bJADw5gJkk6QpGdefah
CEkQslN6PKNKzK290JEbXyQHsyD4t/d0fY8X9taAcV6CXeID26OqxgrvLNoP3wQW3FFarFvEdWvV
6vFDJ+P4S9fio02kevXy4c2tyUVdSXLbb9nguQz5e8zeYJzZ7dn62rNBqTe1OeCKEaSGhSxkvCVF
TKOSY/TR2ye78R/FrGHGCZ1tRW/4+PfLlkwdVoh53UYbmctyF6MKvkrLUt8C+zX2YaWNB4R43V5L
Cya9gLnmplP4QQymveMZjfZlPNtchr54TGTlnhPbjy4mUYN7jCLdzkiByMHwch8iPFPXdsnRuU7F
nG6k05GfJIYgOk2GN+xar4uOCrTnu5UO49Y36vBSYElHyVXhGucVBXcslTd9he3PyEN7GzUGy360
88la+xgjmYSOckseMunb2WAQoJFob8s8M96lnReyCMMecyT+wLnyUFUith6dQzG61gOu2HhL/y3P
vSHCg8RGtc8mbT1DX69gb7Yk3buDPiZ5WF08nU8WIHemjKvINJIXmRB01eisxgBuk44qkujWgbnO
Wmp2njnoUFu7CrsXNjqxdbSfnRKr8Elf7+DbRXX5i/m4f3ZJ1nkasrLYMyA1t43picOcOfIYNJOz
I0rTPJZDbZFxFAYcNairyEfPAMCTFXndmt2dNNsddSpmPm9Ot36uvhlhtWm0E98Mk/Ed+B8Jy0RZ
PcHZdleuT0BeUtG01K5HrIQwR5ZZjFxUyPxzNTqEI/UQu9duXxjVihsDwm3R5fqe6F330XRmucGV
EPINRm+F5yg8/bmhQjj/5OT40qfRRP7upzB8MjuxvceHkRDblWHLDJFAwNQ58JOdICx5cTkbTySi
jY/wMoOXyR/qWxHP0ZU/ieZ7mGjio1g/LOF2ggisntX/aAfzDhwDgzgvY5ilAuNSMuhB6E0QOOZj
roC5DhxKCSMUyYvjsnuiqCmHdSi6cs+UwgGvnl35eC9/oE+PNrYxVrfkE7YHck+eMZqSK9LVkoCH
wHoRfQ+fzZKMnRpSoWBp8tBmEgF7nmW7XNqKqWzjzyBCPe+VSj3aS9RbLB/1WzWA8O76B4cKZTXB
et/gxpk2co4n1CblNclT83Uy4PeVmZ9D/bFUENGVxrG7y0fFisqMlPwQHTZp9nURGcVTQVGI8c+q
vmF7zMWmTnx2dyp2h+vQ86Zj3FDtgjIX7h3pAcNtS9C5sRt5HUBbzMRP2ZvJR43ScFM7hrfVXSzu
iViCgGeg15hD1za31TS4V07XGwcpsnDTpjMRcsIH57tFzjf+HFomX/Hc7MpeouZRBfu6scl3Q0Tv
5C5GApLMkjMMdZ/Au0J13qqXMKL6ami3uAGT25l4uIVki3aE/vWSmPAjV/Y4JPc86MFxDEZ9JIye
vYRJhW2xT/5Vxx2lYKH1+BgXLO3WPfUC4PKmhEDmW0Z1LZY6e/gsufPP8lsslTinMEU5gQXtlh9S
7Ex6eZJ3dRzf2kslz0SRd5O/1PfWZ6Vvptih+6X+14bfXQdLT5At3QGwgeSmz1HzrnCE+rdtqtHk
ox54LJYGQ332Gi6VGS+jpQWxP7uRfmlMiqVFQV5PtxIujYtW0EMKV4u1H09Bs7UBiGyjmF1g8Nny
+J/tj+UpICIdGmLMQy6jQSWD7cSGnAueceMGGZ6fSFreW13iKQhYoZB2MnQXh7iM/eRj9uMlRr/F
Lv2hBuCIDLi+N0SSHNgDVYBn6+q+6C1nXZHVsjYmVPQE6CbziX1Nw86XJg2Lb+eu+hTnbexThsGH
7JCWkgj6TTRSrgkAsy+sXr3nhmvAmnppGbOleWQ8TR+ZpSo7x1nHpIAm0ykXFMZn5+l+dqHB0pDW
lp3tm6VJRVEFR8Jyo+uGDhbpZMyjS1NbLO0tf8il0aXlZUztPudLG+wuDTGAbm8vjciH1tJ8B36R
vbtLA90vrTT5EeVrubTX/menPS9Nd7y03wRKJh8kWtKT50t7XiyN+rC07N3SvI9LG999dvRQJ1kr
LW3+vDT8KS/pIgSs2qFmxRf2ORnIliEBenPvIJfBgej6YPPnb9RPHO8fDGqfL1RqQ4xxwvPkF4to
QIbD5IyTv2fA/zC/2C/Nm/HS3Oub9g6BUXlLYvCff+InK+7LJ2JGhQzsOAFPvvflExcda+F2Sbgf
XD98zyGHkt1N5PoNWqNZAMSp6is1NR1w0yiL3y05d9uavJFfsyVH0nLI/d6VKVEbdNEUiNuZTB9k
3RUK//0sQ+Nb29Xuo+sRigmWvdIIFpxFt9plgMrGpmqugVJnJ1xA45GDmceN6cDK9fz7fpz9/UA1
Re9cpLvcsRrYfLq58is5v7o6RRusw/w4NNLfd1NuPBWJxgrelRl6PkScIu+t+WqgvnuI2QC/IX+A
spLrEYnCmKhnB6U1j2Mh8m9/8aMuDsY//KiQJALHcl2mqIDR/C+APsKSbHq9xthPne+cyiw5diL0
YZYYwVYI2i0RwOA2HdbiLD/gjMqkl/tBeNb3FjpruWbZF31MQ69PRe5MV4ZvtRefoewL9V31bKMr
6FlHb3szmGtqYH2vChLsVuTTZDyaqb0gyKfsYHbMDkCKpPB33cjw0DdEJWlkE38q0hjh8PnhXL4p
oKwNpYPLGnpeziM2fBxN6ecxNX8eWc7n8RUvJ1mwnGmfP9j/mN13+aD/ZWnTtssA+7fbZsmz/kdO
9c1b8fM//+Pbz7b7P6ufJckQv0/q//HP/X1KH5h/A1DpYxb3eEB/R6v5EvJnYLu+DCx7gavx3P53
JoT3NzyTHrgzD/QYe0D+1n/P6S0ooxiDORK8T37kv+XjXaq73+9yxv3cJC63Ksesx23+x+rPc4yo
yTHT7VXcZ7uGU5WMUjfZyCQj07mcjr/9PJe//4t/h5n/08uRz3MsiyrU4xcB3r7Y+38ztqdiDOnd
ApTMRNyTe5alP1EHN3eDxbBhnFCoFiHzRd7WAXnP8zRglmDo1z8jXszXbP5IXxlCCpa/+HN93VYs
fy7h4+sH6goDz/viZ170aLwwC3/PeOC1o4oHpI6c3pslZ4RzYqxb7SvkwbswycdNPJ2l6s2/qMWX
1/SXa8FWBnmhCX7Jxkb4x98GEZkLS7r39zVa+j2+jPDkozB4/POv+i+uuMNXRfZhB4D1gi/1vseP
zGo29fd2JQ8yIw0WJ/JBJ/SJjSbG6M8/7V98J8keyOaKS+FwI/3xOymhLJMM7GAfAEPfjf6YryhS
xF98yldPOFcv4IkIiGA3uYfFl7tKMDNhmBRSXsQFX4OuclXm/f1QJP8u43b5IOznXsD3wZj/5YOk
QfTv5+0bJug1CyP9pRNCrDK7vNhp9hfn+r+4UqB/bBvqoiNNaX75sLF3KoL7HG9f2Q6mQ2gYq3hg
2VzM2KtBlx/+/FJ9EnO/3H9gBqgESanB0+F/uVYJM+5ZeZG3bwxoLgQJBtfaC837HObPsSrihSve
uLsYXcBhrtJqZxG1/Y62tlzpEvcHYm21t8ti2MBbI9vElPj/XduH9EpfcWHMRXqWH5c4leFisa2m
S+pWqp4h/VQgUdZkyOFpIK1uWJmpe6eKQv0FvsP6F895QECPCIjMZHH69X5coP2afBBvH5WxOKbS
8I+Edphrb5BPBvlLEFcJSlfRL8+Oa/bmmXgkltX/i5/6X92vgecIZtxAXHB8fXkqUohJRFAEe8jE
iCEdvKCkADFmRQ785xf1nz8pgF+JuswnAoTf+ssnMTBuNeYBf++FSbEee5/ZZVW8tjHeoz//JO7M
f75hFzwntFAsDbb397//28u9KSybGXnr7R10FFumQ8lB8ca/oGga712DG0E03SPao2Kb9h3mhM43
mzVSkxocTjXqQ9DWUP08yDKo8aT70CNZepND4x8wCnT52m56ljxt51yj2KyuMjDH+1LFEywrq0/H
XQ4LEYMUWXlm4fVHM5j8Q82gEa09di2jaUlFV43Y2lIF+GR6E4y/ZFgT7nUnGmbx9N89kLtbAltG
jMdx6zKFHaHFe35yS/pb+oYJsDg6eBK3Zh7MhymQNGND4x2zpmPVYM/OrRZ88bnFAWyQZYsphzGw
b4rwbKUT3WBnb/OwLhDhJwrCpQWFauzrR2aKNXOMsn7zI9OHn92UYhVPDS1NRVfslcPEtLzMD4nZ
pQ+GWTe3vskKGKMcGIZMjZh8Rm035IgO4Rk/c/gcBySTDcw9frh6UdKEpv09M9Jv5AAHOPvgCF6l
nbq1A2XfeEW8QXl9sB2jOJQDMX28ASJxD4mDkbgdu/6V6djt7QzfCVNC4+7bRmV7vk699ge0S6AG
EUjPVZ/DTUuYMvOWmq4D9OZ44zMsFvg3Q4YAPfKVfd7o4SclE78Jus1ryuWaDXJvYUgOoYxKW/QY
s5z2GxP84Vk6PmzDQtYtVgllBs+UbUze8VZ0OLAL59j3uCc1xfpaudK5bga32FaNGbKeimBuEO3N
0Y+6H1H9Ks2dqt9kg0/CbBSoXelzvUU78PMNRgsk0c008XMBLk9zsMjgqaX8HteESdD/ON/hBbC+
pvOPb4eoMeXKH4ACobIzAXTx8mDQrJyJUTqpM8EzBoEuf7bJb0A9aqY/GpnyHbxQcscHOMsf6Igy
LP2xron4U+GpaNWacbL3a45wsED5TpCCs/MOiVUij3GGYNVP1yIryO9zO7ei8dYTjxAwNKI73L1g
yQJF2hbFu2vLIVhFFcblwFHNUcGoYzSZ9Qc29ePZnQ3krqkTBfsKU4hCfFEUG78Mb7J+jA5Iu2GX
IbXkzxtrjH7L4sdNaL/dmCmUkczXQqtdP1jNCVevuoq6sniwS42oL5l2I9bqRxqskSiNutu1/NkO
2qiiXdB0wQEYdcH1HYtN5I7cHzk2HEbLee+yLsUqM9i+d0VgzU98o8026ZEhqLhpXoMwYLs/RHZz
NCxQIK6RsqIDh5isrBkThwHtYtPkGb8+fls0oSVDkHHC8FIqxKeOjCA7JMWbqaL0Ji0tffBtxSrI
pstlBqL13UAoEQFb5vAQIpMhdtzIt3oC7cv0EQt0GpPGjc3oTgQtogBtFHvVApcnJNfaAcWDAwBe
dRwoEMfZcq5CwXB09JhYqD51VkN9gvfpY3nyG5CCswb400Y+oRvhEzZhJNXKim6NbBJX7H2CN2Tk
9pOYZcfoI7IlA2DVL6bP8CBQ0pBP0ZESKFGhS9+ITklmDRu3pjhGEB5fRfXwQmo8yv/KRI0v8SHp
vu8Pinbx3JHP1a9rR8+bqkycVYSjn22jgXSYtHbscsAoV7acb1q7YZKZevODaLz2XM9Z8j4mvHFN
TLRrjvmEmVA2Xtqh0scUBeFLjSp0BQo9eHIbB/yOmoxNOXkAAsgcZmLn7qu2GNdBCRU8QraaF/dI
LHJknwWcdNZ7q5DE1GgG8QO339hVtqt/girtEBzW6Il51gzrBS+ZfXby9qyJrcTykEbrUZvTWjiT
dZ13NgG+5FbnxN14yPPySu8qJ6DPtjoaClghK+Spwz2W+DLZKQfpAnlCYpWWrO1cKKXak48USfO+
bxi4YhJ41i7OaMty5VYjFzgTi3VXJyxbUnT1nmWgpOYNvg/D8s2qMKhDWhltlfECYrmBzIgEGY9F
UDI721FoZIO9tm8a3Yf3pRkWWwaquLx95+xUbPcD38AAbbvjTuu+eQ2DEPjfBEaXRfAFH4y/SzW4
kpWLQfeF8HE2uHk07XApZsSfmNjH1uztCDGrprJ+oi4b70SZ2IccwexeMZtbW7xsbpDY1yuLXJSH
mO/7XQV6UJtszBW/hlu4I6/zBroEopHK20CJCE3GH2zAt27FL0Ke9Oxd2Gexsoh4eX0bYtW+C3Y7
5rrxAtUfIywN/o4gv3LdtfOvCU7KihwjzJFe/4YLrDryr0P94JNbSkaZswZ51WzaKb/n3b9hyGjd
8BA2JMJBdhB2kH0Xpt2coJogte8ZVVvTgn1gLLhLEpgDFuMvIgrUFUzZ8ZaN0PMgoL9GgfFk5xo2
FYf8xcUluWsxM2a4sSwWSKGruXOzFvid5zQPwkWYlbTNoaqJcAJzah66FrvUOLUsshoSDHqouLzl
+xKGDPS2/dAIVG4VeVO8UsDBKrbkLBbz66krxKWv82RTstn9XvlOu20cVhawPCCA87YY26D6xYGE
7BvR+mF2zeEpIq2yXLNl0z9VPktnVZllsUlZnK/mOTCpGeW0Mwy/gixcFUedtL8qIarTqEPrAelZ
s1PmdEnUkJ2mmdlvFdiIYi3LGJ6HLIt+yTlT25hrc8sG3Tx6sgkJKwjU/SzzaNcWhNoHTX9jlUa0
y0kcOrl+CoAGAHZ2GFEq7XUKL6QPG2L0CvOuIVNx3dqxYC02jLs5lA5CfScqTyk6k7U/CiRvNtoP
wAvzrhqT7MqBZZqvOjbleo3zS+PiBnAlRpFfhaXIOhR6/CIEGub7sAyso4OUHlqpe5U5/cukxuoM
yvlmZND5IYu6h9tq1whB8oVgLm56Gzh1ELbtm90iFSnMZjgWctpnlfEMCguqTj9DuACLUZ4I8yFb
tx6hV/Vu8TS2Y3cDNwilOYfggTziUzkV6smpY39Vxr7YNMGgPppSz5zcFAWIn6tkjUCW+F/Bu3nJ
bb7x6jK6s4ayXOMzcld+IQwyxcy82jDIGC6I2r/VE6jNyuhJ3BvydTHpbRXz3kYcUMNrHjesrv0E
DurM8LQDDIGRqsV1cRboS/jMJLmjsCfIOUrDzTSDrGLr7gsgNOVzmxrJrvbK7ZCBoXeTQ6+t7oib
DOcNvhm8fx54D4ycnH2sZjuSHjA/LsEXgHgq6e0I7piAnNWGfwoqJAbCTnAM5o9IvopN02dgVTQp
oU1U7ynls60fwTtx4zTcx7jL9jafv1KF/NE1MnzxGEyvarQRpkaHNJMHg1v2aerQULQDLnajf/ZT
MVziJcFyUN+DjuQkOzZ++En1LOzszDr3IRo4oZLCusVT9zPKfirtD3tQBD0ozegR6Gm8KpqaxapH
app1NgTE1Nzr2+tcGdeKOwiiRICsTtsYHkYv3UVAeTilwEPUw952m+LbbH8wist3PnKbtaXTYp03
Na5Txr1cwDZ5ZCPe8hYrn9TsP7tNyn+aN2KyXsdKXsdW/t0RsrtqMS2v+1xhwioIbhMBa4biEfXk
d/YSqJGcnHSP8sZ2WTWaAo4SmgM2wDjdVl1a6ZVAh7lxJPOLuBFgxnSz025+n/JUEdYYvzN2OLp6
2hh+I1eAKDClDSzv0jg8uJYYbssgkrdT7bU/uzwPGJoRWB4axSlI5ELH1fO+0OF7Zns05rT7j90S
y7k0+TyyhnR/xLNV74rWWUdhIXcqMPPTlOW4+kMdL6WU22wdG91DnPs9NCdSK33yV1ZBWZ6Fg/+g
LUdqlToMaO41TJiIFqHVSUZXb1DD8IVTNF+8CtDU+o5TgrfjetO3VitteA/Ifm4dWxPRJdTrALe+
7ajzS5fqs8gwpsuQd34dUdDbwT2SiLOdht+6qbwpsOquypHrHhESh80oV8c4nmsO/fLJ7Mg2UOxb
od7VL6k1VBt4QDXZPu+e4XxzcxMBleLMnuqWi6ay51rY/QWqavE8MgxdIS/KDwoP98GZRbWFDUh+
QtOmb8nQd/vYidkuMRA5eeXiN/Eag3Wqprb11GuJeWDPeoFvSowE9PPhVpLzBU/WhsZh5/0vD6r5
bVKNVHeuTTQ3Ps6dgTdhMwHlL+lZdin9z0mXIcURiD8p1EV1NBiy9puXuDYk6pCw3zNieWjQUAGw
A4I1RMSNF91t2xgAD3h3bJ0gdM8VKxyK/pG+ObFUczMLIH0qGbOd6dIc+wszHoHnln2huRMJyWcR
sg2yEN3xURglrUsJS1Er3IIw7KsfI1/q5Ckv37gjl1RYfX0QiIn3nLfmTd3E4LCQ7p1QlpUTegm2
R+JsTg1qK+x258z2nWfSKN1nf5Q/w9ECZMpqlAx32/wGkK47lCioH+p6UO+ae/vSKd89A7SCn2zb
xr7u4mE/FiNpw5hnb2TfFluHMQ4w2hi9XJOQKqqp5kvqvtZ7MhfEYR919s60WCNRkUl/ndstBJo+
rvtjW+Qmke/596mhVIQ2kf0Io7jcJo01rWNFKdQt5uQAqzez6pRaKTVhDzWlRCPhuqdaddP3Hn0b
DZO7zXl8d8ig+uMSa7HVKbZaVUQje3SZUi1m9cnz4mEDKe0uZhC1HghXP8/wlw9ikNZuZJbCAkf3
BD+0yZltsTqmAJ/LQI+7gAedXgo4AyipAWSLoq6UdnEOdE+BW+YxagVL41YM42M9DwrXu3D3Rd5B
qi+yadsnWcxyTwwHmJg+aXYB+tW+whmVUM3TgD3oVtivWQmCxR27jzGw9YuVRfjC/ou9M1mOG8my
9rv0HjI44IADZt21iJnBKRgcxQ2MIinMk2PG0/cHKetPZVZ1VvemzX6z3iWNKVJCONz93nvOd+bs
uiaP+TmL5w/KcX32gc9CKtAGBk6ja3Yi1f2lYTaPluU882ubY6H9i8hFewxkvMSnPpGfEtBysyAk
kWVV6+gGxRy9oUI39jbvTHpBuSHoOsYk8HkFy6csq50TlUGI3MmSz6Q2w3lRZfXcJxzTAY6rlVd0
oCShurXriRDhO3oVxWNlDP5a+1H1htjUPsegu0/I0uxtNFEaYkyP9Sm1/G/MiP0z/Th3XRk2xiVZ
lQC8ZqyUvsI2V3XqKm0KfQXGId26/ojRfUQrUtWBu63Rne1RwJGY1KCttJWIj1OEB3blMAVceQKU
ZVLMr2D1zUNItMtLVCLTzJJE0+Fwv+F7Srgc+NOaAUG4xWxV3WZ2UKIymeIrzEQJoYZ2csHyu/Ol
W4mVLsL6MIZ2dBWSHbydyzK+BDmKZsJI6aheZmNHEIHs7P5uSkz50SdDbR0NJCT7fgANt7bdWb2I
Asc9YimFpEt3Ufwd/pBWa7uaEoTNYTs9zDnSKrJ9EdOiFhtbiTJKZy+D63RbSABUenM7P5hWiIm0
zzgdp1RumJrcY6Vgz/R1+p4TXbyDyjNuvHEMtySKNuu0qZzHIC0u07a/8XKhj5nCbVimnB28q9l8
XegcPhiCav4Vam5wsmNVW2HLKp/4Rfoxz4ryJV32TlHmN2XRprukqNSVE/nEXAocuyu4/sXXiiTF
Y+vk1naWSLE3sqyDg3CC/nGop/k+Dfr6IU5teW3mvrkdDGDuZmFMq8lI6LI3WZUdROWPml8dd5ua
UAMw6xMGD5WbnL8AOFFmzqhY16EajG2sQBmtZGQQ3NjCp61VSC99qhHopCmHAYLejigQt24y7GVD
9QZexmJsPKj0QbH/3HS5133qwjHyVUAxue941N4V53eU7mJLnwOnYfdKzwys873fR+PaoX+5qnwz
vB6c7iRDDKh0cvp1E/TuChzRDQ13GK7BsG76YJG5CuJpnQGfXlqhSu7B4MVkv3SoXhBhATscU6da
9X6dXjs4j1dp3TypOk4i7B42aQN55b65lFIHv/esNe6Ndjv4mO3V3HZnSsqA9z/HnQJgdDvWFX8r
ggkQF3C7cbDXGCI197Q+PuYG4B45LPOqnIenboqQ97V4ZAuEf74XmKcG8jlKTyQiRWekUBehOhRt
QYR3lNZH24vPaPi6LTCFYyBhoa5ZLWIDYj3f0tUhY6xJrG9jSULrBm1zLriDTwpdtUlAHtFK7aVU
utsr5aC8C7XpfWBV9PfwOKtn2h/VXeE17TkcvPaFyKzklidPXUzrbid6rW65yw0LptTb5bx9G7O3
PttoSamdxXjrzKR3rCDZBd/owXLDp19eXRY2Ur6VZM8zV32jlNrBfTNAvIc1EqG09FsCy6Up8CCJ
YDY37jAydsydAnNhY1dExBE4SrifndHNcghWpolbBnq+aP2pgsmZm4xUvRZ0W6ny69ZJk0cUlQFp
Kl591YTusAnMZeISxMbrRFr7iGl9m0UlP70bmrMzVHKfQ1G5pS2i+NGNT/uioaPnKDXSROcu6+M0
rK3stkrZpiOyOJj0QBjWpDNUsr8NsmxDKlEDf4cA56II1pWuvnezfiza0X8sxqHg2A1h2eLSbvKN
EvNLXozPc0Omj2xTawfvaGMsOV5e1YbrcorjY1jSE2KgcxFmsfHUDGjzfRJJlrY7ILZojqHxkwqb
RxIsMFVXHZJY6GFJ2DW9JJCwibR9wQ2W+MtYk1GwM1tORYSuHhYwh+wbtBoeWYnEdHUopwyMzium
KsZN2dhTuTMNxC0rOhrRPXgJ55JLX3lBGAQajDiq7t1+Iv5Zta4gGDxvmFLT8HCD1dxZ7amxwVCy
gdloOcOqRmwfUkRqqpVyYwdSH0GSkUE9mRNCeg/fSB3S1jQH5b7w75p3OMcRLdcdMSY2Sl+ws16V
4fQOMQWJubY/UGBy6QUz5QPdL6Ba01msHr1p2Swx7NNCTu3A/i7dFEP4AFRwnzBD4HijX/KMn1m9
4I5RV7isymtonerM4FNduJZtP5oOwN6N6xgR8jVDDgipssb/2k9euQC58uICnkdrsrbNmHaaS9Ou
c3LerWQJ19wYQopPXNT2I0wQ8ykwk+p7qgrYP63f5Lfwc4GUaPC186r2ZfqBrcQkSAIIhslk5D7O
HVJbUsR2nDul+zopqW7BwGTfMjUHdEzD8LYbS4mr1oaN0ZCo/ZY4/nysyEDBXzb4tCEyg4IJUoTu
1z5MtnsfLlsFjlWKtwZT9GHQbZ+DC4vcU2oiZEWn2IQnQocWw5exs6IgfjIbv/1eFlb5xBApeM7D
nFRy3v2t0fDkyTwuMKFxkzxMRTw/B1MZvRRAQfEvxEH71dKG+0YXWL5mzdTgEyI1J1gIJ7LhCj/b
uHELlsixMqTkSCmTLbkg43dr9lD60bdZk86JuByiSr6ecNg8GU4eXdijOV3rYfC/JriP16ZqyHeY
vPjo0mZ2mWO0hH+VOnibabLwApRZ/dUr2uA4c9fmUj1nep9yAcTAnjfRLuydBw6v4rMvupL8d23u
GTYYuBocDfMt5hIkUuM1pt0DNgcZBb0bExIGKOw9atLkBh0HtnS2fTSSZZWfGJdhcxhD+l1OTODL
qrDy6h7hl/ZXOGY8Ho5DE1JaTXJttUN2IYfJu1go2cdYltUHKU4MBktIwvUa3RNUJ8uLswcsbaa5
QSlfXrNheNWGsGj3ZFWTLveUyaO17q2aKhrebkLEV5xBgIAYYb3jFBruaFgPJ9MM6nsHHManU3fZ
dWEWKaThwP1O5K93HbQVtBepDGNtid7+7gAQ+gSQMEhYwGWHujvwXhKtG7XKbKXdjRcvwINpkDLA
kG+7B5aqv4kYkD40Du5PfFgOZHMZNObZ0K18ClWefxShfhI+XdGi4UbST3AdIfWFAnGtU6enuRum
txxCN4p8eqcd9ylAu4rW+3xoWtp6jt83+Y4ygIfcYT4i4s6tZvOYRBhCN1ErTOYNYxDfTGPrgPdi
6soeERbezg6j9hL4j8YXRr9iN8w1Sycv+jxDOsxhYwHoI9MLNuV1X0t4ziwJ68bsFA071baAkV0V
vnXAmNNNqJsXoPlVsiFXKrroc12eIz4obye9Rj42DAinrZnX6oOrkexXfpxP7wl0DporWaWSQ6Xy
JcgQ/sK0YzUnzR766NIZxBjprpVfuK9gv0iJqrjyX4aBPTy67XKy+e6wD2eDrr0BtPEYqumb1oSv
MjkexhWlNe8JdyT+BQwThOWCwuLIpY89MseBrZ7N2YcOh4CWZUv6kTshFRHiirREsjU0nGB3b5PV
QKgJHWxrhUGEgYfNNx5E2/fdqpqkKLZVaIMD64QqceREOOh2jUjeg0biSZaxY62zsMUDp+CNbPMs
qN8RxJJ/PkrB8c/oZrrELZmtzaF1Xwin4fhIQoq3XAd5etBZan8kGbFIk5YFBe48if3U58UeWaK7
zhKw6m7GEIglWVwMYcegTDFMO7mkTobMIDtOkyZo3uekElzxLEM/w6rMgS5zmyij6rvdC//SMaR/
TFBbnYbZNgCaS6o14G76epo6Y8Oslhp/IpDPhXFtMO3bU9uU0Yaqufpeez0R7X6WxKfIc24z5r57
K6xDpN85xm2rMcYD1pSo3zG3j3ZFI99wBU5nA/70u+HS2hHYlQCRlh+dYyePtooy8zAPpU/zV9Yv
cIphIISluMmq0jiHRLL9CyHGIn/4o+TFNyUqKA5uC+auXOQTvygWotRUZETV3lLTMzylYj4p8pFv
s7aKObe5qiJVN5JHs+85Sv9aMCH/mVwCCQpT0EUpLLw/6XsWjzPxP6O3n9ywvfXdSh963TBFMBnb
2wP5dgE1GYNxM+k/hpkjRXddvqv6FGcMn2xaAUPyvJxmZ4UdKisYMBWja+8GrvHMmy1xKkLiEVdW
Tp4ODVRnPmhXlsdBJnBMGigSkGNXg0Nv0Eapla27IQV5Cxmz4qwnXxC0nLXPx9RYxaiDNu6S0tDp
TnJDcR5GPH8rZ5jEqY7d96QgBwKLESYdgw0/KQmUwBWH0i8YPftfPDrrz+nZBKKAFPClDdqa7qD6
k4gtZynx+CS3dTSU1A3mSSK5LqHwTReFQLI0TGgzbLjAzIi66ZJ8rmnnZySysphgc1ubICYFfZ1H
PSl6Xe5uEx9yigmOiIw443I0O+rdLOUCbCfJoUjQzP71p78ISf+89HyHgRaRQgI9g7co535ZejFn
SdX72t+bukoocfx+ztbePEaXGB7PhF65m57DeT1NTXQUptl9MvHqLrS5qPVouDmiSHnFBrCBBbqN
v/7b/aNsz0ecCQQCBbuPMvVPzzekh+cKN/eB3NGoYhQZ+lfQYvW/+DVLhs0/PAQfofXyCrC1iz/9
noqBsWyCyt8z/pxSjm9Ftuugu804Zu43iwKePTKt1oUIig04dPcccwkdNzTGCZhpLf8WUFmKbIaX
pXKK/La1O7j5aTADPYnNh6pNm6e/fjTiz8+G/doUjrOEHgO2YOP44wdXZ/VMQ4K1hx+aTWG2Cmet
TJqDoLRBzlGGPPnpbWnGJVjhBWCcW+Y66rPoOMkJirmOpw8H98r/sv76V/n13/af5aJwbv79D6rs
v/3xy+bn1yTeL8LoP3xBggOxCXd0KqbzJ7S49m//zs//7f/8737zN6n1v4hbYhrKIrWxtf3XiUvX
b0VcdfpXjfbvf+w3mbb8oqRtmnSckUKjDeRjR33R/se/+dYXdKXKd5AOEf61gFH+n0zb+YLDSAGa
wCVuO4iof5dpE7dkuyaqTQSc6KsRy/39GZx+nkA8vp/P5Levf9VNo2X945vima7DryGX3WfpCefP
2wU8xKIy4LsfEh3nhylC0kF88lG25GBQKVshiSPjQ4q5aC/7DHJUNI+PedMSHyriZx369bWBAe7M
YGe8VCgQzhTHd6LIafBA8yPsRyKIGktzSW4ICeLQwRMyYi5bqXHRaCY6svO6yyxtzkYBFYwhQvTN
Mbh0OfAn14wxT4mXeB5NzTyF57yc7rLuaDWR/zBvKsftH0DhemuieSiOh6m61okco83CRGEfpgkx
m6icYhILwa9wHUcN6I/3WZdHL3FVfaazUagNzXsYFGOcvMZW8m2gK3CIpUTLww05JWPpcvDydtOA
kNkUcvpuQp3bSCb1N4zTCYk1gvychFl9Df4AxC93zSEHValjZ2QEhLEFCDA9jSh+IbtyQclUgPBh
XvMPwrXCUWlfYP9LnhJFZiPqLHCmFt7bhiWCqqHNcacOycfgNCAhad+toX0uca8mYRBeY77mYsz5
UQEjjsnCrA83J7zvhxGGIxbgvlPZHc4mY58hZsYyKgPzzhnwja9kOEToEwrRm2uhl59pDWagofOn
9irNiG4FasgLGUAu2DHUyxd1nO43nYFR6pBVUWhAdMpg6Y1Zm+yCmTHQmkZUGlzClIeCEHmGf9mX
TffcWqiMLhruo3D1J4JY6tapUSKCeuVEciaXQ1+ZPQZjxJq0Oin/393aHp+KYixQxvkNdw2p6ppM
kTxvscIZk38Co4MqK6+XPEHwUg7hnwNiBlrjSfzSNq6+nttWVltRAmEEJBBIeHRFLjbtgL9Gtwxm
YsYrK4oCJmgIEcUdiS5eufaThuE1l7wMm6QUGBR9LYbhnGgVRAdq6a4+ssIISKXsDOdNo2pC8Iyh
+F5WcX5JBzAMty3Emwr3VI3YLUEdfETxAcp6ENqhxzf4d00fXngpAEnLIZcWusy2NVuwiozJ6PYz
UJf2DYaHl6xRpzEhhz2LTRAssT5EMH6ZApjXWTWHq9KGqGj334JK3neFu52EnG5i32ZMnF7naH2u
kjBAPl1euNG1m/ecJ8pnyBDOwB5QGkiL0Tu4+/wiNFP7FE+28cly3gD/RE/IYKONEVuN3p1p1gw/
l2KILWqHP6ra8E/9bs93edtvGo8/I0T1kiPiumtM86Jyo3gzUERlq0gR6NUk7qZMjQ9JEX3vVwYw
XwP7kgsglAvJqh40bHiHTKaMrC7cGtFDbqOSS1NFhGlmhwca35jFXJC4Pq30lcjLZj0R8bBNIdq/
SQmXs1b7sSDQeLap2ftKLWRBRnV1aW8U6B9Kf98uN4EoymszTtxXfwrvrSyPN2SJdHtsYxWvTLKD
ZeRthK1a4qcD9T7LudlqMUExGJsrQkupqgMPBWAWXPSOumfruwZJhcoAavwxpVptc2c7JVm2kxMj
MuAhNEG9jqmt+ZGpEPqqO6E6CG7JtCoBlSAnlo0HxbIXn0Prpd9ITfj+y+n0z7b7Hzr03wsTlOkI
GRkLg/CylUcneClcfrkdwnnpjT4W/gHwPdLOPME4OmeFIIigAtWIzGQhLHZOtaVj0Fyb6GpewgSF
1mokhLhf4VqN2Cdbl7eOaEf/BAezI1dhTIkbBRDBlVwLOMSE5qXTU6kLQdRvwPssKMSDtaoyRXRM
PtPjmMpOW6ux0v0xFVEX7aPQNfSFhjb13BZVcElp1Pc758duYvzYWeofu0yzbDjLdNa46NpJWQfe
y34TaRiPq86Uxs6L0uTcJsZEOwUn/oVGwXuhBzd8twL62VYb7lD9dFdZ0OwG37R3HfCBlZ30V6aM
BqgzxeVCkLlEHQs7wkJUyCAvohMc+msLPOKq7+zznAuy19jOrtwicBArWujresp+gaJjk48BlgUc
znan2k+0zoyweqCWtU0puk3JPir2TSpoHNDVJPCUceG0JwKGt8U1E83qJsyhXMtKJOk9BmgxXC4K
cerzgUa9A11w9F20tTXaGWa2xVNU+0j4AnchRuQ3camTyykU8tRJ3JMQwMPiK5tCg/xEzTua05jZ
SUSI+UBrbNNV532ELbO3uEjudFZaR9ckN6gkL0Ncm9SrN7kfK8QkujWXCVROmkruWS7+akPdElpj
MPCJ5LsHrXMvjKw9Bej1VkiCwvegpj8DcKruXieH3av3eouhR2fexdBygPqIbzILxIFUmxxGvlOH
FJb6lEU0Wul27MkFnPaiFkdOO7RGndFfeiEEQnfUNQRdhM2NtYk1sMu6na6q1nmJwnnc8uSeoZuV
MAEY1JShP20ND0eIVYkHwnmYgaLEAspKJzur9v5of+BqBkmLzbdGfAlvRAI/oXNoK2aoIrmijY0O
J3gOyOnw6EuV/fAtJiAtLP0b6niiTrrO2aEV+QCgIW7S2v4sUUFfQ6yXCENMvfNGglbpPr4Rutsc
QRszTGOs9MFofjj2rtfc5aU1XTTkFGJZXyg7eYrNtW/eFz/funDsj14u/EhIBSCuQm+Tizi+lInx
dSb9b59Pprgpav8agNG0Bjtg0QQ2pg1z43Jnt4tgvcOU3Tt6XrsV1Ghi4Nc+H3YqkRO3ND65JezK
qmmv50poFGDTtIdF1azz0brXYTCSxCPiCysnhdyAtsTlQ7g3ICTEXQpC+eQUIYO1Poag4AF0G0xm
RkGh6B/7jrWokDL5ySSj31qdoGvfh4jnU7fcSWQuxOSgMIc5zXdjJ9wkCEb29TAiwM06a/o6OqqH
Rz9O1jPUKOaCPXOpF7JR2qe6lTSQizhJvtNZZyBBwlxEZFjYomZBClDtDabQIdJ9nV8Gyxmtl9M6
/XFwVz8OcffHgQ4VOIwP3o+Dvv9x6DPc5QKANIjLAJLC5ZX8cUlwl/sC6Sntzw7E/5rb9f/zaovq
5C+qrc8wesveprd/Um/xB3+rt6wvil3ERiFL6QRwku/8rLc8/wuwcIiW4jcUJd/5uy3WxUuLbxFy
FMp3xWr8vd5yvuA9cpZcWhc/rSIy+U/11V/WW0v9+GtngnoLg5gNmMnF/+irP1u0OmYRnpMrd9Ew
AKy16hRelGfPKAFwexONlGbZsXXhKhOX7UIPEZOHDHIQiFxDP7Af6wSjUNG6Lte3JbKWkRuJb2vg
bJg7CVeyH5ebMviNwbzNDcNpTzZSavDEgFe6lZQy8Q9QcokNY7JTV1emUY4XU8PUwHFCXhLSBEKG
DGj3mPdky+VHkOwmOrz1nepeKonVssB5uRVmRhRX4Z1NzpFNb5s308TBD5YC1Hba9PqdlkaFQAUh
VA03IAyvzIShFz1kMaOn4Jq/GSRgJ+p8by/nLD+oTkPit2LocI43bkJntg9TPFFASlB1bGUjUPVs
cu+GyPYfPPJ29oNIB6iRmb/GZkv8ng/BxNa4NTOiyyCJuZSQ0qqeAMkM3RkqIhNoZhNnQcCDtx6I
NMLSg8vN5EpH7w493NDf1eyDEzR+9u8rkgOTYY81GKHfOGTcPn0YveGmoSZAHUygBMzHMqHWCcXU
TKsMLIG4g4DgT7c69JALCbJc0bOYdaAPwILBx0WVJ+aLzmyJwQr6wbc3ZRKIftt1rjPvuPBmL6Sm
1lD5wadYO4hXSwEcWZLOHNl55CrNTU+krNv0ewWn98Msq5CuY0VnrdCdeHKCwdcbpKjhrkya774/
gske6pNVeNZVqUmGQrRgHIzR618U0BJitYLTMCLEcxFLcM6PuX9ta1zTUx3fiTg1d64J7KLMAu69
tWMO+0YWzYed9+pQWkaE7q+fY7HJShPlPGaRBwfokYFqseRun8etd58JY7oicm2mQIydTdy0GXSq
qd4wJchW9OS55od2eTQVtbXRIP41Y+/Y6YlSbxbzQ1BAgOjr0jm6xAaCijPIHEBUEGI4QVPQ3E9E
nMJQd5tbg0IP/NgQggW1aSvLDP3QqiwjBe2MnHWw/8aQXWHX5hqR2Jx0MBOvdM1FB3SPjB9Yrd1l
adoiWZtWiWx28uPkghDMgbZ50G3ApriAt0K8CP2Q3iIr6b+2fLbUcGUg8J9YI9LbaRgXv5oxMNfW
UcFxrp4Irsrv6gnX97BkdPnm/IR4M/5wLGPYak9V9zmhw3sF+Y7nnkx7Nwnrr8pv5UXGxfy6aqfP
suvgY5O0lm9BprcHvHfJztXKSF9Qpbn3A/mo6VpEqXqtplY0DMtcMigJV9qNcNY2sVXZW9ewui0e
yG6HTA4vBPJ0EpUdNCXwWHbZmJhrqcPsQHrH0YT/wA6T4+5yzO6FjGOCcZswO4U+vommSgpq4ci/
xUAVgNLog/ZnV/v/jsX/VhNSMqb4r4/F9QJ0jkNIfv94Li5/8ue5qNwvHmZQZBY+sgha8FR+P89F
vgPMmV65y7nk27+0IUl9p98ETxEhsI0gauldNj+pznyLjiUnKVMS2usmHfb/wbEolrLz97JUSVNh
sucOi/yF81Fai736l7K0i1xkb/my2gddP5IdpV5qJcJrz/qRcO3r8WtrmN8WhuEnSerF69A109oF
QtIBLRzKrepJV0Bx5b9odNjHPq/CjWC2/4H3pPuJcPm/xfgvFqOS4ESwKfncrvgPtDp/2Ry/evsA
Nv7rmvynP+Dn8vTML8yqsHbDaGT69oNZ8tvytL44tljwC/RmYY//3iW31Rcs6Hg6bcm97GcD/e/L
0/rC385j4s26tR0HOt3/YHkCsfjD+sTwIJEBAUBabnO/rEuZtWUqyEo4ZIPKFzQVxT8wMfoAXpXX
y3WjmC+VUXj7zsYRabaOOnKbiLpV77bJzVAxcyMtaHKQpOF/e3IMOMuN701PVZL7wIvJ+6zIecrp
j8XgeM95lTR3KjVxFigCrJYuIGDtGvJ0aADU7wUxcrYZoKxL8IZ+o5Y2qou+LOU1EF37mI1ieOuD
qSAsOXXoV8mk2pc5otfV7MTg5bK+cc0Dnhn3lSMRzbRd+uO0n8zWBHydZX1NqKoRGGv2c4nwiiq6
PiaeG99xcXLCdTLrmqO9y+87T42IIskwWI/4kr9aU5qfxlFMxnqEJoHeIaFPs7OmOnLRn0Tm1zqZ
6Cr7tqHBqKetOo9EvTLMBUn0DjFhPPpJLo+CxunZIXBnuyD97iEFds+0pJ0Td9v8rPLU3Rut9A+S
xud+AVxje3NVcNWDKaCnhFzBDrEYWi6clV3PhbJbhVYXvS+yFlI4sibyt5nlorbgIjBfVoZrfx+C
frw363D+jAckrqsATd1XOk7y1u+mRGyjJgk0grQkfFQy487NvLw9RYhjb6YkGfFcj9XskPk69fs0
A4u9SrgXPCrhGk/EywKxcwdlPsJRxuHhu/WUbjEAm/Q9I+tbIoZ6j/unXgurTUOMAmFzIt8C9WhZ
Fbna5vhegL+n7RVtCV2valsXBwUYt7kgiQ+bTCqK9pVcLmjZDvqMzzAPxgcH4yw0bNlCzAB3jNEz
6LzrstLIpMOyWASVTFD3aZ00/q3jQ3miXZ0Ay0cFRGt5MrIyvh5mNdIjmvBNbpO+MOxdTvbPZ5Eg
MtxEGU6sNYd/NW9dxJtibfg5YeKto6tXuHnRC1I8rEhEuBa3uTPSnOetocvrDlk+HJyCaFms7Ro1
WgyMjefXQzZd04croFE7U3R2RFTjKWyICs4bO/iOnlhNR51ZwSeE+PaAfb8T71XWm6CDtSv6vQ3m
hyU1Om25U9qOoNXTt7nq/KgIQAlkNGyHoXnvXLythq4IezbjnK8bRCVXwojLlJyUzn+V5TwnJ2wg
LjXTiEsqGab8sW5D+TGhvPo60rgFeUHkQAUZFJWTMEtnl5hGKtdoeIaLKiI8h0uqq5gwGC7+cRjR
mUeCfNoyDvLDbjf55lStIlI5PrGoudYmbXyx9RRJWat+bNUdYoHmgq5r0y+g4vHewIzyzddO85wk
kXkjx5lWXte09E6wUGFl1H5/ZzD5fh60g+/HGQCfz6DRyLozEU17CbbBuA/6LW7yNkZkHsmtVRUk
jxtEBRNBl/TVM9LQ9LIQqRNt3cRtbObPsqTiDFEsCULSMQgVoJgz0K4EbzsIM7Fxu1u3Kft3esnj
Er2HrmvdouK8ztJsOrv+HHm7MiirYIvJdNzXmML2gnQo0pTTAWwhHyM24XT+aA30xFurRYfIpdMg
+TQKr/3GQVMIEVKdh7yK7/veIOUm611xYQ7ufGDUr8+xN8C7hHwJOnkojE1YdsXLcuXf9oTwQgoI
goe2Y8vBQhbOJIBCgl05fhVvjdZEbDcDg3iFL1jeJpl2tk0d4neBMIwtV88f3WSXHgLxqBQMI0rc
A+hz+ey7tIoYSw1htTgC0q9cWqzh6NvCxlFF1PSKPbx95NMZwT7QkL3Fv4ZcM2vr6Wg4I+LXwWts
UAke5nj00x2qS5htFWs1Kb8BGHUfWtmxCGuz8wloH+rkVZSyenFqZJqrutYlDPpOtg5SqhkOKgmM
ZDu2CgTn3qrMCt8mLeSz5ZV5y0dis+mEJlhx2wAaiWRvggtOESDmrYpbRM1uNfXjwcoGW6IJmRr7
tqorfR3OcUD6KamjZN+Eln+ja5V9G6Mw+h4ZutxUjRk/hJZuqOTAWYEozGhdJjWWZuRqpdoGk0AZ
HtIMPMiCAefGKOvxKHscPyubCcGxG3p3xmCW5TSpy7a8MfFvNhsRQjfuvWA8DVVtzxtjMlLYIxjA
REsh1quO+MsxBzi4q207ubK1AP5qla19MCs72vfjrYYWGK6islmyfQFyXE1JVW27nKQfLEKSiXdN
oPk3VacF8BX7krSsoYPnwfxlBYW0vqvAJT3bGcEGrcGNYx1OrUPbIjUhvZYwbpkeqxLERuqUz3ig
GEHJtjko6GctAFZ3NWHjhJ/uX7a43yFtoEvGduJnx8geYGqiIq1T6uGAoDK2nYJ9yDH2WpztxV8v
cMR7Zj9/ZJwGHNRx+5AVmXcZzuUChMXBTyHengtULN8lh88eMwDEaN99U4w8NjPDaKRvTM6stmke
bcxcBy91FK9uliGJxLXxWcd+0K9J2vBPnSDIJM2Gjrk1A+KjCMCEu1PcwUZHGL6yCazTG2CJ49Vs
1yQOhKXJ2CMgOMJhI9/CD6iRkI8hVm4JlxWshCsCkiGB1u6bZPIRtsR1ejHH9GCsRGbHkaV25aGT
v5z9WF52UQd7BtVF8+KzzjaNU4CZIdSF1D/4nrcyz7wzkF91SNq2EExIAoRoo2F9kCCF/KoRxR15
ngjrszmW2zwN5cF02urRRM20Hzo+/tKvoxdMeDQDBiudgbksmBOsm+qmSH33XcStY26hFsBF0G31
2mroP3MLYqi2muZ9DEV1gpEy4iVKEB4MaRLeNE6j0CiTGT84Zox+NKswe+GDU6/5bCfTGn7N+OjK
mKBCCunwM4jq6DYPDPsKbplisEOqdbcaqhZuT0uB/7WXk6Ksqb17Q9rI6cDOhF8VfJga1kE/vhpu
ZLymnWSGk7TJSMB44u4jr1K3vunaRxi66Xf+vvrEqHHCLdLFKCGqqeF6FmugbD3eBJQTA0KNpBmc
ZGOHzD9XLjyPOy/U3k6hpX5iKgk7pS7yt4X2RzhqQ/cEeXdAFkSgQYasrdoO93xUw5UIw5bdIQ70
Xaxt5vklDcoEPnrGTmWVY5ttq45sUCI4jK7cdy0enwta6CTDej5JkNirInHTVJV8ttTQMwZqoLWS
sZz3YjVqL0RraGnvMg7VnK9LZAYtOeI+UVrebM72urNqlwT7adBfhzbWyUbHEVmr8ZwF1zHWAxTL
YCwvWCH+vC6tuH0LI8WhNjieOKe94vk3XicHHJpJh2Ylz56kjOozWg0iQTX10BnAlr/pRR+uDctU
yP8c73aJ+P6MRe1lK1ZBQSKYMxRsgBbJV8SUaueeLAcMMTGGCEzRusH5GcZzFW+EQQlzoh1MDtjQ
O/KgMgvLz38yd25NbSNNGP4r1F7s1WeXNDrX1m7VGgwYQkII2ezujUvBRgfLli1LYPvXf89IMrGM
IYfJVkkXqQqCltQz09PTh/cFNn9OuI8KQuKCbBUPVyJa0r/GKASgkcC2e2bruUtToZgvTjbeo0ur
k5eY9/G049FBT/zxI/BRa2BeOtrIdZOiOIfylp18AvpLgbMKRnxvUSxWc/KJMcgAyzyE6ScJ7gV0
QDf5hq6htTfXo1N8zA24vW7U3zhp9r5wAZ3PwCV+AyOla5+u8droK6e/tu+FhChdrQDe0baXQ5/e
TXFDxxt5eLxeDwSlqWcl/dXcBskIVpHOPRU4G3y0IhuA95EIWsoWdCgPZ6t+5hgsE5N9+YSZXeh9
ujlS3/AWc3EdPwRJnw40opBzIMBSLYECdzZPHwWUuxntN8wquM2mixAEmIk5MMjyvJtoQL7BzLN0
dE5AtLb0MrhkHigFX8yDj3Fk8k46pBd/zamKWZ4svGFynwL4fJMZCYHDRJsAnjxcwNYbw23tFKRf
s2wFq4OR5X17CKnJ8VDDA+yt6feCizXP+8VGYy7OownkorTo+GHSyS4nqw3ZqZUOaUQn1737tekM
12c00jsrQLyizi3JeaS4YDAMApBwOZJx5pQ0E8XwImVO30HPitO8MfXghp0bfAZDRN6lO0xnoABo
1AnChWecaZ1lQckRiAS0ZK76QSYWfVuEkxWRe2czMOMw7nU0p+h7KUyOxXpZXPHS5oVJ19Df+AGL
vgeX6ulEj4wOiyahS4CWVeiqQDw+jp0AEhPwom5Ss6AgeGoAmNEbEuzv0XwTvXe0TdKntxHAWAvc
tEsN1KA+HtywL+zhZ/xUSlNZk30CTeCBk7z+V2TT/PNa0yyj14n04UmwFpN/g2XqvA82OiC1nA7i
i8e0k5xtOlP6VYBCv13BFbmmJeEf0hDheyDPWJdiBZfS0LZWF+7i4fHcnCfBpW3PJ+jdji5A7fHC
45UTWWfpRBOfFtmGWoQ0Sm3poU+N05CC+qDnmCbB1TyI8WYnkfbZwsScR7il/QkLZ3kFewqF0Q8G
h+OMsnmSmlEMk6WxSQYpgB1RT5tG6S38xe4pLpx9bdsr84O5SY2BYy871+mSJm/YMMkUBDG1a4sO
RKg9LK8Y2IHr9h1Anm5ZesN/QltsMG3DAnBDL6D2eVmAg9FLZuT3Z+t5eGEM6VIhuQFn9cJ1wdYw
bI3eyo5RnIdRaLyNBGS15F/j+F2WLAKg57Vp5ySk6WIwnAbrJYWvcf5hLZLoY5EUD9fAKVt3rF39
Wg8zb7wApu408+B/7dliHVKm/2jqn0Se4tXrk3hgLez4iqJWIIi0B2IZ0xx7FRW0p/UKdxoPklkR
nhSz6ZTkyWLam3id1UDMbRiWE3N12Un42AkgMUCvQYaNyxqkdt+CEOJTxlYHQzXN38C1w5EOMF3y
ARJt9zYPadgkzz4Hm3sePtqncLGCTG6I1RVYY7okvH4srGPTCWe3+lQnKG4+xNepKe4dDoPsytS0
LE9WRSd/szZXzl9y+wTPZOLObuC9eoTqG9pKIKIWQPkUD2kOZ+Nqffw/Duf0D8+M5NxYW3g0SbaC
1tmO0wIk2dB6BwEI3TSJF2vL/ybu/R+U1dbRUFmB+6yu9injKe9KRtb8Nv2xX9oG5Q4LahTq3nFe
y2XZbxCls92oIh7pXni8fKWySPg1CYlPLXExAm5ZEC20BFljGQWXF+W2SToL6tuO1yXgyUGdtG15
VWHPHQ29pIPXP+95BfNzOY0P8EdTim5IjGXRXb6rAqL0uv4sS/CCGvakfFGDLrq2/HjSA43vp1CZ
BmdBeoBUQHmV+m7R91dF1yZZg0aa5HsVILSu7Bngcst/NQTuzgOpB24AZdtCBWjUqn/jQnhxBqAA
HQhbU5eQ4btfbnTpBDEFCdFKMdxG062bARTDK84AWQiiu9gB/Wmq7+jBM6E5dXWSDpUatNZZAgpc
9mtovncV6BYVNJaluwBOb5f7jg6whh4dC7LDqLrbusUgszXq88CwgKr20MIBHUiLKGS2ElTu8mqd
DrCI5GRl+a+aRXS6pITRA3iD5dXcGT0bu4DdISdYXdX6a5FdoI3PJmOopARd76JLFCBz5rsrwe2S
uJbVYa0zAw5VyzSAqn64JR0fAZHDwVXgmF3NIupjC1GNfqXoNo2+J5iwSoMvaMWSrYr0UlYroOkT
uNymls8G2r58UJs+/gDLyPfuBYJuM2nrybM3pr7rdD2HoTdr+ycLJlvmENDn4ArWp+r4611MiAun
SO367I2/gCtdZy+QZ4aWaaBsYDRVjQD87ZA2wD4BK0V5NRXgOF1Q0aFlokS2vFq3BUhbKGQ3rZod
4HBEiJv6tuozPdys3b1AZ6N0iFDRTVlerdsSdANiEVUleF1KvjgdsNx3P97uGqbGYoOOqLxaNwco
sTVUF4Khd6l8ooB8GyV4thCoixI6vEttVYJFLZTiDDCMLkgsZa9wvQ6aM8GSDiE19tvzU+tmgnCE
cqBE2F0apTEqLsWU5dVUgtw0Mb4cFKuZ0NrNUfWoiHtgWzQTSrKv8mo6yDhHlk3RIKGj6nb7wgYs
WFUPQafDH5pEQdlqNdx7doEzEisG/7G1Z0W812pkvmApfK+jqBM6M+mrcSRJZHNrMDUaAU1qhMur
fW6SLB1VtIqcEGGwJCCyf0LkhGRusR3a5R2alHyrugO61zVxi2XZ+EszXwM/Fjqq6mqfHZRVw4pj
jw20DEy9ZR0OGrtd4dJ1bRi1f9y6UBEAVcpuAYFji+Jweh+teqwbVsAlbgo1IDgo9URp3UwA7UnH
bisdEbACrifIx5MlL6+9jcDrUvIl/Y/qrswutMsmcKDXlB1ErQvjJdFhwcLa3QisLnsA6Kha7TO1
bh0Q4nNhxzRUNaA7XSyBbBZtekMEzsGjkpGE2h5Wu06bIkZgD6puhfjG5SlJrwPGezk0+jw4QXFK
3nqMbZwGZeBIVRF0SOH50i9jS1A5rmezgcCxgetc3f2eCNo3TJmnFP1xSJNTmZyPxssd4Kyv/sI2
d/1cQJ2THox+/0Xm3hu/KFuIKtHjEqpL/v+PRr6xzBru3NxmEcvn1H9ef+DzRzeetf2q7Q/Po3Hm
Z3fhuryxrl+zYlT+czYKM//oOvNH42W4mzuvMmZfXuj3Xxqvu7MnvCof2p/prtgqCaUqtheFfrYr
llg8HrSq2HM/W/szfyuoHMkqPKQsGZa7O7r0D2q6CsKoPuLCn06Lo1/96fy3o0t/CRdnQ0MctKQ7
o/qUSz+bUd0yaSqpOi4qy2aeJnuCyyOYquA3/mQZ+qPH8Xi+1UA5ttURR1X6lT8K14fXUOVHqz7g
3Sji9XffvPZNVQVfF6PiLhxn2bohvPL51IXPYv9zU3DpR6kKvvFjn8pbv1HtVMevVGV/iCaTqGGw
DM2VeUxVwbf+NEqO3vqjYitLzsA6Dasq/GOe+9kh0yJRk9lfVeV/ApjxqDeeBX6yFVa+fZVJU5V+
5WPMMVh51pjj9UlcVfpZESM9333vp8yHsuy08cZP2WVVuezK/tSfHdHAfvQ2uks/M7qDZcJ/l83v
qMvblJ8HeeLL29NTyYTqY66iTZo13QFZj+EQCdp+1sFW66fT52uexm0mIUcb41EL/wmr98Qf4SWV
w+GDKHB07j+Mk2j70uVeIj+krDRT1dJbniCHek+6BF39CWp6HZr1yTf9MW/v6itIRIriT8ZJuK90
1CJTuapKP3lab5Rib8XV4yofoW9/9uMT9Kt4FIraOQ5DP8+j5TPEiy8Zf1UtlfsM4AX7s7N+wk/Y
aS7YCl6UT1pG9QtuxyytYN/H/xLhUJX/reAOimN92B4d/cl+8eJMhtCLYgUX9GYKV0jY6hJN5PXv
PXTefCpvfX4K3RZuH/qz5hFb/sZdMvazP/4PAAD//w==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328433</xdr:colOff>
      <xdr:row>14</xdr:row>
      <xdr:rowOff>110837</xdr:rowOff>
    </xdr:from>
    <xdr:to>
      <xdr:col>10</xdr:col>
      <xdr:colOff>415637</xdr:colOff>
      <xdr:row>32</xdr:row>
      <xdr:rowOff>152401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424EE2-4E08-4413-813B-E32E5811C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179295</xdr:colOff>
      <xdr:row>3</xdr:row>
      <xdr:rowOff>164353</xdr:rowOff>
    </xdr:from>
    <xdr:to>
      <xdr:col>6</xdr:col>
      <xdr:colOff>134471</xdr:colOff>
      <xdr:row>10</xdr:row>
      <xdr:rowOff>134471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E64CF9C-7AE2-0C98-114B-391B873F246C}"/>
            </a:ext>
          </a:extLst>
        </xdr:cNvPr>
        <xdr:cNvSpPr/>
      </xdr:nvSpPr>
      <xdr:spPr>
        <a:xfrm>
          <a:off x="1404471" y="702235"/>
          <a:ext cx="2405529" cy="1225177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20000">
              <a:srgbClr val="FF0000">
                <a:lumMod val="24000"/>
                <a:lumOff val="76000"/>
              </a:srgbClr>
            </a:gs>
            <a:gs pos="51000">
              <a:srgbClr val="BCCDB6"/>
            </a:gs>
            <a:gs pos="73000">
              <a:srgbClr val="FFFF00">
                <a:lumMod val="68000"/>
                <a:lumOff val="32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179294</xdr:colOff>
      <xdr:row>3</xdr:row>
      <xdr:rowOff>149412</xdr:rowOff>
    </xdr:from>
    <xdr:to>
      <xdr:col>11</xdr:col>
      <xdr:colOff>104588</xdr:colOff>
      <xdr:row>10</xdr:row>
      <xdr:rowOff>74706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D65BB83-DA2C-4452-857F-C56CD070F291}"/>
            </a:ext>
          </a:extLst>
        </xdr:cNvPr>
        <xdr:cNvSpPr/>
      </xdr:nvSpPr>
      <xdr:spPr>
        <a:xfrm>
          <a:off x="4467412" y="687294"/>
          <a:ext cx="2375647" cy="1180353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20000">
              <a:srgbClr val="FF0000">
                <a:lumMod val="24000"/>
                <a:lumOff val="76000"/>
              </a:srgbClr>
            </a:gs>
            <a:gs pos="51000">
              <a:srgbClr val="BCCDB6"/>
            </a:gs>
            <a:gs pos="73000">
              <a:srgbClr val="FFFF00">
                <a:lumMod val="68000"/>
                <a:lumOff val="32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224118</xdr:colOff>
      <xdr:row>3</xdr:row>
      <xdr:rowOff>119528</xdr:rowOff>
    </xdr:from>
    <xdr:to>
      <xdr:col>16</xdr:col>
      <xdr:colOff>149412</xdr:colOff>
      <xdr:row>10</xdr:row>
      <xdr:rowOff>74706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2A4724E-CE8C-4CB4-AC52-04A8477EA3D9}"/>
            </a:ext>
          </a:extLst>
        </xdr:cNvPr>
        <xdr:cNvSpPr/>
      </xdr:nvSpPr>
      <xdr:spPr>
        <a:xfrm>
          <a:off x="7575177" y="657410"/>
          <a:ext cx="2375647" cy="1210237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20000">
              <a:srgbClr val="FF0000">
                <a:lumMod val="24000"/>
                <a:lumOff val="76000"/>
              </a:srgbClr>
            </a:gs>
            <a:gs pos="51000">
              <a:srgbClr val="BCCDB6"/>
            </a:gs>
            <a:gs pos="73000">
              <a:srgbClr val="FFFF00">
                <a:lumMod val="68000"/>
                <a:lumOff val="32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209176</xdr:colOff>
      <xdr:row>3</xdr:row>
      <xdr:rowOff>74706</xdr:rowOff>
    </xdr:from>
    <xdr:to>
      <xdr:col>21</xdr:col>
      <xdr:colOff>104588</xdr:colOff>
      <xdr:row>10</xdr:row>
      <xdr:rowOff>14941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3AF1B79-EA22-46DF-8ABF-486ECF1E9FCA}"/>
            </a:ext>
          </a:extLst>
        </xdr:cNvPr>
        <xdr:cNvSpPr/>
      </xdr:nvSpPr>
      <xdr:spPr>
        <a:xfrm>
          <a:off x="10623176" y="612588"/>
          <a:ext cx="2345765" cy="1195294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20000">
              <a:srgbClr val="FF0000">
                <a:lumMod val="24000"/>
                <a:lumOff val="76000"/>
              </a:srgbClr>
            </a:gs>
            <a:gs pos="51000">
              <a:srgbClr val="BCCDB6"/>
            </a:gs>
            <a:gs pos="73000">
              <a:srgbClr val="FFFF00">
                <a:lumMod val="68000"/>
                <a:lumOff val="32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537882</xdr:colOff>
      <xdr:row>14</xdr:row>
      <xdr:rowOff>0</xdr:rowOff>
    </xdr:from>
    <xdr:to>
      <xdr:col>21</xdr:col>
      <xdr:colOff>358589</xdr:colOff>
      <xdr:row>33</xdr:row>
      <xdr:rowOff>74706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72B506F-26F2-4528-A30F-3CFD7642A53F}"/>
            </a:ext>
          </a:extLst>
        </xdr:cNvPr>
        <xdr:cNvSpPr/>
      </xdr:nvSpPr>
      <xdr:spPr>
        <a:xfrm>
          <a:off x="10339294" y="2510118"/>
          <a:ext cx="2883648" cy="3481294"/>
        </a:xfrm>
        <a:prstGeom prst="roundRect">
          <a:avLst>
            <a:gd name="adj" fmla="val 8537"/>
          </a:avLst>
        </a:prstGeom>
        <a:noFill/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v</a:t>
          </a:r>
        </a:p>
      </xdr:txBody>
    </xdr:sp>
    <xdr:clientData/>
  </xdr:twoCellAnchor>
  <xdr:twoCellAnchor>
    <xdr:from>
      <xdr:col>11</xdr:col>
      <xdr:colOff>508000</xdr:colOff>
      <xdr:row>14</xdr:row>
      <xdr:rowOff>74705</xdr:rowOff>
    </xdr:from>
    <xdr:to>
      <xdr:col>16</xdr:col>
      <xdr:colOff>89647</xdr:colOff>
      <xdr:row>23</xdr:row>
      <xdr:rowOff>74705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FF2DA5C-844A-4503-84FE-B13343BB5D4C}"/>
            </a:ext>
          </a:extLst>
        </xdr:cNvPr>
        <xdr:cNvSpPr/>
      </xdr:nvSpPr>
      <xdr:spPr>
        <a:xfrm>
          <a:off x="7246471" y="2584823"/>
          <a:ext cx="2644588" cy="1613647"/>
        </a:xfrm>
        <a:prstGeom prst="roundRect">
          <a:avLst>
            <a:gd name="adj" fmla="val 8537"/>
          </a:avLst>
        </a:prstGeom>
        <a:noFill/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597646</xdr:colOff>
      <xdr:row>26</xdr:row>
      <xdr:rowOff>119530</xdr:rowOff>
    </xdr:from>
    <xdr:to>
      <xdr:col>16</xdr:col>
      <xdr:colOff>179293</xdr:colOff>
      <xdr:row>35</xdr:row>
      <xdr:rowOff>74707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D4C1E6E-2410-4DA0-B6F5-2316AF087D1A}"/>
            </a:ext>
          </a:extLst>
        </xdr:cNvPr>
        <xdr:cNvSpPr/>
      </xdr:nvSpPr>
      <xdr:spPr>
        <a:xfrm>
          <a:off x="7336117" y="4781177"/>
          <a:ext cx="2644588" cy="1568824"/>
        </a:xfrm>
        <a:prstGeom prst="roundRect">
          <a:avLst>
            <a:gd name="adj" fmla="val 8537"/>
          </a:avLst>
        </a:prstGeom>
        <a:noFill/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484910</xdr:colOff>
      <xdr:row>34</xdr:row>
      <xdr:rowOff>135829</xdr:rowOff>
    </xdr:from>
    <xdr:to>
      <xdr:col>10</xdr:col>
      <xdr:colOff>330065</xdr:colOff>
      <xdr:row>38</xdr:row>
      <xdr:rowOff>69273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44D826D-20D3-40E6-A193-89C38384D62F}"/>
            </a:ext>
          </a:extLst>
        </xdr:cNvPr>
        <xdr:cNvSpPr/>
      </xdr:nvSpPr>
      <xdr:spPr>
        <a:xfrm>
          <a:off x="1685637" y="6416556"/>
          <a:ext cx="4648064" cy="672353"/>
        </a:xfrm>
        <a:prstGeom prst="roundRect">
          <a:avLst>
            <a:gd name="adj" fmla="val 8537"/>
          </a:avLst>
        </a:prstGeom>
        <a:noFill/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179294</xdr:colOff>
      <xdr:row>14</xdr:row>
      <xdr:rowOff>0</xdr:rowOff>
    </xdr:from>
    <xdr:to>
      <xdr:col>10</xdr:col>
      <xdr:colOff>537883</xdr:colOff>
      <xdr:row>33</xdr:row>
      <xdr:rowOff>74706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7D90EA4-C506-48AE-96C0-0B94F302F638}"/>
            </a:ext>
          </a:extLst>
        </xdr:cNvPr>
        <xdr:cNvSpPr/>
      </xdr:nvSpPr>
      <xdr:spPr>
        <a:xfrm>
          <a:off x="1404470" y="2510118"/>
          <a:ext cx="5259295" cy="3481294"/>
        </a:xfrm>
        <a:prstGeom prst="roundRect">
          <a:avLst>
            <a:gd name="adj" fmla="val 8537"/>
          </a:avLst>
        </a:prstGeom>
        <a:noFill/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27708</xdr:colOff>
      <xdr:row>14</xdr:row>
      <xdr:rowOff>124691</xdr:rowOff>
    </xdr:from>
    <xdr:to>
      <xdr:col>15</xdr:col>
      <xdr:colOff>609599</xdr:colOff>
      <xdr:row>22</xdr:row>
      <xdr:rowOff>180108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8106F04-C8EF-403B-87E8-67A5A3D8A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83128</xdr:colOff>
      <xdr:row>27</xdr:row>
      <xdr:rowOff>1</xdr:rowOff>
    </xdr:from>
    <xdr:to>
      <xdr:col>16</xdr:col>
      <xdr:colOff>111081</xdr:colOff>
      <xdr:row>35</xdr:row>
      <xdr:rowOff>41564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7892F06-34CC-BF62-C88E-3D8B1B11B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8328" y="4862946"/>
          <a:ext cx="2466353" cy="1482436"/>
        </a:xfrm>
        <a:prstGeom prst="rect">
          <a:avLst/>
        </a:prstGeom>
      </xdr:spPr>
    </xdr:pic>
    <xdr:clientData/>
  </xdr:twoCellAnchor>
  <xdr:twoCellAnchor editAs="oneCell">
    <xdr:from>
      <xdr:col>17</xdr:col>
      <xdr:colOff>105832</xdr:colOff>
      <xdr:row>16</xdr:row>
      <xdr:rowOff>169333</xdr:rowOff>
    </xdr:from>
    <xdr:to>
      <xdr:col>21</xdr:col>
      <xdr:colOff>253999</xdr:colOff>
      <xdr:row>31</xdr:row>
      <xdr:rowOff>67464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2843EDE-2ACA-CA3D-6734-AD2E2A255A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035" r="32017"/>
        <a:stretch>
          <a:fillRect/>
        </a:stretch>
      </xdr:blipFill>
      <xdr:spPr>
        <a:xfrm>
          <a:off x="10540999" y="3217333"/>
          <a:ext cx="2603500" cy="2755631"/>
        </a:xfrm>
        <a:prstGeom prst="rect">
          <a:avLst/>
        </a:prstGeom>
      </xdr:spPr>
    </xdr:pic>
    <xdr:clientData/>
  </xdr:twoCellAnchor>
  <xdr:twoCellAnchor>
    <xdr:from>
      <xdr:col>17</xdr:col>
      <xdr:colOff>188009</xdr:colOff>
      <xdr:row>3</xdr:row>
      <xdr:rowOff>41088</xdr:rowOff>
    </xdr:from>
    <xdr:to>
      <xdr:col>21</xdr:col>
      <xdr:colOff>83421</xdr:colOff>
      <xdr:row>9</xdr:row>
      <xdr:rowOff>171823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54C7AF19-FA90-49AA-AFE6-FB6377D0DF1C}"/>
            </a:ext>
          </a:extLst>
        </xdr:cNvPr>
        <xdr:cNvSpPr/>
      </xdr:nvSpPr>
      <xdr:spPr>
        <a:xfrm>
          <a:off x="10623176" y="612588"/>
          <a:ext cx="2350745" cy="127373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20000">
              <a:srgbClr val="FF0000">
                <a:lumMod val="24000"/>
                <a:lumOff val="76000"/>
              </a:srgbClr>
            </a:gs>
            <a:gs pos="51000">
              <a:srgbClr val="BCCDB6"/>
            </a:gs>
            <a:gs pos="73000">
              <a:srgbClr val="FFFF00">
                <a:lumMod val="68000"/>
                <a:lumOff val="32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effectLst>
          <a:outerShdw blurRad="1270000" dir="21540000" sx="75000" sy="75000" algn="ctr" rotWithShape="0">
            <a:srgbClr val="FF3300">
              <a:alpha val="58000"/>
            </a:srgbClr>
          </a:outerShdw>
          <a:reflection stA="45000"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17</xdr:col>
      <xdr:colOff>569010</xdr:colOff>
      <xdr:row>4</xdr:row>
      <xdr:rowOff>62255</xdr:rowOff>
    </xdr:from>
    <xdr:to>
      <xdr:col>20</xdr:col>
      <xdr:colOff>385342</xdr:colOff>
      <xdr:row>9</xdr:row>
      <xdr:rowOff>105833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0A92D51-F962-B666-C224-DF7E6A72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04177" y="824255"/>
          <a:ext cx="1657832" cy="996078"/>
        </a:xfrm>
        <a:prstGeom prst="rect">
          <a:avLst/>
        </a:prstGeom>
      </xdr:spPr>
    </xdr:pic>
    <xdr:clientData/>
  </xdr:twoCellAnchor>
  <xdr:twoCellAnchor>
    <xdr:from>
      <xdr:col>2</xdr:col>
      <xdr:colOff>388470</xdr:colOff>
      <xdr:row>4</xdr:row>
      <xdr:rowOff>42334</xdr:rowOff>
    </xdr:from>
    <xdr:to>
      <xdr:col>6</xdr:col>
      <xdr:colOff>-1</xdr:colOff>
      <xdr:row>10</xdr:row>
      <xdr:rowOff>63499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88A8D23-D8D0-456A-8646-48929E32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163830</xdr:rowOff>
    </xdr:from>
    <xdr:to>
      <xdr:col>9</xdr:col>
      <xdr:colOff>419100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97546-2320-6E1E-0997-F87C7A724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403014</xdr:colOff>
      <xdr:row>4</xdr:row>
      <xdr:rowOff>98355</xdr:rowOff>
    </xdr:from>
    <xdr:to>
      <xdr:col>29</xdr:col>
      <xdr:colOff>98214</xdr:colOff>
      <xdr:row>19</xdr:row>
      <xdr:rowOff>98355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78E4A2-AFE4-F498-9F98-4982A3996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335286</xdr:colOff>
      <xdr:row>4</xdr:row>
      <xdr:rowOff>41911</xdr:rowOff>
    </xdr:from>
    <xdr:to>
      <xdr:col>21</xdr:col>
      <xdr:colOff>2829</xdr:colOff>
      <xdr:row>19</xdr:row>
      <xdr:rowOff>41911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50D26E-884A-8DBA-7D83-17FB930E6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522441</xdr:colOff>
      <xdr:row>40</xdr:row>
      <xdr:rowOff>75283</xdr:rowOff>
    </xdr:from>
    <xdr:to>
      <xdr:col>13</xdr:col>
      <xdr:colOff>151279</xdr:colOff>
      <xdr:row>55</xdr:row>
      <xdr:rowOff>108276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C3F802C-96F9-3715-637B-C9C375DAC8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9827" y="7318055"/>
              <a:ext cx="4562977" cy="27490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435429</xdr:colOff>
      <xdr:row>23</xdr:row>
      <xdr:rowOff>73231</xdr:rowOff>
    </xdr:from>
    <xdr:to>
      <xdr:col>28</xdr:col>
      <xdr:colOff>89065</xdr:colOff>
      <xdr:row>38</xdr:row>
      <xdr:rowOff>144483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BB2EA8-8788-492A-B8F7-DF9DD9C09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306779</xdr:colOff>
      <xdr:row>40</xdr:row>
      <xdr:rowOff>63336</xdr:rowOff>
    </xdr:from>
    <xdr:to>
      <xdr:col>27</xdr:col>
      <xdr:colOff>49480</xdr:colOff>
      <xdr:row>55</xdr:row>
      <xdr:rowOff>134588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A315B0E-832B-A0F0-DFA7-84B581648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Garud" refreshedDate="45899.611904166668" createdVersion="8" refreshedVersion="8" minRefreshableVersion="3" recordCount="683" xr:uid="{A43175EB-AB51-4315-BD41-39A9DE6D5546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683" count="68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</sharedItems>
    </cacheField>
    <cacheField name="Date" numFmtId="14">
      <sharedItems containsSemiMixedTypes="0" containsNonDate="0" containsDate="1" containsString="0" minDate="2022-01-26T00:00:00" maxDate="2024-01-01T00:00:00"/>
    </cacheField>
    <cacheField name="Year" numFmtId="14">
      <sharedItems count="2">
        <s v="2022"/>
        <s v="2023"/>
      </sharedItems>
    </cacheField>
    <cacheField name="Month" numFmtId="14">
      <sharedItems count="12">
        <s v="Apr"/>
        <s v="May"/>
        <s v="Oct"/>
        <s v="Jun"/>
        <s v="Jul"/>
        <s v="Aug"/>
        <s v="Sep"/>
        <s v="Nov"/>
        <s v="Dec"/>
        <s v="Jan"/>
        <s v="Feb"/>
        <s v="Mar"/>
      </sharedItems>
    </cacheField>
    <cacheField name="State" numFmtId="0">
      <sharedItems count="30">
        <s v="Andhra Pradesh"/>
        <s v="Delhi"/>
        <s v="Uttar Pradesh"/>
        <s v="West Bengal"/>
        <s v="Goa"/>
        <s v="Tamil Nadu"/>
        <s v="Haryana"/>
        <s v="Jammu and Kashmir"/>
        <s v="Maharashtra"/>
        <s v="Karnataka"/>
        <s v="Punjab"/>
        <s v="Jharkhand"/>
        <s v="Telangana"/>
        <s v="Puducherry"/>
        <s v="Andaman and Nicobar Islands"/>
        <s v="Odisha"/>
        <s v="Gujarat"/>
        <s v="Arunachal Pradesh"/>
        <s v="Rajasthan"/>
        <s v="Assam"/>
        <s v="Bihar"/>
        <s v="Kerala"/>
        <s v="Uttarakhand"/>
        <s v="Dadra and Nagar Haveli"/>
        <s v="Madhya Pradesh"/>
        <s v="Lakshadweep"/>
        <s v="Himachal Pradesh"/>
        <s v="Nagaland"/>
        <s v="Chhattisgarh"/>
        <s v="Daman and Diu"/>
      </sharedItems>
    </cacheField>
    <cacheField name="Sales Channel" numFmtId="0">
      <sharedItems/>
    </cacheField>
    <cacheField name="Product" numFmtId="0">
      <sharedItems/>
    </cacheField>
    <cacheField name="Categories" numFmtId="0">
      <sharedItems count="3">
        <s v="Snacks"/>
        <s v="Instant Foods"/>
        <s v="Sweets"/>
      </sharedItems>
    </cacheField>
    <cacheField name="Satisfaction Level" numFmtId="0">
      <sharedItems containsString="0" containsBlank="1" containsNumber="1" containsInteger="1" minValue="0" maxValue="1" count="3">
        <n v="1"/>
        <n v="0"/>
        <m/>
      </sharedItems>
    </cacheField>
    <cacheField name="Cost" numFmtId="0">
      <sharedItems containsSemiMixedTypes="0" containsString="0" containsNumber="1" containsInteger="1" minValue="1800" maxValue="88200"/>
    </cacheField>
    <cacheField name="Sales Price" numFmtId="0">
      <sharedItems containsSemiMixedTypes="0" containsString="0" containsNumber="1" containsInteger="1" minValue="2000" maxValue="98000"/>
    </cacheField>
    <cacheField name="Qty" numFmtId="0">
      <sharedItems containsSemiMixedTypes="0" containsString="0" containsNumber="1" containsInteger="1" minValue="1" maxValue="56"/>
    </cacheField>
    <cacheField name="Revenue" numFmtId="0">
      <sharedItems containsSemiMixedTypes="0" containsString="0" containsNumber="1" containsInteger="1" minValue="3000" maxValue="3304000" count="165">
        <n v="127500"/>
        <n v="15000"/>
        <n v="26500"/>
        <n v="137500"/>
        <n v="346500"/>
        <n v="40000"/>
        <n v="76800"/>
        <n v="80000"/>
        <n v="38700"/>
        <n v="101000"/>
        <n v="20250"/>
        <n v="44000"/>
        <n v="432000"/>
        <n v="567000"/>
        <n v="588000"/>
        <n v="400000"/>
        <n v="243000"/>
        <n v="275400"/>
        <n v="144000"/>
        <n v="27600"/>
        <n v="49500"/>
        <n v="77000"/>
        <n v="48000"/>
        <n v="27000"/>
        <n v="177000"/>
        <n v="490000"/>
        <n v="42500"/>
        <n v="185500"/>
        <n v="110000"/>
        <n v="396000"/>
        <n v="86400"/>
        <n v="20000"/>
        <n v="4300"/>
        <n v="1111000"/>
        <n v="162000"/>
        <n v="14000"/>
        <n v="3024000"/>
        <n v="810000"/>
        <n v="94500"/>
        <n v="1080000"/>
        <n v="405000"/>
        <n v="30600"/>
        <n v="202400"/>
        <n v="88000"/>
        <n v="21000"/>
        <n v="9000"/>
        <n v="22500"/>
        <n v="59000"/>
        <n v="67200"/>
        <n v="36800"/>
        <n v="28000"/>
        <n v="2156000"/>
        <n v="340000"/>
        <n v="1484000"/>
        <n v="275000"/>
        <n v="445500"/>
        <n v="270000"/>
        <n v="30000"/>
        <n v="211200"/>
        <n v="147200"/>
        <n v="33000"/>
        <n v="10500"/>
        <n v="4500"/>
        <n v="295000"/>
        <n v="686000"/>
        <n v="170000"/>
        <n v="24000"/>
        <n v="212000"/>
        <n v="247500"/>
        <n v="99000"/>
        <n v="10000"/>
        <n v="30100"/>
        <n v="515200"/>
        <n v="55000"/>
        <n v="31500"/>
        <n v="81000"/>
        <n v="67500"/>
        <n v="27500"/>
        <n v="3500"/>
        <n v="1089000"/>
        <n v="560000"/>
        <n v="43000"/>
        <n v="454500"/>
        <n v="546750"/>
        <n v="729000"/>
        <n v="231000"/>
        <n v="640000"/>
        <n v="9200"/>
        <n v="24500"/>
        <n v="12000"/>
        <n v="36000"/>
        <n v="472000"/>
        <n v="882000"/>
        <n v="85000"/>
        <n v="3000"/>
        <n v="583000"/>
        <n v="220000"/>
        <n v="96000"/>
        <n v="90000"/>
        <n v="116100"/>
        <n v="757500"/>
        <n v="60750"/>
        <n v="18000"/>
        <n v="1188000"/>
        <n v="1296000"/>
        <n v="63000"/>
        <n v="120000"/>
        <n v="135000"/>
        <n v="10200"/>
        <n v="64400"/>
        <n v="22000"/>
        <n v="40500"/>
        <n v="118000"/>
        <n v="98000"/>
        <n v="73600"/>
        <n v="38500"/>
        <n v="196000"/>
        <n v="1593000"/>
        <n v="1470000"/>
        <n v="440000"/>
        <n v="297000"/>
        <n v="21500"/>
        <n v="7000"/>
        <n v="742500"/>
        <n v="68800"/>
        <n v="303000"/>
        <n v="54000"/>
        <n v="73500"/>
        <n v="160000"/>
        <n v="216000"/>
        <n v="81600"/>
        <n v="18400"/>
        <n v="5500"/>
        <n v="3304000"/>
        <n v="980000"/>
        <n v="382500"/>
        <n v="397500"/>
        <n v="82500"/>
        <n v="153600"/>
        <n v="60000"/>
        <n v="12900"/>
        <n v="252500"/>
        <n v="378000"/>
        <n v="324000"/>
        <n v="84000"/>
        <n v="320000"/>
        <n v="20400"/>
        <n v="9600"/>
        <n v="168000"/>
        <n v="45000"/>
        <n v="531000"/>
        <n v="2646000"/>
        <n v="16500"/>
        <n v="17500"/>
        <n v="308000"/>
        <n v="35000"/>
        <n v="121500"/>
        <n v="138000"/>
        <n v="66000"/>
        <n v="72000"/>
        <n v="55200"/>
        <n v="82800"/>
        <n v="11000"/>
        <n v="46000"/>
        <n v="6000"/>
      </sharedItems>
    </cacheField>
    <cacheField name="Total Cost" numFmtId="0">
      <sharedItems containsSemiMixedTypes="0" containsString="0" containsNumber="1" containsInteger="1" minValue="2700" maxValue="2973600"/>
    </cacheField>
    <cacheField name="Profit/Loss" numFmtId="0">
      <sharedItems containsSemiMixedTypes="0" containsString="0" containsNumber="1" containsInteger="1" minValue="300" maxValue="330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x v="0"/>
    <d v="2022-04-15T00:00:00"/>
    <x v="0"/>
    <x v="0"/>
    <x v="0"/>
    <s v="Partnerships"/>
    <s v="Namkeen"/>
    <x v="0"/>
    <x v="0"/>
    <n v="38250"/>
    <n v="42500"/>
    <n v="3"/>
    <x v="0"/>
    <n v="114750"/>
    <n v="12750"/>
  </r>
  <r>
    <x v="1"/>
    <d v="2022-04-16T00:00:00"/>
    <x v="0"/>
    <x v="0"/>
    <x v="0"/>
    <s v="Online Delivery"/>
    <s v="Chips &amp; Wafers "/>
    <x v="0"/>
    <x v="1"/>
    <n v="2700"/>
    <n v="3000"/>
    <n v="5"/>
    <x v="1"/>
    <n v="13500"/>
    <n v="1500"/>
  </r>
  <r>
    <x v="2"/>
    <d v="2022-04-17T00:00:00"/>
    <x v="0"/>
    <x v="0"/>
    <x v="1"/>
    <s v="Online Delivery"/>
    <s v="Samosas"/>
    <x v="0"/>
    <x v="0"/>
    <n v="23850"/>
    <n v="26500"/>
    <n v="1"/>
    <x v="2"/>
    <n v="23850"/>
    <n v="2650"/>
  </r>
  <r>
    <x v="3"/>
    <d v="2022-04-18T00:00:00"/>
    <x v="0"/>
    <x v="0"/>
    <x v="2"/>
    <s v="Online Delivery"/>
    <s v="Kachoris"/>
    <x v="0"/>
    <x v="0"/>
    <n v="24750"/>
    <n v="27500"/>
    <n v="5"/>
    <x v="3"/>
    <n v="123750"/>
    <n v="13750"/>
  </r>
  <r>
    <x v="4"/>
    <d v="2022-04-19T00:00:00"/>
    <x v="0"/>
    <x v="0"/>
    <x v="3"/>
    <s v="Online Delivery"/>
    <s v="Bhujia"/>
    <x v="0"/>
    <x v="0"/>
    <n v="44550"/>
    <n v="49500"/>
    <n v="7"/>
    <x v="4"/>
    <n v="311850"/>
    <n v="34650"/>
  </r>
  <r>
    <x v="5"/>
    <d v="2022-04-20T00:00:00"/>
    <x v="0"/>
    <x v="0"/>
    <x v="0"/>
    <s v="Online Delivery"/>
    <s v="Mixes"/>
    <x v="0"/>
    <x v="0"/>
    <n v="9000"/>
    <n v="10000"/>
    <n v="4"/>
    <x v="5"/>
    <n v="36000"/>
    <n v="4000"/>
  </r>
  <r>
    <x v="6"/>
    <d v="2022-04-21T00:00:00"/>
    <x v="0"/>
    <x v="0"/>
    <x v="1"/>
    <s v="Online Delivery"/>
    <s v="Ready-to-Eat Curries "/>
    <x v="1"/>
    <x v="2"/>
    <n v="8640"/>
    <n v="9600"/>
    <n v="8"/>
    <x v="6"/>
    <n v="69120"/>
    <n v="7680"/>
  </r>
  <r>
    <x v="7"/>
    <d v="2022-04-22T00:00:00"/>
    <x v="0"/>
    <x v="0"/>
    <x v="4"/>
    <s v="Online Delivery"/>
    <s v="Instant Mixes"/>
    <x v="1"/>
    <x v="2"/>
    <n v="9000"/>
    <n v="10000"/>
    <n v="8"/>
    <x v="7"/>
    <n v="72000"/>
    <n v="8000"/>
  </r>
  <r>
    <x v="8"/>
    <d v="2022-04-23T00:00:00"/>
    <x v="0"/>
    <x v="0"/>
    <x v="5"/>
    <s v="Online Delivery"/>
    <s v="Frozen Snacks"/>
    <x v="1"/>
    <x v="0"/>
    <n v="3870"/>
    <n v="4300"/>
    <n v="9"/>
    <x v="8"/>
    <n v="34830"/>
    <n v="3870"/>
  </r>
  <r>
    <x v="9"/>
    <d v="2022-04-24T00:00:00"/>
    <x v="0"/>
    <x v="0"/>
    <x v="6"/>
    <s v="Online Delivery"/>
    <s v="Parathas"/>
    <x v="1"/>
    <x v="0"/>
    <n v="45450"/>
    <n v="50500"/>
    <n v="2"/>
    <x v="9"/>
    <n v="90900"/>
    <n v="10100"/>
  </r>
  <r>
    <x v="10"/>
    <d v="2022-04-25T00:00:00"/>
    <x v="0"/>
    <x v="0"/>
    <x v="7"/>
    <s v="Online Delivery"/>
    <s v="Nut-based Snacks "/>
    <x v="0"/>
    <x v="0"/>
    <n v="18225"/>
    <n v="20250"/>
    <n v="1"/>
    <x v="10"/>
    <n v="18225"/>
    <n v="2025"/>
  </r>
  <r>
    <x v="11"/>
    <d v="2022-04-26T00:00:00"/>
    <x v="0"/>
    <x v="0"/>
    <x v="2"/>
    <s v="Online Delivery"/>
    <s v="Papads"/>
    <x v="0"/>
    <x v="0"/>
    <n v="1800"/>
    <n v="2000"/>
    <n v="22"/>
    <x v="11"/>
    <n v="39600"/>
    <n v="4400"/>
  </r>
  <r>
    <x v="12"/>
    <d v="2022-04-27T00:00:00"/>
    <x v="0"/>
    <x v="0"/>
    <x v="0"/>
    <s v="Online Delivery"/>
    <s v="Namkeens"/>
    <x v="0"/>
    <x v="0"/>
    <n v="48600"/>
    <n v="54000"/>
    <n v="8"/>
    <x v="12"/>
    <n v="388800"/>
    <n v="43200"/>
  </r>
  <r>
    <x v="13"/>
    <d v="2022-04-28T00:00:00"/>
    <x v="0"/>
    <x v="0"/>
    <x v="6"/>
    <s v="Online Delivery"/>
    <s v="Chips &amp; Wafers "/>
    <x v="0"/>
    <x v="0"/>
    <n v="72900"/>
    <n v="81000"/>
    <n v="7"/>
    <x v="13"/>
    <n v="510300"/>
    <n v="56700"/>
  </r>
  <r>
    <x v="14"/>
    <d v="2022-04-29T00:00:00"/>
    <x v="0"/>
    <x v="0"/>
    <x v="0"/>
    <s v="Online Delivery"/>
    <s v="Samosas"/>
    <x v="0"/>
    <x v="2"/>
    <n v="9450"/>
    <n v="10500"/>
    <n v="56"/>
    <x v="14"/>
    <n v="529200"/>
    <n v="58800"/>
  </r>
  <r>
    <x v="15"/>
    <d v="2022-04-30T00:00:00"/>
    <x v="0"/>
    <x v="0"/>
    <x v="8"/>
    <s v="Online Delivery"/>
    <s v="Kachoris"/>
    <x v="0"/>
    <x v="2"/>
    <n v="36000"/>
    <n v="40000"/>
    <n v="10"/>
    <x v="15"/>
    <n v="360000"/>
    <n v="40000"/>
  </r>
  <r>
    <x v="16"/>
    <d v="2022-05-01T00:00:00"/>
    <x v="0"/>
    <x v="1"/>
    <x v="9"/>
    <s v="Online Delivery"/>
    <s v="Bhujia"/>
    <x v="0"/>
    <x v="2"/>
    <n v="24300"/>
    <n v="27000"/>
    <n v="9"/>
    <x v="16"/>
    <n v="218700"/>
    <n v="24300"/>
  </r>
  <r>
    <x v="17"/>
    <d v="2022-05-02T00:00:00"/>
    <x v="0"/>
    <x v="1"/>
    <x v="8"/>
    <s v="Online Delivery"/>
    <s v="Mixes"/>
    <x v="0"/>
    <x v="0"/>
    <n v="9180"/>
    <n v="10200"/>
    <n v="27"/>
    <x v="17"/>
    <n v="247860"/>
    <n v="27540"/>
  </r>
  <r>
    <x v="18"/>
    <d v="2022-05-03T00:00:00"/>
    <x v="0"/>
    <x v="1"/>
    <x v="2"/>
    <s v="Online Delivery"/>
    <s v="Papads"/>
    <x v="0"/>
    <x v="0"/>
    <n v="8640"/>
    <n v="9600"/>
    <n v="15"/>
    <x v="18"/>
    <n v="129600"/>
    <n v="14400"/>
  </r>
  <r>
    <x v="19"/>
    <d v="2022-10-04T00:00:00"/>
    <x v="0"/>
    <x v="2"/>
    <x v="2"/>
    <s v="Online Delivery"/>
    <s v="Heat-and-Eat Meals"/>
    <x v="1"/>
    <x v="0"/>
    <n v="8280"/>
    <n v="9200"/>
    <n v="3"/>
    <x v="19"/>
    <n v="24840"/>
    <n v="2760"/>
  </r>
  <r>
    <x v="20"/>
    <d v="2022-05-05T00:00:00"/>
    <x v="0"/>
    <x v="1"/>
    <x v="8"/>
    <s v="Online Delivery"/>
    <s v="Ready-to-Eat Curries "/>
    <x v="1"/>
    <x v="1"/>
    <n v="4950"/>
    <n v="5500"/>
    <n v="9"/>
    <x v="20"/>
    <n v="44550"/>
    <n v="4950"/>
  </r>
  <r>
    <x v="21"/>
    <d v="2022-05-06T00:00:00"/>
    <x v="0"/>
    <x v="1"/>
    <x v="8"/>
    <s v="Online Delivery"/>
    <s v="Frozen Snacks"/>
    <x v="1"/>
    <x v="1"/>
    <n v="3150"/>
    <n v="3500"/>
    <n v="22"/>
    <x v="21"/>
    <n v="69300"/>
    <n v="7700"/>
  </r>
  <r>
    <x v="22"/>
    <d v="2022-10-04T00:00:00"/>
    <x v="0"/>
    <x v="2"/>
    <x v="5"/>
    <s v="Online Delivery"/>
    <s v="Traditional Sweets "/>
    <x v="2"/>
    <x v="1"/>
    <n v="2700"/>
    <n v="3000"/>
    <n v="16"/>
    <x v="22"/>
    <n v="43200"/>
    <n v="4800"/>
  </r>
  <r>
    <x v="23"/>
    <d v="2022-05-08T00:00:00"/>
    <x v="0"/>
    <x v="1"/>
    <x v="8"/>
    <s v="Partnerships"/>
    <s v="Dry Sweets "/>
    <x v="2"/>
    <x v="0"/>
    <n v="4050"/>
    <n v="4500"/>
    <n v="6"/>
    <x v="23"/>
    <n v="24300"/>
    <n v="2700"/>
  </r>
  <r>
    <x v="24"/>
    <d v="2022-10-04T00:00:00"/>
    <x v="0"/>
    <x v="2"/>
    <x v="8"/>
    <s v="Partnerships"/>
    <s v="Milk-based Sweets "/>
    <x v="2"/>
    <x v="2"/>
    <n v="53100"/>
    <n v="59000"/>
    <n v="3"/>
    <x v="24"/>
    <n v="159300"/>
    <n v="17700"/>
  </r>
  <r>
    <x v="25"/>
    <d v="2022-10-04T00:00:00"/>
    <x v="0"/>
    <x v="2"/>
    <x v="10"/>
    <s v="Partnerships"/>
    <s v="Syrup-based Sweets"/>
    <x v="2"/>
    <x v="2"/>
    <n v="88200"/>
    <n v="98000"/>
    <n v="5"/>
    <x v="25"/>
    <n v="441000"/>
    <n v="49000"/>
  </r>
  <r>
    <x v="26"/>
    <d v="2022-10-04T00:00:00"/>
    <x v="0"/>
    <x v="2"/>
    <x v="8"/>
    <s v="Partnerships"/>
    <s v="Gift Packs"/>
    <x v="2"/>
    <x v="0"/>
    <n v="38250"/>
    <n v="42500"/>
    <n v="1"/>
    <x v="26"/>
    <n v="38250"/>
    <n v="4250"/>
  </r>
  <r>
    <x v="27"/>
    <d v="2022-10-04T00:00:00"/>
    <x v="0"/>
    <x v="2"/>
    <x v="2"/>
    <s v="Partnerships"/>
    <s v="Traditional Sweets "/>
    <x v="2"/>
    <x v="0"/>
    <n v="2700"/>
    <n v="3000"/>
    <n v="5"/>
    <x v="1"/>
    <n v="13500"/>
    <n v="1500"/>
  </r>
  <r>
    <x v="28"/>
    <d v="2022-05-13T00:00:00"/>
    <x v="0"/>
    <x v="1"/>
    <x v="1"/>
    <s v="Partnerships"/>
    <s v="Dry Sweets "/>
    <x v="2"/>
    <x v="0"/>
    <n v="23850"/>
    <n v="26500"/>
    <n v="7"/>
    <x v="27"/>
    <n v="166950"/>
    <n v="18550"/>
  </r>
  <r>
    <x v="29"/>
    <d v="2022-05-14T00:00:00"/>
    <x v="0"/>
    <x v="1"/>
    <x v="2"/>
    <s v="Partnerships"/>
    <s v="Milk-based Sweets "/>
    <x v="2"/>
    <x v="0"/>
    <n v="24750"/>
    <n v="27500"/>
    <n v="4"/>
    <x v="28"/>
    <n v="99000"/>
    <n v="11000"/>
  </r>
  <r>
    <x v="30"/>
    <d v="2022-05-15T00:00:00"/>
    <x v="0"/>
    <x v="1"/>
    <x v="8"/>
    <s v="Partnerships"/>
    <s v="Syrup-based Sweets"/>
    <x v="2"/>
    <x v="0"/>
    <n v="44550"/>
    <n v="49500"/>
    <n v="8"/>
    <x v="29"/>
    <n v="356400"/>
    <n v="39600"/>
  </r>
  <r>
    <x v="31"/>
    <d v="2022-05-16T00:00:00"/>
    <x v="0"/>
    <x v="1"/>
    <x v="11"/>
    <s v="Partnerships"/>
    <s v="Gift Packs"/>
    <x v="2"/>
    <x v="0"/>
    <n v="9000"/>
    <n v="10000"/>
    <n v="8"/>
    <x v="7"/>
    <n v="72000"/>
    <n v="8000"/>
  </r>
  <r>
    <x v="32"/>
    <d v="2022-05-17T00:00:00"/>
    <x v="0"/>
    <x v="1"/>
    <x v="2"/>
    <s v="Partnerships"/>
    <s v="Gift Packs"/>
    <x v="2"/>
    <x v="2"/>
    <n v="8640"/>
    <n v="9600"/>
    <n v="9"/>
    <x v="30"/>
    <n v="77760"/>
    <n v="8640"/>
  </r>
  <r>
    <x v="33"/>
    <d v="2022-10-04T00:00:00"/>
    <x v="0"/>
    <x v="2"/>
    <x v="6"/>
    <s v="Partnerships"/>
    <s v="Traditional Sweets "/>
    <x v="2"/>
    <x v="2"/>
    <n v="9000"/>
    <n v="10000"/>
    <n v="2"/>
    <x v="31"/>
    <n v="18000"/>
    <n v="2000"/>
  </r>
  <r>
    <x v="34"/>
    <d v="2022-10-04T00:00:00"/>
    <x v="0"/>
    <x v="2"/>
    <x v="6"/>
    <s v="Partnerships"/>
    <s v="Namkeen"/>
    <x v="0"/>
    <x v="2"/>
    <n v="3870"/>
    <n v="4300"/>
    <n v="1"/>
    <x v="32"/>
    <n v="3870"/>
    <n v="430"/>
  </r>
  <r>
    <x v="35"/>
    <d v="2022-10-04T00:00:00"/>
    <x v="0"/>
    <x v="2"/>
    <x v="12"/>
    <s v="Partnerships"/>
    <s v="Chips &amp; Wafers "/>
    <x v="0"/>
    <x v="0"/>
    <n v="45450"/>
    <n v="50500"/>
    <n v="22"/>
    <x v="33"/>
    <n v="999900"/>
    <n v="111100"/>
  </r>
  <r>
    <x v="36"/>
    <d v="2022-10-04T00:00:00"/>
    <x v="0"/>
    <x v="2"/>
    <x v="4"/>
    <s v="Partnerships"/>
    <s v="Samosas"/>
    <x v="0"/>
    <x v="0"/>
    <n v="18225"/>
    <n v="20250"/>
    <n v="8"/>
    <x v="34"/>
    <n v="145800"/>
    <n v="16200"/>
  </r>
  <r>
    <x v="37"/>
    <d v="2022-10-04T00:00:00"/>
    <x v="0"/>
    <x v="2"/>
    <x v="2"/>
    <s v="Partnerships"/>
    <s v="Kachoris"/>
    <x v="0"/>
    <x v="0"/>
    <n v="1800"/>
    <n v="2000"/>
    <n v="7"/>
    <x v="35"/>
    <n v="12600"/>
    <n v="1400"/>
  </r>
  <r>
    <x v="38"/>
    <d v="2022-10-04T00:00:00"/>
    <x v="0"/>
    <x v="2"/>
    <x v="6"/>
    <s v="Partnerships"/>
    <s v="Bhujia"/>
    <x v="0"/>
    <x v="0"/>
    <n v="48600"/>
    <n v="54000"/>
    <n v="56"/>
    <x v="36"/>
    <n v="2721600"/>
    <n v="302400"/>
  </r>
  <r>
    <x v="39"/>
    <d v="2022-10-04T00:00:00"/>
    <x v="0"/>
    <x v="2"/>
    <x v="5"/>
    <s v="Partnerships"/>
    <s v="Mixes"/>
    <x v="0"/>
    <x v="0"/>
    <n v="72900"/>
    <n v="81000"/>
    <n v="10"/>
    <x v="37"/>
    <n v="729000"/>
    <n v="81000"/>
  </r>
  <r>
    <x v="40"/>
    <d v="2022-10-04T00:00:00"/>
    <x v="0"/>
    <x v="2"/>
    <x v="2"/>
    <s v="Partnerships"/>
    <s v="Ready-to-Eat Curries "/>
    <x v="1"/>
    <x v="0"/>
    <n v="9450"/>
    <n v="10500"/>
    <n v="9"/>
    <x v="38"/>
    <n v="85050"/>
    <n v="9450"/>
  </r>
  <r>
    <x v="41"/>
    <d v="2022-10-04T00:00:00"/>
    <x v="0"/>
    <x v="2"/>
    <x v="3"/>
    <s v="Partnerships"/>
    <s v="Instant Mixes"/>
    <x v="1"/>
    <x v="0"/>
    <n v="36000"/>
    <n v="40000"/>
    <n v="27"/>
    <x v="39"/>
    <n v="972000"/>
    <n v="108000"/>
  </r>
  <r>
    <x v="42"/>
    <d v="2022-10-04T00:00:00"/>
    <x v="0"/>
    <x v="2"/>
    <x v="2"/>
    <s v="Partnerships"/>
    <s v="Frozen Snacks"/>
    <x v="1"/>
    <x v="2"/>
    <n v="24300"/>
    <n v="27000"/>
    <n v="15"/>
    <x v="40"/>
    <n v="364500"/>
    <n v="40500"/>
  </r>
  <r>
    <x v="43"/>
    <d v="2022-05-28T00:00:00"/>
    <x v="0"/>
    <x v="1"/>
    <x v="13"/>
    <s v="Partnerships"/>
    <s v="Parathas"/>
    <x v="1"/>
    <x v="2"/>
    <n v="9180"/>
    <n v="10200"/>
    <n v="3"/>
    <x v="41"/>
    <n v="27540"/>
    <n v="3060"/>
  </r>
  <r>
    <x v="44"/>
    <d v="2022-05-29T00:00:00"/>
    <x v="0"/>
    <x v="1"/>
    <x v="8"/>
    <s v="Partnerships"/>
    <s v="Nut-based Snacks "/>
    <x v="0"/>
    <x v="0"/>
    <n v="8640"/>
    <n v="9600"/>
    <n v="9"/>
    <x v="30"/>
    <n v="77760"/>
    <n v="8640"/>
  </r>
  <r>
    <x v="45"/>
    <d v="2022-05-30T00:00:00"/>
    <x v="0"/>
    <x v="1"/>
    <x v="14"/>
    <s v="Partnerships"/>
    <s v="Papads"/>
    <x v="0"/>
    <x v="0"/>
    <n v="8280"/>
    <n v="9200"/>
    <n v="22"/>
    <x v="42"/>
    <n v="182160"/>
    <n v="20240"/>
  </r>
  <r>
    <x v="46"/>
    <d v="2022-05-31T00:00:00"/>
    <x v="0"/>
    <x v="1"/>
    <x v="15"/>
    <s v="Partnerships"/>
    <s v="Namkeens"/>
    <x v="0"/>
    <x v="0"/>
    <n v="4950"/>
    <n v="5500"/>
    <n v="16"/>
    <x v="43"/>
    <n v="79200"/>
    <n v="8800"/>
  </r>
  <r>
    <x v="47"/>
    <d v="2022-06-01T00:00:00"/>
    <x v="0"/>
    <x v="3"/>
    <x v="3"/>
    <s v="Online Delivery"/>
    <s v="Chips &amp; Wafers "/>
    <x v="0"/>
    <x v="1"/>
    <n v="3150"/>
    <n v="3500"/>
    <n v="6"/>
    <x v="44"/>
    <n v="18900"/>
    <n v="2100"/>
  </r>
  <r>
    <x v="48"/>
    <d v="2022-06-02T00:00:00"/>
    <x v="0"/>
    <x v="3"/>
    <x v="16"/>
    <s v="Partnerships"/>
    <s v="Samosas"/>
    <x v="0"/>
    <x v="0"/>
    <n v="2700"/>
    <n v="3000"/>
    <n v="3"/>
    <x v="45"/>
    <n v="8100"/>
    <n v="900"/>
  </r>
  <r>
    <x v="49"/>
    <d v="2022-06-03T00:00:00"/>
    <x v="0"/>
    <x v="3"/>
    <x v="2"/>
    <s v="Online Delivery"/>
    <s v="Kachoris"/>
    <x v="0"/>
    <x v="1"/>
    <n v="4050"/>
    <n v="4500"/>
    <n v="5"/>
    <x v="46"/>
    <n v="20250"/>
    <n v="2250"/>
  </r>
  <r>
    <x v="50"/>
    <d v="2022-06-04T00:00:00"/>
    <x v="0"/>
    <x v="3"/>
    <x v="17"/>
    <s v="Partnerships"/>
    <s v="Bhujia"/>
    <x v="0"/>
    <x v="2"/>
    <n v="53100"/>
    <n v="59000"/>
    <n v="1"/>
    <x v="47"/>
    <n v="53100"/>
    <n v="5900"/>
  </r>
  <r>
    <x v="51"/>
    <d v="2022-06-05T00:00:00"/>
    <x v="0"/>
    <x v="3"/>
    <x v="8"/>
    <s v="Online Delivery"/>
    <s v="Mixes"/>
    <x v="0"/>
    <x v="2"/>
    <n v="88200"/>
    <n v="98000"/>
    <n v="5"/>
    <x v="25"/>
    <n v="441000"/>
    <n v="49000"/>
  </r>
  <r>
    <x v="52"/>
    <d v="2022-06-06T00:00:00"/>
    <x v="0"/>
    <x v="3"/>
    <x v="8"/>
    <s v="Partnerships"/>
    <s v="Papads"/>
    <x v="0"/>
    <x v="2"/>
    <n v="8640"/>
    <n v="9600"/>
    <n v="7"/>
    <x v="48"/>
    <n v="60480"/>
    <n v="6720"/>
  </r>
  <r>
    <x v="53"/>
    <d v="2022-06-07T00:00:00"/>
    <x v="0"/>
    <x v="3"/>
    <x v="5"/>
    <s v="Online Delivery"/>
    <s v="Heat-and-Eat Meals"/>
    <x v="1"/>
    <x v="0"/>
    <n v="8280"/>
    <n v="9200"/>
    <n v="4"/>
    <x v="49"/>
    <n v="33120"/>
    <n v="3680"/>
  </r>
  <r>
    <x v="54"/>
    <d v="2022-06-08T00:00:00"/>
    <x v="0"/>
    <x v="3"/>
    <x v="8"/>
    <s v="Partnerships"/>
    <s v="Ready-to-Eat Curries "/>
    <x v="1"/>
    <x v="0"/>
    <n v="4950"/>
    <n v="5500"/>
    <n v="8"/>
    <x v="11"/>
    <n v="39600"/>
    <n v="4400"/>
  </r>
  <r>
    <x v="55"/>
    <d v="2022-06-09T00:00:00"/>
    <x v="0"/>
    <x v="3"/>
    <x v="18"/>
    <s v="Online Delivery"/>
    <s v="Frozen Snacks"/>
    <x v="1"/>
    <x v="1"/>
    <n v="3150"/>
    <n v="3500"/>
    <n v="8"/>
    <x v="50"/>
    <n v="25200"/>
    <n v="2800"/>
  </r>
  <r>
    <x v="56"/>
    <d v="2022-06-10T00:00:00"/>
    <x v="0"/>
    <x v="3"/>
    <x v="2"/>
    <s v="Partnerships"/>
    <s v="Traditional Sweets "/>
    <x v="2"/>
    <x v="0"/>
    <n v="2700"/>
    <n v="3000"/>
    <n v="9"/>
    <x v="23"/>
    <n v="24300"/>
    <n v="2700"/>
  </r>
  <r>
    <x v="57"/>
    <d v="2022-06-11T00:00:00"/>
    <x v="0"/>
    <x v="3"/>
    <x v="17"/>
    <s v="Online Delivery"/>
    <s v="Dry Sweets "/>
    <x v="2"/>
    <x v="0"/>
    <n v="4050"/>
    <n v="4500"/>
    <n v="2"/>
    <x v="45"/>
    <n v="8100"/>
    <n v="900"/>
  </r>
  <r>
    <x v="58"/>
    <d v="2022-06-12T00:00:00"/>
    <x v="0"/>
    <x v="3"/>
    <x v="16"/>
    <s v="Partnerships"/>
    <s v="Milk-based Sweets "/>
    <x v="2"/>
    <x v="0"/>
    <n v="53100"/>
    <n v="59000"/>
    <n v="1"/>
    <x v="47"/>
    <n v="53100"/>
    <n v="5900"/>
  </r>
  <r>
    <x v="59"/>
    <d v="2022-06-13T00:00:00"/>
    <x v="0"/>
    <x v="3"/>
    <x v="0"/>
    <s v="Online Delivery"/>
    <s v="Syrup-based Sweets"/>
    <x v="2"/>
    <x v="0"/>
    <n v="88200"/>
    <n v="98000"/>
    <n v="22"/>
    <x v="51"/>
    <n v="1940400"/>
    <n v="215600"/>
  </r>
  <r>
    <x v="60"/>
    <d v="2022-06-14T00:00:00"/>
    <x v="0"/>
    <x v="3"/>
    <x v="5"/>
    <s v="Partnerships"/>
    <s v="Gift Packs"/>
    <x v="2"/>
    <x v="2"/>
    <n v="38250"/>
    <n v="42500"/>
    <n v="8"/>
    <x v="52"/>
    <n v="306000"/>
    <n v="34000"/>
  </r>
  <r>
    <x v="61"/>
    <d v="2022-06-15T00:00:00"/>
    <x v="0"/>
    <x v="3"/>
    <x v="3"/>
    <s v="Online Delivery"/>
    <s v="Traditional Sweets "/>
    <x v="2"/>
    <x v="2"/>
    <n v="2700"/>
    <n v="3000"/>
    <n v="7"/>
    <x v="44"/>
    <n v="18900"/>
    <n v="2100"/>
  </r>
  <r>
    <x v="62"/>
    <d v="2022-06-16T00:00:00"/>
    <x v="0"/>
    <x v="3"/>
    <x v="19"/>
    <s v="Partnerships"/>
    <s v="Dry Sweets "/>
    <x v="2"/>
    <x v="0"/>
    <n v="23850"/>
    <n v="26500"/>
    <n v="56"/>
    <x v="53"/>
    <n v="1335600"/>
    <n v="148400"/>
  </r>
  <r>
    <x v="63"/>
    <d v="2022-06-17T00:00:00"/>
    <x v="0"/>
    <x v="3"/>
    <x v="15"/>
    <s v="Online Delivery"/>
    <s v="Milk-based Sweets "/>
    <x v="2"/>
    <x v="0"/>
    <n v="24750"/>
    <n v="27500"/>
    <n v="10"/>
    <x v="54"/>
    <n v="247500"/>
    <n v="27500"/>
  </r>
  <r>
    <x v="64"/>
    <d v="2022-06-18T00:00:00"/>
    <x v="0"/>
    <x v="3"/>
    <x v="20"/>
    <s v="Partnerships"/>
    <s v="Syrup-based Sweets"/>
    <x v="2"/>
    <x v="0"/>
    <n v="44550"/>
    <n v="49500"/>
    <n v="9"/>
    <x v="55"/>
    <n v="400950"/>
    <n v="44550"/>
  </r>
  <r>
    <x v="65"/>
    <d v="2022-06-19T00:00:00"/>
    <x v="0"/>
    <x v="3"/>
    <x v="2"/>
    <s v="Online Delivery"/>
    <s v="Gift Packs"/>
    <x v="2"/>
    <x v="0"/>
    <n v="9000"/>
    <n v="10000"/>
    <n v="27"/>
    <x v="56"/>
    <n v="243000"/>
    <n v="27000"/>
  </r>
  <r>
    <x v="66"/>
    <d v="2022-06-20T00:00:00"/>
    <x v="0"/>
    <x v="3"/>
    <x v="2"/>
    <s v="Partnerships"/>
    <s v="Gift Packs"/>
    <x v="2"/>
    <x v="0"/>
    <n v="8640"/>
    <n v="9600"/>
    <n v="15"/>
    <x v="18"/>
    <n v="129600"/>
    <n v="14400"/>
  </r>
  <r>
    <x v="67"/>
    <d v="2022-06-21T00:00:00"/>
    <x v="0"/>
    <x v="3"/>
    <x v="9"/>
    <s v="Online Delivery"/>
    <s v="Traditional Sweets "/>
    <x v="2"/>
    <x v="0"/>
    <n v="9000"/>
    <n v="10000"/>
    <n v="3"/>
    <x v="57"/>
    <n v="27000"/>
    <n v="3000"/>
  </r>
  <r>
    <x v="68"/>
    <d v="2022-06-22T00:00:00"/>
    <x v="0"/>
    <x v="3"/>
    <x v="9"/>
    <s v="Partnerships"/>
    <s v="Namkeen"/>
    <x v="0"/>
    <x v="2"/>
    <n v="3870"/>
    <n v="4300"/>
    <n v="9"/>
    <x v="8"/>
    <n v="34830"/>
    <n v="3870"/>
  </r>
  <r>
    <x v="69"/>
    <d v="2022-06-23T00:00:00"/>
    <x v="0"/>
    <x v="3"/>
    <x v="8"/>
    <s v="Online Delivery"/>
    <s v="Chips &amp; Wafers "/>
    <x v="0"/>
    <x v="2"/>
    <n v="8640"/>
    <n v="9600"/>
    <n v="22"/>
    <x v="58"/>
    <n v="190080"/>
    <n v="21120"/>
  </r>
  <r>
    <x v="70"/>
    <d v="2022-06-24T00:00:00"/>
    <x v="0"/>
    <x v="3"/>
    <x v="1"/>
    <s v="Partnerships"/>
    <s v="Samosas"/>
    <x v="0"/>
    <x v="2"/>
    <n v="8280"/>
    <n v="9200"/>
    <n v="16"/>
    <x v="59"/>
    <n v="132480"/>
    <n v="14720"/>
  </r>
  <r>
    <x v="71"/>
    <d v="2022-06-25T00:00:00"/>
    <x v="0"/>
    <x v="3"/>
    <x v="2"/>
    <s v="Online Delivery"/>
    <s v="Kachoris"/>
    <x v="0"/>
    <x v="0"/>
    <n v="4950"/>
    <n v="5500"/>
    <n v="6"/>
    <x v="60"/>
    <n v="29700"/>
    <n v="3300"/>
  </r>
  <r>
    <x v="72"/>
    <d v="2022-06-26T00:00:00"/>
    <x v="0"/>
    <x v="3"/>
    <x v="0"/>
    <s v="Partnerships"/>
    <s v="Bhujia"/>
    <x v="0"/>
    <x v="0"/>
    <n v="3150"/>
    <n v="3500"/>
    <n v="3"/>
    <x v="61"/>
    <n v="9450"/>
    <n v="1050"/>
  </r>
  <r>
    <x v="73"/>
    <d v="2022-06-27T00:00:00"/>
    <x v="0"/>
    <x v="3"/>
    <x v="2"/>
    <s v="Online Delivery"/>
    <s v="Mixes"/>
    <x v="0"/>
    <x v="0"/>
    <n v="2700"/>
    <n v="3000"/>
    <n v="5"/>
    <x v="1"/>
    <n v="13500"/>
    <n v="1500"/>
  </r>
  <r>
    <x v="74"/>
    <d v="2022-06-28T00:00:00"/>
    <x v="0"/>
    <x v="3"/>
    <x v="9"/>
    <s v="Partnerships"/>
    <s v="Ready-to-Eat Curries "/>
    <x v="1"/>
    <x v="0"/>
    <n v="4050"/>
    <n v="4500"/>
    <n v="1"/>
    <x v="62"/>
    <n v="4050"/>
    <n v="450"/>
  </r>
  <r>
    <x v="75"/>
    <d v="2022-06-29T00:00:00"/>
    <x v="0"/>
    <x v="3"/>
    <x v="0"/>
    <s v="Online Delivery"/>
    <s v="Instant Mixes"/>
    <x v="1"/>
    <x v="0"/>
    <n v="53100"/>
    <n v="59000"/>
    <n v="5"/>
    <x v="63"/>
    <n v="265500"/>
    <n v="29500"/>
  </r>
  <r>
    <x v="76"/>
    <d v="2022-06-30T00:00:00"/>
    <x v="0"/>
    <x v="3"/>
    <x v="9"/>
    <s v="Partnerships"/>
    <s v="Frozen Snacks"/>
    <x v="1"/>
    <x v="0"/>
    <n v="88200"/>
    <n v="98000"/>
    <n v="7"/>
    <x v="64"/>
    <n v="617400"/>
    <n v="68600"/>
  </r>
  <r>
    <x v="77"/>
    <d v="2022-07-01T00:00:00"/>
    <x v="0"/>
    <x v="4"/>
    <x v="5"/>
    <s v="Online Delivery"/>
    <s v="Parathas"/>
    <x v="1"/>
    <x v="0"/>
    <n v="38250"/>
    <n v="42500"/>
    <n v="4"/>
    <x v="65"/>
    <n v="153000"/>
    <n v="17000"/>
  </r>
  <r>
    <x v="78"/>
    <d v="2022-07-02T00:00:00"/>
    <x v="0"/>
    <x v="4"/>
    <x v="12"/>
    <s v="Partnerships"/>
    <s v="Nut-based Snacks "/>
    <x v="0"/>
    <x v="2"/>
    <n v="2700"/>
    <n v="3000"/>
    <n v="8"/>
    <x v="66"/>
    <n v="21600"/>
    <n v="2400"/>
  </r>
  <r>
    <x v="79"/>
    <d v="2022-07-03T00:00:00"/>
    <x v="0"/>
    <x v="4"/>
    <x v="6"/>
    <s v="Online Delivery"/>
    <s v="Papads"/>
    <x v="0"/>
    <x v="2"/>
    <n v="23850"/>
    <n v="26500"/>
    <n v="8"/>
    <x v="67"/>
    <n v="190800"/>
    <n v="21200"/>
  </r>
  <r>
    <x v="80"/>
    <d v="2022-07-04T00:00:00"/>
    <x v="0"/>
    <x v="4"/>
    <x v="8"/>
    <s v="Partnerships"/>
    <s v="Namkeens"/>
    <x v="0"/>
    <x v="0"/>
    <n v="24750"/>
    <n v="27500"/>
    <n v="9"/>
    <x v="68"/>
    <n v="222750"/>
    <n v="24750"/>
  </r>
  <r>
    <x v="81"/>
    <d v="2022-07-05T00:00:00"/>
    <x v="0"/>
    <x v="4"/>
    <x v="9"/>
    <s v="Partnerships"/>
    <s v="Chips &amp; Wafers "/>
    <x v="0"/>
    <x v="0"/>
    <n v="44550"/>
    <n v="49500"/>
    <n v="2"/>
    <x v="69"/>
    <n v="89100"/>
    <n v="9900"/>
  </r>
  <r>
    <x v="82"/>
    <d v="2022-07-06T00:00:00"/>
    <x v="0"/>
    <x v="4"/>
    <x v="7"/>
    <s v="Online Delivery"/>
    <s v="Samosas"/>
    <x v="0"/>
    <x v="0"/>
    <n v="9000"/>
    <n v="10000"/>
    <n v="1"/>
    <x v="70"/>
    <n v="9000"/>
    <n v="1000"/>
  </r>
  <r>
    <x v="83"/>
    <d v="2022-07-07T00:00:00"/>
    <x v="0"/>
    <x v="4"/>
    <x v="5"/>
    <s v="Partnerships"/>
    <s v="Kachoris"/>
    <x v="0"/>
    <x v="0"/>
    <n v="8640"/>
    <n v="9600"/>
    <n v="22"/>
    <x v="58"/>
    <n v="190080"/>
    <n v="21120"/>
  </r>
  <r>
    <x v="84"/>
    <d v="2022-07-08T00:00:00"/>
    <x v="0"/>
    <x v="4"/>
    <x v="6"/>
    <s v="Online Delivery"/>
    <s v="Bhujia"/>
    <x v="0"/>
    <x v="0"/>
    <n v="9000"/>
    <n v="10000"/>
    <n v="8"/>
    <x v="7"/>
    <n v="72000"/>
    <n v="8000"/>
  </r>
  <r>
    <x v="85"/>
    <d v="2022-07-09T00:00:00"/>
    <x v="0"/>
    <x v="4"/>
    <x v="2"/>
    <s v="Partnerships"/>
    <s v="Mixes"/>
    <x v="0"/>
    <x v="0"/>
    <n v="3870"/>
    <n v="4300"/>
    <n v="7"/>
    <x v="71"/>
    <n v="27090"/>
    <n v="3010"/>
  </r>
  <r>
    <x v="86"/>
    <d v="2022-07-10T00:00:00"/>
    <x v="0"/>
    <x v="4"/>
    <x v="6"/>
    <s v="Online Delivery"/>
    <s v="Papads"/>
    <x v="0"/>
    <x v="2"/>
    <n v="8280"/>
    <n v="9200"/>
    <n v="56"/>
    <x v="72"/>
    <n v="463680"/>
    <n v="51520"/>
  </r>
  <r>
    <x v="87"/>
    <d v="2022-07-11T00:00:00"/>
    <x v="0"/>
    <x v="4"/>
    <x v="2"/>
    <s v="Partnerships"/>
    <s v="Heat-and-Eat Meals"/>
    <x v="1"/>
    <x v="2"/>
    <n v="4950"/>
    <n v="5500"/>
    <n v="10"/>
    <x v="73"/>
    <n v="49500"/>
    <n v="5500"/>
  </r>
  <r>
    <x v="88"/>
    <d v="2022-07-12T00:00:00"/>
    <x v="0"/>
    <x v="4"/>
    <x v="12"/>
    <s v="Online Delivery"/>
    <s v="Ready-to-Eat Curries "/>
    <x v="1"/>
    <x v="2"/>
    <n v="3150"/>
    <n v="3500"/>
    <n v="9"/>
    <x v="74"/>
    <n v="28350"/>
    <n v="3150"/>
  </r>
  <r>
    <x v="89"/>
    <d v="2022-07-13T00:00:00"/>
    <x v="0"/>
    <x v="4"/>
    <x v="2"/>
    <s v="Partnerships"/>
    <s v="Frozen Snacks"/>
    <x v="1"/>
    <x v="0"/>
    <n v="2700"/>
    <n v="3000"/>
    <n v="27"/>
    <x v="75"/>
    <n v="72900"/>
    <n v="8100"/>
  </r>
  <r>
    <x v="90"/>
    <d v="2022-07-14T00:00:00"/>
    <x v="0"/>
    <x v="4"/>
    <x v="21"/>
    <s v="Online Delivery"/>
    <s v="Traditional Sweets "/>
    <x v="2"/>
    <x v="0"/>
    <n v="4050"/>
    <n v="4500"/>
    <n v="15"/>
    <x v="76"/>
    <n v="60750"/>
    <n v="6750"/>
  </r>
  <r>
    <x v="91"/>
    <d v="2022-07-15T00:00:00"/>
    <x v="0"/>
    <x v="4"/>
    <x v="8"/>
    <s v="Partnerships"/>
    <s v="Dry Sweets "/>
    <x v="2"/>
    <x v="0"/>
    <n v="8280"/>
    <n v="9200"/>
    <n v="3"/>
    <x v="19"/>
    <n v="24840"/>
    <n v="2760"/>
  </r>
  <r>
    <x v="92"/>
    <d v="2022-07-16T00:00:00"/>
    <x v="0"/>
    <x v="4"/>
    <x v="3"/>
    <s v="Online Delivery"/>
    <s v="Milk-based Sweets "/>
    <x v="2"/>
    <x v="0"/>
    <n v="4950"/>
    <n v="5500"/>
    <n v="9"/>
    <x v="20"/>
    <n v="44550"/>
    <n v="4950"/>
  </r>
  <r>
    <x v="93"/>
    <d v="2022-07-17T00:00:00"/>
    <x v="0"/>
    <x v="4"/>
    <x v="3"/>
    <s v="Partnerships"/>
    <s v="Syrup-based Sweets"/>
    <x v="2"/>
    <x v="0"/>
    <n v="3150"/>
    <n v="3500"/>
    <n v="22"/>
    <x v="21"/>
    <n v="69300"/>
    <n v="7700"/>
  </r>
  <r>
    <x v="94"/>
    <d v="2022-07-18T00:00:00"/>
    <x v="0"/>
    <x v="4"/>
    <x v="5"/>
    <s v="Online Delivery"/>
    <s v="Gift Packs"/>
    <x v="2"/>
    <x v="0"/>
    <n v="2700"/>
    <n v="3000"/>
    <n v="16"/>
    <x v="22"/>
    <n v="43200"/>
    <n v="4800"/>
  </r>
  <r>
    <x v="95"/>
    <d v="2022-07-19T00:00:00"/>
    <x v="0"/>
    <x v="4"/>
    <x v="8"/>
    <s v="Partnerships"/>
    <s v="Traditional Sweets "/>
    <x v="2"/>
    <x v="0"/>
    <n v="4050"/>
    <n v="4500"/>
    <n v="6"/>
    <x v="23"/>
    <n v="24300"/>
    <n v="2700"/>
  </r>
  <r>
    <x v="96"/>
    <d v="2022-07-20T00:00:00"/>
    <x v="0"/>
    <x v="4"/>
    <x v="12"/>
    <s v="Online Delivery"/>
    <s v="Dry Sweets "/>
    <x v="2"/>
    <x v="2"/>
    <n v="8280"/>
    <n v="9200"/>
    <n v="3"/>
    <x v="19"/>
    <n v="24840"/>
    <n v="2760"/>
  </r>
  <r>
    <x v="97"/>
    <d v="2022-07-21T00:00:00"/>
    <x v="0"/>
    <x v="4"/>
    <x v="12"/>
    <s v="Partnerships"/>
    <s v="Milk-based Sweets "/>
    <x v="2"/>
    <x v="2"/>
    <n v="4950"/>
    <n v="5500"/>
    <n v="5"/>
    <x v="77"/>
    <n v="24750"/>
    <n v="2750"/>
  </r>
  <r>
    <x v="98"/>
    <d v="2022-07-22T00:00:00"/>
    <x v="0"/>
    <x v="4"/>
    <x v="9"/>
    <s v="Online Delivery"/>
    <s v="Syrup-based Sweets"/>
    <x v="2"/>
    <x v="0"/>
    <n v="3150"/>
    <n v="3500"/>
    <n v="1"/>
    <x v="78"/>
    <n v="3150"/>
    <n v="350"/>
  </r>
  <r>
    <x v="99"/>
    <d v="2022-07-23T00:00:00"/>
    <x v="0"/>
    <x v="4"/>
    <x v="10"/>
    <s v="Partnerships"/>
    <s v="Gift Packs"/>
    <x v="2"/>
    <x v="0"/>
    <n v="2700"/>
    <n v="3000"/>
    <n v="5"/>
    <x v="1"/>
    <n v="13500"/>
    <n v="1500"/>
  </r>
  <r>
    <x v="100"/>
    <d v="2022-07-24T00:00:00"/>
    <x v="0"/>
    <x v="4"/>
    <x v="18"/>
    <s v="Online Delivery"/>
    <s v="Gift Packs"/>
    <x v="2"/>
    <x v="0"/>
    <n v="4050"/>
    <n v="4500"/>
    <n v="7"/>
    <x v="74"/>
    <n v="28350"/>
    <n v="3150"/>
  </r>
  <r>
    <x v="101"/>
    <d v="2022-07-25T00:00:00"/>
    <x v="0"/>
    <x v="4"/>
    <x v="3"/>
    <s v="Partnerships"/>
    <s v="Traditional Sweets "/>
    <x v="2"/>
    <x v="0"/>
    <n v="8280"/>
    <n v="9200"/>
    <n v="4"/>
    <x v="49"/>
    <n v="33120"/>
    <n v="3680"/>
  </r>
  <r>
    <x v="102"/>
    <d v="2022-07-26T00:00:00"/>
    <x v="0"/>
    <x v="4"/>
    <x v="0"/>
    <s v="Online Delivery"/>
    <s v="Milk-based Sweets "/>
    <x v="2"/>
    <x v="0"/>
    <n v="4950"/>
    <n v="5500"/>
    <n v="8"/>
    <x v="11"/>
    <n v="39600"/>
    <n v="4400"/>
  </r>
  <r>
    <x v="103"/>
    <d v="2022-07-27T00:00:00"/>
    <x v="0"/>
    <x v="4"/>
    <x v="9"/>
    <s v="Partnerships"/>
    <s v="Syrup-based Sweets"/>
    <x v="2"/>
    <x v="0"/>
    <n v="3150"/>
    <n v="3500"/>
    <n v="8"/>
    <x v="50"/>
    <n v="25200"/>
    <n v="2800"/>
  </r>
  <r>
    <x v="104"/>
    <d v="2022-07-28T00:00:00"/>
    <x v="0"/>
    <x v="4"/>
    <x v="12"/>
    <s v="Online Delivery"/>
    <s v="Gift Packs"/>
    <x v="2"/>
    <x v="2"/>
    <n v="2700"/>
    <n v="3000"/>
    <n v="9"/>
    <x v="23"/>
    <n v="24300"/>
    <n v="2700"/>
  </r>
  <r>
    <x v="105"/>
    <d v="2022-07-29T00:00:00"/>
    <x v="0"/>
    <x v="4"/>
    <x v="7"/>
    <s v="Partnerships"/>
    <s v="Traditional Sweets "/>
    <x v="2"/>
    <x v="2"/>
    <n v="4050"/>
    <n v="4500"/>
    <n v="2"/>
    <x v="45"/>
    <n v="8100"/>
    <n v="900"/>
  </r>
  <r>
    <x v="106"/>
    <d v="2022-07-30T00:00:00"/>
    <x v="0"/>
    <x v="4"/>
    <x v="20"/>
    <s v="Online Delivery"/>
    <s v="Dry Sweets "/>
    <x v="2"/>
    <x v="0"/>
    <n v="24750"/>
    <n v="27500"/>
    <n v="1"/>
    <x v="77"/>
    <n v="24750"/>
    <n v="2750"/>
  </r>
  <r>
    <x v="107"/>
    <d v="2022-07-31T00:00:00"/>
    <x v="0"/>
    <x v="4"/>
    <x v="8"/>
    <s v="Partnerships"/>
    <s v="Milk-based Sweets "/>
    <x v="2"/>
    <x v="1"/>
    <n v="44550"/>
    <n v="49500"/>
    <n v="22"/>
    <x v="79"/>
    <n v="980100"/>
    <n v="108900"/>
  </r>
  <r>
    <x v="108"/>
    <d v="2022-08-01T00:00:00"/>
    <x v="0"/>
    <x v="5"/>
    <x v="1"/>
    <s v="Online Delivery"/>
    <s v="Syrup-based Sweets"/>
    <x v="2"/>
    <x v="0"/>
    <n v="9000"/>
    <n v="10000"/>
    <n v="8"/>
    <x v="7"/>
    <n v="72000"/>
    <n v="8000"/>
  </r>
  <r>
    <x v="109"/>
    <d v="2022-08-02T00:00:00"/>
    <x v="0"/>
    <x v="5"/>
    <x v="9"/>
    <s v="Partnerships"/>
    <s v="Gift Packs"/>
    <x v="2"/>
    <x v="0"/>
    <n v="8640"/>
    <n v="9600"/>
    <n v="7"/>
    <x v="48"/>
    <n v="60480"/>
    <n v="6720"/>
  </r>
  <r>
    <x v="110"/>
    <d v="2022-08-03T00:00:00"/>
    <x v="0"/>
    <x v="5"/>
    <x v="20"/>
    <s v="Online Delivery"/>
    <s v="Gift Packs"/>
    <x v="2"/>
    <x v="0"/>
    <n v="9000"/>
    <n v="10000"/>
    <n v="56"/>
    <x v="80"/>
    <n v="504000"/>
    <n v="56000"/>
  </r>
  <r>
    <x v="111"/>
    <d v="2022-08-04T00:00:00"/>
    <x v="0"/>
    <x v="5"/>
    <x v="18"/>
    <s v="Partnerships"/>
    <s v="Traditional Sweets "/>
    <x v="2"/>
    <x v="0"/>
    <n v="3870"/>
    <n v="4300"/>
    <n v="10"/>
    <x v="81"/>
    <n v="38700"/>
    <n v="4300"/>
  </r>
  <r>
    <x v="112"/>
    <d v="2022-08-05T00:00:00"/>
    <x v="0"/>
    <x v="5"/>
    <x v="2"/>
    <s v="Online Delivery"/>
    <s v="Namkeen"/>
    <x v="0"/>
    <x v="2"/>
    <n v="45450"/>
    <n v="50500"/>
    <n v="9"/>
    <x v="82"/>
    <n v="409050"/>
    <n v="45450"/>
  </r>
  <r>
    <x v="113"/>
    <d v="2022-08-06T00:00:00"/>
    <x v="0"/>
    <x v="5"/>
    <x v="2"/>
    <s v="Partnerships"/>
    <s v="Heat-and-Eat Meals"/>
    <x v="1"/>
    <x v="2"/>
    <n v="18225"/>
    <n v="20250"/>
    <n v="27"/>
    <x v="83"/>
    <n v="492075"/>
    <n v="54675"/>
  </r>
  <r>
    <x v="114"/>
    <d v="2022-08-07T00:00:00"/>
    <x v="0"/>
    <x v="5"/>
    <x v="2"/>
    <s v="Online Delivery"/>
    <s v="Ready-to-Eat Curries "/>
    <x v="1"/>
    <x v="0"/>
    <n v="1800"/>
    <n v="2000"/>
    <n v="15"/>
    <x v="57"/>
    <n v="27000"/>
    <n v="3000"/>
  </r>
  <r>
    <x v="115"/>
    <d v="2022-08-08T00:00:00"/>
    <x v="0"/>
    <x v="5"/>
    <x v="9"/>
    <s v="Partnerships"/>
    <s v="Frozen Snacks"/>
    <x v="1"/>
    <x v="0"/>
    <n v="48600"/>
    <n v="54000"/>
    <n v="3"/>
    <x v="34"/>
    <n v="145800"/>
    <n v="16200"/>
  </r>
  <r>
    <x v="116"/>
    <d v="2022-08-09T00:00:00"/>
    <x v="0"/>
    <x v="5"/>
    <x v="6"/>
    <s v="Online Delivery"/>
    <s v="Traditional Sweets "/>
    <x v="2"/>
    <x v="0"/>
    <n v="72900"/>
    <n v="81000"/>
    <n v="9"/>
    <x v="84"/>
    <n v="656100"/>
    <n v="72900"/>
  </r>
  <r>
    <x v="117"/>
    <d v="2022-08-10T00:00:00"/>
    <x v="0"/>
    <x v="5"/>
    <x v="22"/>
    <s v="Partnerships"/>
    <s v="Dry Sweets "/>
    <x v="2"/>
    <x v="0"/>
    <n v="9450"/>
    <n v="10500"/>
    <n v="22"/>
    <x v="85"/>
    <n v="207900"/>
    <n v="23100"/>
  </r>
  <r>
    <x v="118"/>
    <d v="2022-08-11T00:00:00"/>
    <x v="0"/>
    <x v="5"/>
    <x v="0"/>
    <s v="Online Delivery"/>
    <s v="Milk-based Sweets "/>
    <x v="2"/>
    <x v="0"/>
    <n v="36000"/>
    <n v="40000"/>
    <n v="16"/>
    <x v="86"/>
    <n v="576000"/>
    <n v="64000"/>
  </r>
  <r>
    <x v="119"/>
    <d v="2022-08-12T00:00:00"/>
    <x v="0"/>
    <x v="5"/>
    <x v="2"/>
    <s v="Partnerships"/>
    <s v="Syrup-based Sweets"/>
    <x v="2"/>
    <x v="0"/>
    <n v="24300"/>
    <n v="27000"/>
    <n v="6"/>
    <x v="34"/>
    <n v="145800"/>
    <n v="16200"/>
  </r>
  <r>
    <x v="120"/>
    <d v="2022-08-13T00:00:00"/>
    <x v="0"/>
    <x v="5"/>
    <x v="8"/>
    <s v="Online Delivery"/>
    <s v="Gift Packs"/>
    <x v="2"/>
    <x v="2"/>
    <n v="9180"/>
    <n v="10200"/>
    <n v="3"/>
    <x v="41"/>
    <n v="27540"/>
    <n v="3060"/>
  </r>
  <r>
    <x v="121"/>
    <d v="2022-08-14T00:00:00"/>
    <x v="0"/>
    <x v="5"/>
    <x v="16"/>
    <s v="Physical Store"/>
    <s v="Traditional Sweets "/>
    <x v="2"/>
    <x v="2"/>
    <n v="8640"/>
    <n v="9600"/>
    <n v="5"/>
    <x v="22"/>
    <n v="43200"/>
    <n v="4800"/>
  </r>
  <r>
    <x v="122"/>
    <d v="2022-08-15T00:00:00"/>
    <x v="0"/>
    <x v="5"/>
    <x v="8"/>
    <s v="Online Delivery"/>
    <s v="Dry Sweets "/>
    <x v="2"/>
    <x v="2"/>
    <n v="8280"/>
    <n v="9200"/>
    <n v="1"/>
    <x v="87"/>
    <n v="8280"/>
    <n v="920"/>
  </r>
  <r>
    <x v="123"/>
    <d v="2022-08-16T00:00:00"/>
    <x v="0"/>
    <x v="5"/>
    <x v="8"/>
    <s v="Physical Store"/>
    <s v="Milk-based Sweets "/>
    <x v="2"/>
    <x v="0"/>
    <n v="4950"/>
    <n v="5500"/>
    <n v="5"/>
    <x v="77"/>
    <n v="24750"/>
    <n v="2750"/>
  </r>
  <r>
    <x v="124"/>
    <d v="2022-08-17T00:00:00"/>
    <x v="0"/>
    <x v="5"/>
    <x v="2"/>
    <s v="Online Delivery"/>
    <s v="Syrup-based Sweets"/>
    <x v="2"/>
    <x v="0"/>
    <n v="3150"/>
    <n v="3500"/>
    <n v="7"/>
    <x v="88"/>
    <n v="22050"/>
    <n v="2450"/>
  </r>
  <r>
    <x v="125"/>
    <d v="2022-08-18T00:00:00"/>
    <x v="0"/>
    <x v="5"/>
    <x v="7"/>
    <s v="Physical Store"/>
    <s v="Gift Packs"/>
    <x v="2"/>
    <x v="0"/>
    <n v="2700"/>
    <n v="3000"/>
    <n v="4"/>
    <x v="89"/>
    <n v="10800"/>
    <n v="1200"/>
  </r>
  <r>
    <x v="126"/>
    <d v="2022-08-19T00:00:00"/>
    <x v="0"/>
    <x v="5"/>
    <x v="5"/>
    <s v="Online Delivery"/>
    <s v="Gift Packs"/>
    <x v="2"/>
    <x v="1"/>
    <n v="4050"/>
    <n v="4500"/>
    <n v="8"/>
    <x v="90"/>
    <n v="32400"/>
    <n v="3600"/>
  </r>
  <r>
    <x v="127"/>
    <d v="2022-08-20T00:00:00"/>
    <x v="0"/>
    <x v="5"/>
    <x v="15"/>
    <s v="Physical Store"/>
    <s v="Traditional Sweets "/>
    <x v="2"/>
    <x v="1"/>
    <n v="53100"/>
    <n v="59000"/>
    <n v="8"/>
    <x v="91"/>
    <n v="424800"/>
    <n v="47200"/>
  </r>
  <r>
    <x v="128"/>
    <d v="2022-08-21T00:00:00"/>
    <x v="0"/>
    <x v="5"/>
    <x v="0"/>
    <s v="Online Delivery"/>
    <s v="Ready-to-Eat Curries "/>
    <x v="1"/>
    <x v="1"/>
    <n v="88200"/>
    <n v="98000"/>
    <n v="9"/>
    <x v="92"/>
    <n v="793800"/>
    <n v="88200"/>
  </r>
  <r>
    <x v="129"/>
    <d v="2022-08-22T00:00:00"/>
    <x v="0"/>
    <x v="5"/>
    <x v="12"/>
    <s v="Physical Store"/>
    <s v="Instant Mixes"/>
    <x v="1"/>
    <x v="0"/>
    <n v="38250"/>
    <n v="42500"/>
    <n v="2"/>
    <x v="93"/>
    <n v="76500"/>
    <n v="8500"/>
  </r>
  <r>
    <x v="130"/>
    <d v="2022-08-23T00:00:00"/>
    <x v="0"/>
    <x v="5"/>
    <x v="18"/>
    <s v="Online Delivery"/>
    <s v="Frozen Snacks"/>
    <x v="1"/>
    <x v="2"/>
    <n v="2700"/>
    <n v="3000"/>
    <n v="1"/>
    <x v="94"/>
    <n v="2700"/>
    <n v="300"/>
  </r>
  <r>
    <x v="131"/>
    <d v="2022-08-24T00:00:00"/>
    <x v="0"/>
    <x v="5"/>
    <x v="2"/>
    <s v="Physical Store"/>
    <s v="Parathas"/>
    <x v="1"/>
    <x v="2"/>
    <n v="23850"/>
    <n v="26500"/>
    <n v="22"/>
    <x v="95"/>
    <n v="524700"/>
    <n v="58300"/>
  </r>
  <r>
    <x v="132"/>
    <d v="2022-08-25T00:00:00"/>
    <x v="0"/>
    <x v="5"/>
    <x v="23"/>
    <s v="Partnerships"/>
    <s v="Heat-and-Eat Meals"/>
    <x v="1"/>
    <x v="0"/>
    <n v="24750"/>
    <n v="27500"/>
    <n v="8"/>
    <x v="96"/>
    <n v="198000"/>
    <n v="22000"/>
  </r>
  <r>
    <x v="133"/>
    <d v="2022-08-26T00:00:00"/>
    <x v="0"/>
    <x v="5"/>
    <x v="9"/>
    <s v="Physical Store"/>
    <s v="Ready-to-Eat Curries "/>
    <x v="1"/>
    <x v="0"/>
    <n v="44550"/>
    <n v="49500"/>
    <n v="7"/>
    <x v="4"/>
    <n v="311850"/>
    <n v="34650"/>
  </r>
  <r>
    <x v="134"/>
    <d v="2022-08-27T00:00:00"/>
    <x v="0"/>
    <x v="5"/>
    <x v="9"/>
    <s v="Online Delivery"/>
    <s v="Frozen Snacks"/>
    <x v="1"/>
    <x v="0"/>
    <n v="9000"/>
    <n v="10000"/>
    <n v="56"/>
    <x v="80"/>
    <n v="504000"/>
    <n v="56000"/>
  </r>
  <r>
    <x v="135"/>
    <d v="2022-08-28T00:00:00"/>
    <x v="0"/>
    <x v="5"/>
    <x v="9"/>
    <s v="Partnerships"/>
    <s v="Ready-to-Eat Curries "/>
    <x v="1"/>
    <x v="0"/>
    <n v="8640"/>
    <n v="9600"/>
    <n v="10"/>
    <x v="97"/>
    <n v="86400"/>
    <n v="9600"/>
  </r>
  <r>
    <x v="136"/>
    <d v="2022-08-29T00:00:00"/>
    <x v="0"/>
    <x v="5"/>
    <x v="21"/>
    <s v="Physical Store"/>
    <s v="Instant Mixes"/>
    <x v="1"/>
    <x v="0"/>
    <n v="9000"/>
    <n v="10000"/>
    <n v="9"/>
    <x v="98"/>
    <n v="81000"/>
    <n v="9000"/>
  </r>
  <r>
    <x v="137"/>
    <d v="2022-08-30T00:00:00"/>
    <x v="0"/>
    <x v="5"/>
    <x v="8"/>
    <s v="Online Delivery"/>
    <s v="Frozen Snacks"/>
    <x v="1"/>
    <x v="0"/>
    <n v="3870"/>
    <n v="4300"/>
    <n v="27"/>
    <x v="99"/>
    <n v="104490"/>
    <n v="11610"/>
  </r>
  <r>
    <x v="138"/>
    <d v="2022-08-31T00:00:00"/>
    <x v="0"/>
    <x v="5"/>
    <x v="10"/>
    <s v="Partnerships"/>
    <s v="Parathas"/>
    <x v="1"/>
    <x v="2"/>
    <n v="45450"/>
    <n v="50500"/>
    <n v="15"/>
    <x v="100"/>
    <n v="681750"/>
    <n v="75750"/>
  </r>
  <r>
    <x v="139"/>
    <d v="2022-09-01T00:00:00"/>
    <x v="0"/>
    <x v="6"/>
    <x v="5"/>
    <s v="Physical Store"/>
    <s v="Heat-and-Eat Meals"/>
    <x v="1"/>
    <x v="2"/>
    <n v="18225"/>
    <n v="20250"/>
    <n v="3"/>
    <x v="101"/>
    <n v="54675"/>
    <n v="6075"/>
  </r>
  <r>
    <x v="140"/>
    <d v="2022-09-02T00:00:00"/>
    <x v="0"/>
    <x v="6"/>
    <x v="8"/>
    <s v="Online Delivery"/>
    <s v="Ready-to-Eat Curries "/>
    <x v="1"/>
    <x v="2"/>
    <n v="1800"/>
    <n v="2000"/>
    <n v="9"/>
    <x v="102"/>
    <n v="16200"/>
    <n v="1800"/>
  </r>
  <r>
    <x v="141"/>
    <d v="2022-09-03T00:00:00"/>
    <x v="0"/>
    <x v="6"/>
    <x v="7"/>
    <s v="Partnerships"/>
    <s v="Frozen Snacks"/>
    <x v="1"/>
    <x v="0"/>
    <n v="48600"/>
    <n v="54000"/>
    <n v="22"/>
    <x v="103"/>
    <n v="1069200"/>
    <n v="118800"/>
  </r>
  <r>
    <x v="142"/>
    <d v="2022-09-04T00:00:00"/>
    <x v="0"/>
    <x v="6"/>
    <x v="5"/>
    <s v="Physical Store"/>
    <s v="Traditional Sweets "/>
    <x v="2"/>
    <x v="0"/>
    <n v="72900"/>
    <n v="81000"/>
    <n v="16"/>
    <x v="104"/>
    <n v="1166400"/>
    <n v="129600"/>
  </r>
  <r>
    <x v="143"/>
    <d v="2022-09-05T00:00:00"/>
    <x v="0"/>
    <x v="6"/>
    <x v="8"/>
    <s v="Online Delivery"/>
    <s v="Dry Sweets "/>
    <x v="2"/>
    <x v="0"/>
    <n v="9450"/>
    <n v="10500"/>
    <n v="6"/>
    <x v="105"/>
    <n v="56700"/>
    <n v="6300"/>
  </r>
  <r>
    <x v="144"/>
    <d v="2022-09-06T00:00:00"/>
    <x v="0"/>
    <x v="6"/>
    <x v="20"/>
    <s v="Partnerships"/>
    <s v="Milk-based Sweets "/>
    <x v="2"/>
    <x v="0"/>
    <n v="36000"/>
    <n v="40000"/>
    <n v="3"/>
    <x v="106"/>
    <n v="108000"/>
    <n v="12000"/>
  </r>
  <r>
    <x v="145"/>
    <d v="2022-09-07T00:00:00"/>
    <x v="0"/>
    <x v="6"/>
    <x v="8"/>
    <s v="Physical Store"/>
    <s v="Syrup-based Sweets"/>
    <x v="2"/>
    <x v="0"/>
    <n v="24300"/>
    <n v="27000"/>
    <n v="5"/>
    <x v="107"/>
    <n v="121500"/>
    <n v="13500"/>
  </r>
  <r>
    <x v="146"/>
    <d v="2022-09-08T00:00:00"/>
    <x v="0"/>
    <x v="6"/>
    <x v="8"/>
    <s v="Online Delivery"/>
    <s v="Gift Packs"/>
    <x v="2"/>
    <x v="0"/>
    <n v="9180"/>
    <n v="10200"/>
    <n v="1"/>
    <x v="108"/>
    <n v="9180"/>
    <n v="1020"/>
  </r>
  <r>
    <x v="147"/>
    <d v="2022-09-09T00:00:00"/>
    <x v="0"/>
    <x v="6"/>
    <x v="6"/>
    <s v="Partnerships"/>
    <s v="Traditional Sweets "/>
    <x v="2"/>
    <x v="0"/>
    <n v="8640"/>
    <n v="9600"/>
    <n v="5"/>
    <x v="22"/>
    <n v="43200"/>
    <n v="4800"/>
  </r>
  <r>
    <x v="148"/>
    <d v="2022-09-10T00:00:00"/>
    <x v="0"/>
    <x v="6"/>
    <x v="24"/>
    <s v="Physical Store"/>
    <s v="Dry Sweets "/>
    <x v="2"/>
    <x v="2"/>
    <n v="8280"/>
    <n v="9200"/>
    <n v="7"/>
    <x v="109"/>
    <n v="57960"/>
    <n v="6440"/>
  </r>
  <r>
    <x v="149"/>
    <d v="2022-09-11T00:00:00"/>
    <x v="0"/>
    <x v="6"/>
    <x v="8"/>
    <s v="Online Delivery"/>
    <s v="Milk-based Sweets "/>
    <x v="2"/>
    <x v="2"/>
    <n v="4950"/>
    <n v="5500"/>
    <n v="4"/>
    <x v="110"/>
    <n v="19800"/>
    <n v="2200"/>
  </r>
  <r>
    <x v="150"/>
    <d v="2022-09-12T00:00:00"/>
    <x v="0"/>
    <x v="6"/>
    <x v="25"/>
    <s v="Partnerships"/>
    <s v="Syrup-based Sweets"/>
    <x v="2"/>
    <x v="0"/>
    <n v="3150"/>
    <n v="3500"/>
    <n v="8"/>
    <x v="50"/>
    <n v="25200"/>
    <n v="2800"/>
  </r>
  <r>
    <x v="151"/>
    <d v="2022-09-13T00:00:00"/>
    <x v="0"/>
    <x v="6"/>
    <x v="8"/>
    <s v="Physical Store"/>
    <s v="Gift Packs"/>
    <x v="2"/>
    <x v="0"/>
    <n v="2700"/>
    <n v="3000"/>
    <n v="8"/>
    <x v="66"/>
    <n v="21600"/>
    <n v="2400"/>
  </r>
  <r>
    <x v="152"/>
    <d v="2022-09-14T00:00:00"/>
    <x v="0"/>
    <x v="6"/>
    <x v="2"/>
    <s v="Online Delivery"/>
    <s v="Gift Packs"/>
    <x v="2"/>
    <x v="0"/>
    <n v="4050"/>
    <n v="4500"/>
    <n v="9"/>
    <x v="111"/>
    <n v="36450"/>
    <n v="4050"/>
  </r>
  <r>
    <x v="153"/>
    <d v="2022-09-15T00:00:00"/>
    <x v="0"/>
    <x v="6"/>
    <x v="9"/>
    <s v="Partnerships"/>
    <s v="Traditional Sweets "/>
    <x v="2"/>
    <x v="1"/>
    <n v="53100"/>
    <n v="59000"/>
    <n v="2"/>
    <x v="112"/>
    <n v="106200"/>
    <n v="11800"/>
  </r>
  <r>
    <x v="154"/>
    <d v="2022-09-16T00:00:00"/>
    <x v="0"/>
    <x v="6"/>
    <x v="15"/>
    <s v="Physical Store"/>
    <s v="Milk-based Sweets "/>
    <x v="2"/>
    <x v="0"/>
    <n v="88200"/>
    <n v="98000"/>
    <n v="1"/>
    <x v="113"/>
    <n v="88200"/>
    <n v="9800"/>
  </r>
  <r>
    <x v="155"/>
    <d v="2022-09-17T00:00:00"/>
    <x v="0"/>
    <x v="6"/>
    <x v="12"/>
    <s v="Online Delivery"/>
    <s v="Syrup-based Sweets"/>
    <x v="2"/>
    <x v="1"/>
    <n v="8640"/>
    <n v="9600"/>
    <n v="22"/>
    <x v="58"/>
    <n v="190080"/>
    <n v="21120"/>
  </r>
  <r>
    <x v="156"/>
    <d v="2022-09-18T00:00:00"/>
    <x v="0"/>
    <x v="6"/>
    <x v="8"/>
    <s v="Partnerships"/>
    <s v="Gift Packs"/>
    <x v="2"/>
    <x v="2"/>
    <n v="8280"/>
    <n v="9200"/>
    <n v="8"/>
    <x v="114"/>
    <n v="66240"/>
    <n v="7360"/>
  </r>
  <r>
    <x v="157"/>
    <d v="2022-09-19T00:00:00"/>
    <x v="0"/>
    <x v="6"/>
    <x v="9"/>
    <s v="Physical Store"/>
    <s v="Traditional Sweets "/>
    <x v="2"/>
    <x v="2"/>
    <n v="4950"/>
    <n v="5500"/>
    <n v="7"/>
    <x v="115"/>
    <n v="34650"/>
    <n v="3850"/>
  </r>
  <r>
    <x v="158"/>
    <d v="2022-09-20T00:00:00"/>
    <x v="0"/>
    <x v="6"/>
    <x v="8"/>
    <s v="Online Delivery"/>
    <s v="Dry Sweets "/>
    <x v="2"/>
    <x v="2"/>
    <n v="3150"/>
    <n v="3500"/>
    <n v="56"/>
    <x v="116"/>
    <n v="176400"/>
    <n v="19600"/>
  </r>
  <r>
    <x v="159"/>
    <d v="2022-09-21T00:00:00"/>
    <x v="0"/>
    <x v="6"/>
    <x v="0"/>
    <s v="Partnerships"/>
    <s v="Milk-based Sweets "/>
    <x v="2"/>
    <x v="0"/>
    <n v="2700"/>
    <n v="3000"/>
    <n v="10"/>
    <x v="57"/>
    <n v="27000"/>
    <n v="3000"/>
  </r>
  <r>
    <x v="160"/>
    <d v="2022-09-22T00:00:00"/>
    <x v="0"/>
    <x v="6"/>
    <x v="5"/>
    <s v="Physical Store"/>
    <s v="Syrup-based Sweets"/>
    <x v="2"/>
    <x v="0"/>
    <n v="4050"/>
    <n v="4500"/>
    <n v="9"/>
    <x v="111"/>
    <n v="36450"/>
    <n v="4050"/>
  </r>
  <r>
    <x v="161"/>
    <d v="2022-09-23T00:00:00"/>
    <x v="0"/>
    <x v="6"/>
    <x v="2"/>
    <s v="Online Delivery"/>
    <s v="Gift Packs"/>
    <x v="2"/>
    <x v="1"/>
    <n v="53100"/>
    <n v="59000"/>
    <n v="27"/>
    <x v="117"/>
    <n v="1433700"/>
    <n v="159300"/>
  </r>
  <r>
    <x v="162"/>
    <d v="2022-09-24T00:00:00"/>
    <x v="0"/>
    <x v="6"/>
    <x v="8"/>
    <s v="Partnerships"/>
    <s v="Gift Packs"/>
    <x v="2"/>
    <x v="0"/>
    <n v="88200"/>
    <n v="98000"/>
    <n v="15"/>
    <x v="118"/>
    <n v="1323000"/>
    <n v="147000"/>
  </r>
  <r>
    <x v="163"/>
    <d v="2022-09-25T00:00:00"/>
    <x v="0"/>
    <x v="6"/>
    <x v="9"/>
    <s v="Physical Store"/>
    <s v="Traditional Sweets "/>
    <x v="2"/>
    <x v="0"/>
    <n v="38250"/>
    <n v="42500"/>
    <n v="3"/>
    <x v="0"/>
    <n v="114750"/>
    <n v="12750"/>
  </r>
  <r>
    <x v="164"/>
    <d v="2022-09-26T00:00:00"/>
    <x v="0"/>
    <x v="6"/>
    <x v="7"/>
    <s v="Online Delivery"/>
    <s v="Namkeen"/>
    <x v="0"/>
    <x v="0"/>
    <n v="2700"/>
    <n v="3000"/>
    <n v="9"/>
    <x v="23"/>
    <n v="24300"/>
    <n v="2700"/>
  </r>
  <r>
    <x v="165"/>
    <d v="2022-09-27T00:00:00"/>
    <x v="0"/>
    <x v="6"/>
    <x v="6"/>
    <s v="Partnerships"/>
    <s v="Heat-and-Eat Meals"/>
    <x v="1"/>
    <x v="0"/>
    <n v="23850"/>
    <n v="26500"/>
    <n v="22"/>
    <x v="95"/>
    <n v="524700"/>
    <n v="58300"/>
  </r>
  <r>
    <x v="166"/>
    <d v="2022-09-28T00:00:00"/>
    <x v="0"/>
    <x v="6"/>
    <x v="8"/>
    <s v="Physical Store"/>
    <s v="Ready-to-Eat Curries "/>
    <x v="1"/>
    <x v="2"/>
    <n v="24750"/>
    <n v="27500"/>
    <n v="16"/>
    <x v="119"/>
    <n v="396000"/>
    <n v="44000"/>
  </r>
  <r>
    <x v="167"/>
    <d v="2022-09-29T00:00:00"/>
    <x v="0"/>
    <x v="6"/>
    <x v="9"/>
    <s v="Online Delivery"/>
    <s v="Frozen Snacks"/>
    <x v="1"/>
    <x v="2"/>
    <n v="44550"/>
    <n v="49500"/>
    <n v="6"/>
    <x v="120"/>
    <n v="267300"/>
    <n v="29700"/>
  </r>
  <r>
    <x v="168"/>
    <d v="2022-09-30T00:00:00"/>
    <x v="0"/>
    <x v="6"/>
    <x v="9"/>
    <s v="Partnerships"/>
    <s v="Traditional Sweets "/>
    <x v="2"/>
    <x v="0"/>
    <n v="9000"/>
    <n v="10000"/>
    <n v="3"/>
    <x v="57"/>
    <n v="27000"/>
    <n v="3000"/>
  </r>
  <r>
    <x v="169"/>
    <d v="2022-10-01T00:00:00"/>
    <x v="0"/>
    <x v="2"/>
    <x v="24"/>
    <s v="Physical Store"/>
    <s v="Dry Sweets "/>
    <x v="2"/>
    <x v="0"/>
    <n v="8640"/>
    <n v="9600"/>
    <n v="5"/>
    <x v="22"/>
    <n v="43200"/>
    <n v="4800"/>
  </r>
  <r>
    <x v="170"/>
    <d v="2022-10-02T00:00:00"/>
    <x v="0"/>
    <x v="2"/>
    <x v="7"/>
    <s v="Online Delivery"/>
    <s v="Milk-based Sweets "/>
    <x v="2"/>
    <x v="0"/>
    <n v="9000"/>
    <n v="10000"/>
    <n v="1"/>
    <x v="70"/>
    <n v="9000"/>
    <n v="1000"/>
  </r>
  <r>
    <x v="171"/>
    <d v="2022-10-03T00:00:00"/>
    <x v="0"/>
    <x v="2"/>
    <x v="16"/>
    <s v="Partnerships"/>
    <s v="Syrup-based Sweets"/>
    <x v="2"/>
    <x v="0"/>
    <n v="3870"/>
    <n v="4300"/>
    <n v="5"/>
    <x v="121"/>
    <n v="19350"/>
    <n v="2150"/>
  </r>
  <r>
    <x v="172"/>
    <d v="2022-10-04T00:00:00"/>
    <x v="0"/>
    <x v="2"/>
    <x v="18"/>
    <s v="Physical Store"/>
    <s v="Gift Packs"/>
    <x v="2"/>
    <x v="0"/>
    <n v="8640"/>
    <n v="9600"/>
    <n v="7"/>
    <x v="48"/>
    <n v="60480"/>
    <n v="6720"/>
  </r>
  <r>
    <x v="173"/>
    <d v="2022-10-05T00:00:00"/>
    <x v="0"/>
    <x v="2"/>
    <x v="8"/>
    <s v="Online Delivery"/>
    <s v="Traditional Sweets "/>
    <x v="2"/>
    <x v="0"/>
    <n v="8280"/>
    <n v="9200"/>
    <n v="4"/>
    <x v="49"/>
    <n v="33120"/>
    <n v="3680"/>
  </r>
  <r>
    <x v="174"/>
    <d v="2022-10-06T00:00:00"/>
    <x v="0"/>
    <x v="2"/>
    <x v="3"/>
    <s v="Partnerships"/>
    <s v="Dry Sweets "/>
    <x v="2"/>
    <x v="2"/>
    <n v="4950"/>
    <n v="5500"/>
    <n v="8"/>
    <x v="11"/>
    <n v="39600"/>
    <n v="4400"/>
  </r>
  <r>
    <x v="175"/>
    <d v="2022-10-07T00:00:00"/>
    <x v="0"/>
    <x v="2"/>
    <x v="9"/>
    <s v="Physical Store"/>
    <s v="Milk-based Sweets "/>
    <x v="2"/>
    <x v="2"/>
    <n v="3150"/>
    <n v="3500"/>
    <n v="8"/>
    <x v="50"/>
    <n v="25200"/>
    <n v="2800"/>
  </r>
  <r>
    <x v="176"/>
    <d v="2022-10-08T00:00:00"/>
    <x v="0"/>
    <x v="2"/>
    <x v="0"/>
    <s v="Online Delivery"/>
    <s v="Syrup-based Sweets"/>
    <x v="2"/>
    <x v="2"/>
    <n v="2700"/>
    <n v="3000"/>
    <n v="9"/>
    <x v="23"/>
    <n v="24300"/>
    <n v="2700"/>
  </r>
  <r>
    <x v="177"/>
    <d v="2022-10-09T00:00:00"/>
    <x v="0"/>
    <x v="2"/>
    <x v="11"/>
    <s v="Partnerships"/>
    <s v="Gift Packs"/>
    <x v="2"/>
    <x v="0"/>
    <n v="4050"/>
    <n v="4500"/>
    <n v="2"/>
    <x v="45"/>
    <n v="8100"/>
    <n v="900"/>
  </r>
  <r>
    <x v="178"/>
    <d v="2022-10-10T00:00:00"/>
    <x v="0"/>
    <x v="2"/>
    <x v="19"/>
    <s v="Physical Store"/>
    <s v="Gift Packs"/>
    <x v="2"/>
    <x v="0"/>
    <n v="53100"/>
    <n v="59000"/>
    <n v="1"/>
    <x v="47"/>
    <n v="53100"/>
    <n v="5900"/>
  </r>
  <r>
    <x v="179"/>
    <d v="2022-10-11T00:00:00"/>
    <x v="0"/>
    <x v="2"/>
    <x v="6"/>
    <s v="Online Delivery"/>
    <s v="Traditional Sweets "/>
    <x v="2"/>
    <x v="0"/>
    <n v="88200"/>
    <n v="98000"/>
    <n v="22"/>
    <x v="51"/>
    <n v="1940400"/>
    <n v="215600"/>
  </r>
  <r>
    <x v="180"/>
    <d v="2022-10-12T00:00:00"/>
    <x v="0"/>
    <x v="2"/>
    <x v="8"/>
    <s v="Partnerships"/>
    <s v="Namkeen"/>
    <x v="0"/>
    <x v="1"/>
    <n v="38250"/>
    <n v="42500"/>
    <n v="8"/>
    <x v="52"/>
    <n v="306000"/>
    <n v="34000"/>
  </r>
  <r>
    <x v="181"/>
    <d v="2022-10-13T00:00:00"/>
    <x v="0"/>
    <x v="2"/>
    <x v="14"/>
    <s v="Physical Store"/>
    <s v="Chips &amp; Wafers "/>
    <x v="0"/>
    <x v="1"/>
    <n v="2700"/>
    <n v="3000"/>
    <n v="7"/>
    <x v="44"/>
    <n v="18900"/>
    <n v="2100"/>
  </r>
  <r>
    <x v="182"/>
    <d v="2022-10-14T00:00:00"/>
    <x v="0"/>
    <x v="2"/>
    <x v="18"/>
    <s v="Online Delivery"/>
    <s v="Samosas"/>
    <x v="0"/>
    <x v="1"/>
    <n v="23850"/>
    <n v="26500"/>
    <n v="56"/>
    <x v="53"/>
    <n v="1335600"/>
    <n v="148400"/>
  </r>
  <r>
    <x v="183"/>
    <d v="2022-10-15T00:00:00"/>
    <x v="0"/>
    <x v="2"/>
    <x v="2"/>
    <s v="Partnerships"/>
    <s v="Kachoris"/>
    <x v="0"/>
    <x v="0"/>
    <n v="24750"/>
    <n v="27500"/>
    <n v="10"/>
    <x v="54"/>
    <n v="247500"/>
    <n v="27500"/>
  </r>
  <r>
    <x v="184"/>
    <d v="2022-10-16T00:00:00"/>
    <x v="0"/>
    <x v="2"/>
    <x v="8"/>
    <s v="Physical Store"/>
    <s v="Bhujia"/>
    <x v="0"/>
    <x v="2"/>
    <n v="44550"/>
    <n v="49500"/>
    <n v="9"/>
    <x v="55"/>
    <n v="400950"/>
    <n v="44550"/>
  </r>
  <r>
    <x v="185"/>
    <d v="2022-10-17T00:00:00"/>
    <x v="0"/>
    <x v="2"/>
    <x v="2"/>
    <s v="Online Delivery"/>
    <s v="Mixes"/>
    <x v="0"/>
    <x v="2"/>
    <n v="9000"/>
    <n v="10000"/>
    <n v="27"/>
    <x v="56"/>
    <n v="243000"/>
    <n v="27000"/>
  </r>
  <r>
    <x v="186"/>
    <d v="2022-10-18T00:00:00"/>
    <x v="0"/>
    <x v="2"/>
    <x v="12"/>
    <s v="Partnerships"/>
    <s v="Ready-to-Eat Curries "/>
    <x v="1"/>
    <x v="0"/>
    <n v="8640"/>
    <n v="9600"/>
    <n v="15"/>
    <x v="18"/>
    <n v="129600"/>
    <n v="14400"/>
  </r>
  <r>
    <x v="187"/>
    <d v="2022-10-19T00:00:00"/>
    <x v="0"/>
    <x v="2"/>
    <x v="10"/>
    <s v="Physical Store"/>
    <s v="Instant Mixes"/>
    <x v="1"/>
    <x v="0"/>
    <n v="9000"/>
    <n v="10000"/>
    <n v="3"/>
    <x v="57"/>
    <n v="27000"/>
    <n v="3000"/>
  </r>
  <r>
    <x v="188"/>
    <d v="2022-10-20T00:00:00"/>
    <x v="0"/>
    <x v="2"/>
    <x v="8"/>
    <s v="Online Delivery"/>
    <s v="Frozen Snacks"/>
    <x v="1"/>
    <x v="1"/>
    <n v="3870"/>
    <n v="4300"/>
    <n v="9"/>
    <x v="8"/>
    <n v="34830"/>
    <n v="3870"/>
  </r>
  <r>
    <x v="189"/>
    <d v="2022-10-21T00:00:00"/>
    <x v="0"/>
    <x v="2"/>
    <x v="0"/>
    <s v="Partnerships"/>
    <s v="Parathas"/>
    <x v="1"/>
    <x v="0"/>
    <n v="8280"/>
    <n v="9200"/>
    <n v="22"/>
    <x v="42"/>
    <n v="182160"/>
    <n v="20240"/>
  </r>
  <r>
    <x v="190"/>
    <d v="2022-10-22T00:00:00"/>
    <x v="0"/>
    <x v="2"/>
    <x v="5"/>
    <s v="Physical Store"/>
    <s v="Nut-based Snacks "/>
    <x v="0"/>
    <x v="0"/>
    <n v="4950"/>
    <n v="5500"/>
    <n v="16"/>
    <x v="43"/>
    <n v="79200"/>
    <n v="8800"/>
  </r>
  <r>
    <x v="191"/>
    <d v="2022-10-23T00:00:00"/>
    <x v="0"/>
    <x v="2"/>
    <x v="9"/>
    <s v="Online Delivery"/>
    <s v="Papads"/>
    <x v="0"/>
    <x v="0"/>
    <n v="3150"/>
    <n v="3500"/>
    <n v="6"/>
    <x v="44"/>
    <n v="18900"/>
    <n v="2100"/>
  </r>
  <r>
    <x v="192"/>
    <d v="2022-10-24T00:00:00"/>
    <x v="0"/>
    <x v="2"/>
    <x v="9"/>
    <s v="Partnerships"/>
    <s v="Namkeens"/>
    <x v="0"/>
    <x v="2"/>
    <n v="2700"/>
    <n v="3000"/>
    <n v="3"/>
    <x v="45"/>
    <n v="8100"/>
    <n v="900"/>
  </r>
  <r>
    <x v="193"/>
    <d v="2022-10-25T00:00:00"/>
    <x v="0"/>
    <x v="2"/>
    <x v="11"/>
    <s v="Physical Store"/>
    <s v="Chips &amp; Wafers "/>
    <x v="0"/>
    <x v="2"/>
    <n v="4050"/>
    <n v="4500"/>
    <n v="5"/>
    <x v="46"/>
    <n v="20250"/>
    <n v="2250"/>
  </r>
  <r>
    <x v="194"/>
    <d v="2022-10-26T00:00:00"/>
    <x v="0"/>
    <x v="2"/>
    <x v="8"/>
    <s v="Online Delivery"/>
    <s v="Samosas"/>
    <x v="0"/>
    <x v="2"/>
    <n v="8280"/>
    <n v="9200"/>
    <n v="1"/>
    <x v="87"/>
    <n v="8280"/>
    <n v="920"/>
  </r>
  <r>
    <x v="195"/>
    <d v="2022-10-27T00:00:00"/>
    <x v="0"/>
    <x v="2"/>
    <x v="15"/>
    <s v="Partnerships"/>
    <s v="Kachoris"/>
    <x v="0"/>
    <x v="0"/>
    <n v="4950"/>
    <n v="5500"/>
    <n v="5"/>
    <x v="77"/>
    <n v="24750"/>
    <n v="2750"/>
  </r>
  <r>
    <x v="196"/>
    <d v="2022-10-28T00:00:00"/>
    <x v="0"/>
    <x v="2"/>
    <x v="20"/>
    <s v="Physical Store"/>
    <s v="Bhujia"/>
    <x v="0"/>
    <x v="0"/>
    <n v="3150"/>
    <n v="3500"/>
    <n v="7"/>
    <x v="88"/>
    <n v="22050"/>
    <n v="2450"/>
  </r>
  <r>
    <x v="197"/>
    <d v="2022-10-29T00:00:00"/>
    <x v="0"/>
    <x v="2"/>
    <x v="8"/>
    <s v="Online Delivery"/>
    <s v="Mixes"/>
    <x v="0"/>
    <x v="0"/>
    <n v="2700"/>
    <n v="3000"/>
    <n v="4"/>
    <x v="89"/>
    <n v="10800"/>
    <n v="1200"/>
  </r>
  <r>
    <x v="198"/>
    <d v="2022-10-30T00:00:00"/>
    <x v="0"/>
    <x v="2"/>
    <x v="5"/>
    <s v="Partnerships"/>
    <s v="Papads"/>
    <x v="0"/>
    <x v="0"/>
    <n v="4050"/>
    <n v="4500"/>
    <n v="8"/>
    <x v="90"/>
    <n v="32400"/>
    <n v="3600"/>
  </r>
  <r>
    <x v="199"/>
    <d v="2022-10-31T00:00:00"/>
    <x v="0"/>
    <x v="2"/>
    <x v="2"/>
    <s v="Physical Store"/>
    <s v="Heat-and-Eat Meals"/>
    <x v="1"/>
    <x v="0"/>
    <n v="8280"/>
    <n v="9200"/>
    <n v="8"/>
    <x v="114"/>
    <n v="66240"/>
    <n v="7360"/>
  </r>
  <r>
    <x v="200"/>
    <d v="2022-11-01T00:00:00"/>
    <x v="0"/>
    <x v="7"/>
    <x v="9"/>
    <s v="Online Delivery"/>
    <s v="Namkeen"/>
    <x v="0"/>
    <x v="0"/>
    <n v="4950"/>
    <n v="5500"/>
    <n v="9"/>
    <x v="20"/>
    <n v="44550"/>
    <n v="4950"/>
  </r>
  <r>
    <x v="201"/>
    <d v="2022-11-02T00:00:00"/>
    <x v="0"/>
    <x v="7"/>
    <x v="6"/>
    <s v="Partnerships"/>
    <s v="Chips &amp; Wafers "/>
    <x v="0"/>
    <x v="0"/>
    <n v="3150"/>
    <n v="3500"/>
    <n v="2"/>
    <x v="122"/>
    <n v="6300"/>
    <n v="700"/>
  </r>
  <r>
    <x v="202"/>
    <d v="2022-11-03T00:00:00"/>
    <x v="0"/>
    <x v="7"/>
    <x v="6"/>
    <s v="Physical Store"/>
    <s v="Samosas"/>
    <x v="0"/>
    <x v="2"/>
    <n v="2700"/>
    <n v="3000"/>
    <n v="1"/>
    <x v="94"/>
    <n v="2700"/>
    <n v="300"/>
  </r>
  <r>
    <x v="203"/>
    <d v="2022-11-04T00:00:00"/>
    <x v="0"/>
    <x v="7"/>
    <x v="8"/>
    <s v="Online Delivery"/>
    <s v="Kachoris"/>
    <x v="0"/>
    <x v="2"/>
    <n v="4050"/>
    <n v="4500"/>
    <n v="22"/>
    <x v="69"/>
    <n v="89100"/>
    <n v="9900"/>
  </r>
  <r>
    <x v="204"/>
    <d v="2022-11-05T00:00:00"/>
    <x v="0"/>
    <x v="7"/>
    <x v="2"/>
    <s v="Partnerships"/>
    <s v="Bhujia"/>
    <x v="0"/>
    <x v="0"/>
    <n v="8280"/>
    <n v="9200"/>
    <n v="8"/>
    <x v="114"/>
    <n v="66240"/>
    <n v="7360"/>
  </r>
  <r>
    <x v="205"/>
    <d v="2022-11-06T00:00:00"/>
    <x v="0"/>
    <x v="7"/>
    <x v="9"/>
    <s v="Physical Store"/>
    <s v="Mixes"/>
    <x v="0"/>
    <x v="0"/>
    <n v="4950"/>
    <n v="5500"/>
    <n v="7"/>
    <x v="115"/>
    <n v="34650"/>
    <n v="3850"/>
  </r>
  <r>
    <x v="206"/>
    <d v="2022-11-07T00:00:00"/>
    <x v="0"/>
    <x v="7"/>
    <x v="11"/>
    <s v="Online Delivery"/>
    <s v="Ready-to-Eat Curries "/>
    <x v="1"/>
    <x v="0"/>
    <n v="3150"/>
    <n v="3500"/>
    <n v="56"/>
    <x v="116"/>
    <n v="176400"/>
    <n v="19600"/>
  </r>
  <r>
    <x v="207"/>
    <d v="2022-11-08T00:00:00"/>
    <x v="0"/>
    <x v="7"/>
    <x v="2"/>
    <s v="Partnerships"/>
    <s v="Instant Mixes"/>
    <x v="1"/>
    <x v="0"/>
    <n v="2700"/>
    <n v="3000"/>
    <n v="10"/>
    <x v="57"/>
    <n v="27000"/>
    <n v="3000"/>
  </r>
  <r>
    <x v="208"/>
    <d v="2022-11-09T00:00:00"/>
    <x v="0"/>
    <x v="7"/>
    <x v="8"/>
    <s v="Physical Store"/>
    <s v="Frozen Snacks"/>
    <x v="1"/>
    <x v="0"/>
    <n v="4050"/>
    <n v="4500"/>
    <n v="9"/>
    <x v="111"/>
    <n v="36450"/>
    <n v="4050"/>
  </r>
  <r>
    <x v="209"/>
    <d v="2022-11-10T00:00:00"/>
    <x v="0"/>
    <x v="7"/>
    <x v="20"/>
    <s v="Online Delivery"/>
    <s v="Parathas"/>
    <x v="1"/>
    <x v="0"/>
    <n v="24750"/>
    <n v="27500"/>
    <n v="27"/>
    <x v="123"/>
    <n v="668250"/>
    <n v="74250"/>
  </r>
  <r>
    <x v="210"/>
    <d v="2022-11-11T00:00:00"/>
    <x v="0"/>
    <x v="7"/>
    <x v="5"/>
    <s v="Partnerships"/>
    <s v="Nut-based Snacks "/>
    <x v="0"/>
    <x v="2"/>
    <n v="44550"/>
    <n v="49500"/>
    <n v="15"/>
    <x v="123"/>
    <n v="668250"/>
    <n v="74250"/>
  </r>
  <r>
    <x v="211"/>
    <d v="2022-11-12T00:00:00"/>
    <x v="0"/>
    <x v="7"/>
    <x v="12"/>
    <s v="Physical Store"/>
    <s v="Papads"/>
    <x v="0"/>
    <x v="2"/>
    <n v="9000"/>
    <n v="10000"/>
    <n v="3"/>
    <x v="57"/>
    <n v="27000"/>
    <n v="3000"/>
  </r>
  <r>
    <x v="212"/>
    <d v="2022-11-13T00:00:00"/>
    <x v="0"/>
    <x v="7"/>
    <x v="16"/>
    <s v="Online Delivery"/>
    <s v="Namkeens"/>
    <x v="0"/>
    <x v="0"/>
    <n v="8640"/>
    <n v="9600"/>
    <n v="9"/>
    <x v="30"/>
    <n v="77760"/>
    <n v="8640"/>
  </r>
  <r>
    <x v="213"/>
    <d v="2022-11-14T00:00:00"/>
    <x v="0"/>
    <x v="7"/>
    <x v="6"/>
    <s v="Partnerships"/>
    <s v="Chips &amp; Wafers "/>
    <x v="0"/>
    <x v="1"/>
    <n v="9000"/>
    <n v="10000"/>
    <n v="22"/>
    <x v="96"/>
    <n v="198000"/>
    <n v="22000"/>
  </r>
  <r>
    <x v="214"/>
    <d v="2022-11-15T00:00:00"/>
    <x v="0"/>
    <x v="7"/>
    <x v="2"/>
    <s v="Physical Store"/>
    <s v="Samosas"/>
    <x v="0"/>
    <x v="0"/>
    <n v="3870"/>
    <n v="4300"/>
    <n v="16"/>
    <x v="124"/>
    <n v="61920"/>
    <n v="6880"/>
  </r>
  <r>
    <x v="215"/>
    <d v="2022-11-16T00:00:00"/>
    <x v="0"/>
    <x v="7"/>
    <x v="24"/>
    <s v="Online Delivery"/>
    <s v="Kachoris"/>
    <x v="0"/>
    <x v="0"/>
    <n v="45450"/>
    <n v="50500"/>
    <n v="6"/>
    <x v="125"/>
    <n v="272700"/>
    <n v="30300"/>
  </r>
  <r>
    <x v="216"/>
    <d v="2022-11-17T00:00:00"/>
    <x v="0"/>
    <x v="7"/>
    <x v="5"/>
    <s v="Partnerships"/>
    <s v="Bhujia"/>
    <x v="0"/>
    <x v="0"/>
    <n v="18225"/>
    <n v="20250"/>
    <n v="3"/>
    <x v="101"/>
    <n v="54675"/>
    <n v="6075"/>
  </r>
  <r>
    <x v="217"/>
    <d v="2022-11-18T00:00:00"/>
    <x v="0"/>
    <x v="7"/>
    <x v="3"/>
    <s v="Physical Store"/>
    <s v="Mixes"/>
    <x v="0"/>
    <x v="0"/>
    <n v="1800"/>
    <n v="2000"/>
    <n v="5"/>
    <x v="70"/>
    <n v="9000"/>
    <n v="1000"/>
  </r>
  <r>
    <x v="218"/>
    <d v="2022-11-19T00:00:00"/>
    <x v="0"/>
    <x v="7"/>
    <x v="9"/>
    <s v="Online Delivery"/>
    <s v="Papads"/>
    <x v="0"/>
    <x v="2"/>
    <n v="48600"/>
    <n v="54000"/>
    <n v="1"/>
    <x v="126"/>
    <n v="48600"/>
    <n v="5400"/>
  </r>
  <r>
    <x v="219"/>
    <d v="2022-11-20T00:00:00"/>
    <x v="0"/>
    <x v="7"/>
    <x v="7"/>
    <s v="Partnerships"/>
    <s v="Heat-and-Eat Meals"/>
    <x v="1"/>
    <x v="2"/>
    <n v="72900"/>
    <n v="81000"/>
    <n v="5"/>
    <x v="40"/>
    <n v="364500"/>
    <n v="40500"/>
  </r>
  <r>
    <x v="220"/>
    <d v="2022-11-21T00:00:00"/>
    <x v="0"/>
    <x v="7"/>
    <x v="0"/>
    <s v="Physical Store"/>
    <s v="Namkeen"/>
    <x v="0"/>
    <x v="0"/>
    <n v="9450"/>
    <n v="10500"/>
    <n v="7"/>
    <x v="127"/>
    <n v="66150"/>
    <n v="7350"/>
  </r>
  <r>
    <x v="221"/>
    <d v="2022-11-22T00:00:00"/>
    <x v="0"/>
    <x v="7"/>
    <x v="8"/>
    <s v="Online Delivery"/>
    <s v="Chips &amp; Wafers "/>
    <x v="0"/>
    <x v="0"/>
    <n v="36000"/>
    <n v="40000"/>
    <n v="4"/>
    <x v="128"/>
    <n v="144000"/>
    <n v="16000"/>
  </r>
  <r>
    <x v="222"/>
    <d v="2022-11-23T00:00:00"/>
    <x v="0"/>
    <x v="7"/>
    <x v="26"/>
    <s v="Partnerships"/>
    <s v="Samosas"/>
    <x v="0"/>
    <x v="0"/>
    <n v="24300"/>
    <n v="27000"/>
    <n v="8"/>
    <x v="129"/>
    <n v="194400"/>
    <n v="21600"/>
  </r>
  <r>
    <x v="223"/>
    <d v="2022-11-24T00:00:00"/>
    <x v="0"/>
    <x v="7"/>
    <x v="2"/>
    <s v="Physical Store"/>
    <s v="Kachoris"/>
    <x v="0"/>
    <x v="0"/>
    <n v="9180"/>
    <n v="10200"/>
    <n v="8"/>
    <x v="130"/>
    <n v="73440"/>
    <n v="8160"/>
  </r>
  <r>
    <x v="224"/>
    <d v="2022-11-25T00:00:00"/>
    <x v="0"/>
    <x v="7"/>
    <x v="8"/>
    <s v="Online Delivery"/>
    <s v="Bhujia"/>
    <x v="0"/>
    <x v="0"/>
    <n v="8640"/>
    <n v="9600"/>
    <n v="9"/>
    <x v="30"/>
    <n v="77760"/>
    <n v="8640"/>
  </r>
  <r>
    <x v="225"/>
    <d v="2022-11-26T00:00:00"/>
    <x v="0"/>
    <x v="7"/>
    <x v="18"/>
    <s v="Partnerships"/>
    <s v="Mixes"/>
    <x v="0"/>
    <x v="0"/>
    <n v="8280"/>
    <n v="9200"/>
    <n v="2"/>
    <x v="131"/>
    <n v="16560"/>
    <n v="1840"/>
  </r>
  <r>
    <x v="226"/>
    <d v="2022-11-27T00:00:00"/>
    <x v="0"/>
    <x v="7"/>
    <x v="4"/>
    <s v="Physical Store"/>
    <s v="Ready-to-Eat Curries "/>
    <x v="1"/>
    <x v="2"/>
    <n v="4950"/>
    <n v="5500"/>
    <n v="1"/>
    <x v="132"/>
    <n v="4950"/>
    <n v="550"/>
  </r>
  <r>
    <x v="227"/>
    <d v="2022-11-28T00:00:00"/>
    <x v="0"/>
    <x v="7"/>
    <x v="19"/>
    <s v="Online Delivery"/>
    <s v="Instant Mixes"/>
    <x v="1"/>
    <x v="2"/>
    <n v="3150"/>
    <n v="3500"/>
    <n v="22"/>
    <x v="21"/>
    <n v="69300"/>
    <n v="7700"/>
  </r>
  <r>
    <x v="228"/>
    <d v="2022-11-29T00:00:00"/>
    <x v="0"/>
    <x v="7"/>
    <x v="3"/>
    <s v="Partnerships"/>
    <s v="Frozen Snacks"/>
    <x v="1"/>
    <x v="2"/>
    <n v="2700"/>
    <n v="3000"/>
    <n v="8"/>
    <x v="66"/>
    <n v="21600"/>
    <n v="2400"/>
  </r>
  <r>
    <x v="229"/>
    <d v="2022-11-30T00:00:00"/>
    <x v="0"/>
    <x v="7"/>
    <x v="8"/>
    <s v="Physical Store"/>
    <s v="Parathas"/>
    <x v="1"/>
    <x v="0"/>
    <n v="4050"/>
    <n v="4500"/>
    <n v="7"/>
    <x v="74"/>
    <n v="28350"/>
    <n v="3150"/>
  </r>
  <r>
    <x v="230"/>
    <d v="2022-12-01T00:00:00"/>
    <x v="0"/>
    <x v="8"/>
    <x v="5"/>
    <s v="Online Delivery"/>
    <s v="Nut-based Snacks "/>
    <x v="0"/>
    <x v="0"/>
    <n v="53100"/>
    <n v="59000"/>
    <n v="56"/>
    <x v="133"/>
    <n v="2973600"/>
    <n v="330400"/>
  </r>
  <r>
    <x v="231"/>
    <d v="2022-12-02T00:00:00"/>
    <x v="0"/>
    <x v="8"/>
    <x v="2"/>
    <s v="Partnerships"/>
    <s v="Papads"/>
    <x v="0"/>
    <x v="0"/>
    <n v="88200"/>
    <n v="98000"/>
    <n v="10"/>
    <x v="134"/>
    <n v="882000"/>
    <n v="98000"/>
  </r>
  <r>
    <x v="232"/>
    <d v="2022-12-03T00:00:00"/>
    <x v="0"/>
    <x v="8"/>
    <x v="15"/>
    <s v="Physical Store"/>
    <s v="Namkeens"/>
    <x v="0"/>
    <x v="1"/>
    <n v="38250"/>
    <n v="42500"/>
    <n v="9"/>
    <x v="135"/>
    <n v="344250"/>
    <n v="38250"/>
  </r>
  <r>
    <x v="233"/>
    <d v="2022-12-04T00:00:00"/>
    <x v="0"/>
    <x v="8"/>
    <x v="18"/>
    <s v="Online Delivery"/>
    <s v="Chips &amp; Wafers "/>
    <x v="0"/>
    <x v="1"/>
    <n v="2700"/>
    <n v="3000"/>
    <n v="27"/>
    <x v="75"/>
    <n v="72900"/>
    <n v="8100"/>
  </r>
  <r>
    <x v="234"/>
    <d v="2022-12-05T00:00:00"/>
    <x v="0"/>
    <x v="8"/>
    <x v="8"/>
    <s v="Partnerships"/>
    <s v="Samosas"/>
    <x v="0"/>
    <x v="1"/>
    <n v="23850"/>
    <n v="26500"/>
    <n v="15"/>
    <x v="136"/>
    <n v="357750"/>
    <n v="39750"/>
  </r>
  <r>
    <x v="235"/>
    <d v="2022-12-06T00:00:00"/>
    <x v="0"/>
    <x v="8"/>
    <x v="8"/>
    <s v="Physical Store"/>
    <s v="Kachoris"/>
    <x v="0"/>
    <x v="0"/>
    <n v="24750"/>
    <n v="27500"/>
    <n v="3"/>
    <x v="137"/>
    <n v="74250"/>
    <n v="8250"/>
  </r>
  <r>
    <x v="236"/>
    <d v="2022-12-07T00:00:00"/>
    <x v="0"/>
    <x v="8"/>
    <x v="15"/>
    <s v="Online Delivery"/>
    <s v="Bhujia"/>
    <x v="0"/>
    <x v="2"/>
    <n v="44550"/>
    <n v="49500"/>
    <n v="9"/>
    <x v="55"/>
    <n v="400950"/>
    <n v="44550"/>
  </r>
  <r>
    <x v="237"/>
    <d v="2022-12-08T00:00:00"/>
    <x v="0"/>
    <x v="8"/>
    <x v="12"/>
    <s v="Partnerships"/>
    <s v="Mixes"/>
    <x v="0"/>
    <x v="2"/>
    <n v="9000"/>
    <n v="10000"/>
    <n v="22"/>
    <x v="96"/>
    <n v="198000"/>
    <n v="22000"/>
  </r>
  <r>
    <x v="238"/>
    <d v="2022-12-09T00:00:00"/>
    <x v="0"/>
    <x v="8"/>
    <x v="8"/>
    <s v="Physical Store"/>
    <s v="Papads"/>
    <x v="0"/>
    <x v="0"/>
    <n v="8640"/>
    <n v="9600"/>
    <n v="16"/>
    <x v="138"/>
    <n v="138240"/>
    <n v="15360"/>
  </r>
  <r>
    <x v="239"/>
    <d v="2022-12-10T00:00:00"/>
    <x v="0"/>
    <x v="8"/>
    <x v="6"/>
    <s v="Online Delivery"/>
    <s v="Heat-and-Eat Meals"/>
    <x v="1"/>
    <x v="0"/>
    <n v="9000"/>
    <n v="10000"/>
    <n v="6"/>
    <x v="139"/>
    <n v="54000"/>
    <n v="6000"/>
  </r>
  <r>
    <x v="240"/>
    <d v="2022-12-11T00:00:00"/>
    <x v="0"/>
    <x v="8"/>
    <x v="5"/>
    <s v="Partnerships"/>
    <s v="Namkeen"/>
    <x v="0"/>
    <x v="0"/>
    <n v="3870"/>
    <n v="4300"/>
    <n v="3"/>
    <x v="140"/>
    <n v="11610"/>
    <n v="1290"/>
  </r>
  <r>
    <x v="241"/>
    <d v="2022-12-12T00:00:00"/>
    <x v="0"/>
    <x v="8"/>
    <x v="8"/>
    <s v="Physical Store"/>
    <s v="Chips &amp; Wafers "/>
    <x v="0"/>
    <x v="0"/>
    <n v="45450"/>
    <n v="50500"/>
    <n v="5"/>
    <x v="141"/>
    <n v="227250"/>
    <n v="25250"/>
  </r>
  <r>
    <x v="242"/>
    <d v="2022-12-13T00:00:00"/>
    <x v="0"/>
    <x v="8"/>
    <x v="20"/>
    <s v="Online Delivery"/>
    <s v="Samosas"/>
    <x v="0"/>
    <x v="0"/>
    <n v="18225"/>
    <n v="20250"/>
    <n v="1"/>
    <x v="10"/>
    <n v="18225"/>
    <n v="2025"/>
  </r>
  <r>
    <x v="243"/>
    <d v="2022-12-14T00:00:00"/>
    <x v="0"/>
    <x v="8"/>
    <x v="7"/>
    <s v="Partnerships"/>
    <s v="Kachoris"/>
    <x v="0"/>
    <x v="0"/>
    <n v="1800"/>
    <n v="2000"/>
    <n v="5"/>
    <x v="70"/>
    <n v="9000"/>
    <n v="1000"/>
  </r>
  <r>
    <x v="244"/>
    <d v="2022-12-15T00:00:00"/>
    <x v="0"/>
    <x v="8"/>
    <x v="5"/>
    <s v="Physical Store"/>
    <s v="Bhujia"/>
    <x v="0"/>
    <x v="2"/>
    <n v="48600"/>
    <n v="54000"/>
    <n v="7"/>
    <x v="142"/>
    <n v="340200"/>
    <n v="37800"/>
  </r>
  <r>
    <x v="245"/>
    <d v="2022-12-16T00:00:00"/>
    <x v="0"/>
    <x v="8"/>
    <x v="0"/>
    <s v="Online Delivery"/>
    <s v="Mixes"/>
    <x v="0"/>
    <x v="2"/>
    <n v="72900"/>
    <n v="81000"/>
    <n v="4"/>
    <x v="143"/>
    <n v="291600"/>
    <n v="32400"/>
  </r>
  <r>
    <x v="246"/>
    <d v="2022-12-17T00:00:00"/>
    <x v="0"/>
    <x v="8"/>
    <x v="24"/>
    <s v="Partnerships"/>
    <s v="Ready-to-Eat Curries "/>
    <x v="1"/>
    <x v="2"/>
    <n v="9450"/>
    <n v="10500"/>
    <n v="8"/>
    <x v="144"/>
    <n v="75600"/>
    <n v="8400"/>
  </r>
  <r>
    <x v="247"/>
    <d v="2022-12-18T00:00:00"/>
    <x v="0"/>
    <x v="8"/>
    <x v="18"/>
    <s v="Physical Store"/>
    <s v="Instant Mixes"/>
    <x v="1"/>
    <x v="0"/>
    <n v="36000"/>
    <n v="40000"/>
    <n v="8"/>
    <x v="145"/>
    <n v="288000"/>
    <n v="32000"/>
  </r>
  <r>
    <x v="248"/>
    <d v="2022-12-19T00:00:00"/>
    <x v="0"/>
    <x v="8"/>
    <x v="16"/>
    <s v="Online Delivery"/>
    <s v="Frozen Snacks"/>
    <x v="1"/>
    <x v="0"/>
    <n v="24300"/>
    <n v="27000"/>
    <n v="9"/>
    <x v="16"/>
    <n v="218700"/>
    <n v="24300"/>
  </r>
  <r>
    <x v="249"/>
    <d v="2022-12-20T00:00:00"/>
    <x v="0"/>
    <x v="8"/>
    <x v="3"/>
    <s v="Partnerships"/>
    <s v="Parathas"/>
    <x v="1"/>
    <x v="0"/>
    <n v="9180"/>
    <n v="10200"/>
    <n v="2"/>
    <x v="146"/>
    <n v="18360"/>
    <n v="2040"/>
  </r>
  <r>
    <x v="250"/>
    <d v="2022-12-21T00:00:00"/>
    <x v="0"/>
    <x v="8"/>
    <x v="9"/>
    <s v="Physical Store"/>
    <s v="Nut-based Snacks "/>
    <x v="0"/>
    <x v="0"/>
    <n v="8640"/>
    <n v="9600"/>
    <n v="1"/>
    <x v="147"/>
    <n v="8640"/>
    <n v="960"/>
  </r>
  <r>
    <x v="251"/>
    <d v="2022-12-22T00:00:00"/>
    <x v="0"/>
    <x v="8"/>
    <x v="8"/>
    <s v="Online Delivery"/>
    <s v="Papads"/>
    <x v="0"/>
    <x v="0"/>
    <n v="8280"/>
    <n v="9200"/>
    <n v="22"/>
    <x v="42"/>
    <n v="182160"/>
    <n v="20240"/>
  </r>
  <r>
    <x v="252"/>
    <d v="2022-12-23T00:00:00"/>
    <x v="0"/>
    <x v="8"/>
    <x v="8"/>
    <s v="Partnerships"/>
    <s v="Namkeens"/>
    <x v="0"/>
    <x v="0"/>
    <n v="4950"/>
    <n v="5500"/>
    <n v="8"/>
    <x v="11"/>
    <n v="39600"/>
    <n v="4400"/>
  </r>
  <r>
    <x v="253"/>
    <d v="2022-12-24T00:00:00"/>
    <x v="0"/>
    <x v="8"/>
    <x v="8"/>
    <s v="Physical Store"/>
    <s v="Chips &amp; Wafers "/>
    <x v="0"/>
    <x v="0"/>
    <n v="3150"/>
    <n v="3500"/>
    <n v="7"/>
    <x v="88"/>
    <n v="22050"/>
    <n v="2450"/>
  </r>
  <r>
    <x v="254"/>
    <d v="2022-12-25T00:00:00"/>
    <x v="0"/>
    <x v="8"/>
    <x v="3"/>
    <s v="Online Delivery"/>
    <s v="Samosas"/>
    <x v="0"/>
    <x v="2"/>
    <n v="2700"/>
    <n v="3000"/>
    <n v="56"/>
    <x v="148"/>
    <n v="151200"/>
    <n v="16800"/>
  </r>
  <r>
    <x v="255"/>
    <d v="2022-12-26T00:00:00"/>
    <x v="0"/>
    <x v="8"/>
    <x v="12"/>
    <s v="Partnerships"/>
    <s v="Kachoris"/>
    <x v="0"/>
    <x v="2"/>
    <n v="4050"/>
    <n v="4500"/>
    <n v="10"/>
    <x v="149"/>
    <n v="40500"/>
    <n v="4500"/>
  </r>
  <r>
    <x v="256"/>
    <d v="2022-12-27T00:00:00"/>
    <x v="0"/>
    <x v="8"/>
    <x v="6"/>
    <s v="Physical Store"/>
    <s v="Bhujia"/>
    <x v="0"/>
    <x v="0"/>
    <n v="53100"/>
    <n v="59000"/>
    <n v="9"/>
    <x v="150"/>
    <n v="477900"/>
    <n v="53100"/>
  </r>
  <r>
    <x v="257"/>
    <d v="2022-12-28T00:00:00"/>
    <x v="0"/>
    <x v="8"/>
    <x v="9"/>
    <s v="Online Delivery"/>
    <s v="Mixes"/>
    <x v="0"/>
    <x v="0"/>
    <n v="88200"/>
    <n v="98000"/>
    <n v="27"/>
    <x v="151"/>
    <n v="2381400"/>
    <n v="264600"/>
  </r>
  <r>
    <x v="258"/>
    <d v="2022-12-29T00:00:00"/>
    <x v="0"/>
    <x v="8"/>
    <x v="8"/>
    <s v="Partnerships"/>
    <s v="Papads"/>
    <x v="0"/>
    <x v="0"/>
    <n v="8640"/>
    <n v="9600"/>
    <n v="15"/>
    <x v="18"/>
    <n v="129600"/>
    <n v="14400"/>
  </r>
  <r>
    <x v="259"/>
    <d v="2022-12-30T00:00:00"/>
    <x v="0"/>
    <x v="8"/>
    <x v="5"/>
    <s v="Physical Store"/>
    <s v="Heat-and-Eat Meals"/>
    <x v="1"/>
    <x v="1"/>
    <n v="8280"/>
    <n v="9200"/>
    <n v="3"/>
    <x v="19"/>
    <n v="24840"/>
    <n v="2760"/>
  </r>
  <r>
    <x v="260"/>
    <d v="2022-12-31T00:00:00"/>
    <x v="0"/>
    <x v="8"/>
    <x v="7"/>
    <s v="Online Delivery"/>
    <s v="Ready-to-Eat Curries "/>
    <x v="1"/>
    <x v="0"/>
    <n v="4950"/>
    <n v="5500"/>
    <n v="9"/>
    <x v="20"/>
    <n v="44550"/>
    <n v="4950"/>
  </r>
  <r>
    <x v="261"/>
    <d v="2023-01-01T00:00:00"/>
    <x v="1"/>
    <x v="9"/>
    <x v="5"/>
    <s v="Partnerships"/>
    <s v="Frozen Snacks"/>
    <x v="1"/>
    <x v="1"/>
    <n v="3150"/>
    <n v="3500"/>
    <n v="22"/>
    <x v="21"/>
    <n v="69300"/>
    <n v="7700"/>
  </r>
  <r>
    <x v="262"/>
    <d v="2023-01-02T00:00:00"/>
    <x v="1"/>
    <x v="9"/>
    <x v="8"/>
    <s v="Physical Store"/>
    <s v="Traditional Sweets "/>
    <x v="2"/>
    <x v="2"/>
    <n v="2700"/>
    <n v="3000"/>
    <n v="16"/>
    <x v="22"/>
    <n v="43200"/>
    <n v="4800"/>
  </r>
  <r>
    <x v="263"/>
    <d v="2023-01-03T00:00:00"/>
    <x v="1"/>
    <x v="9"/>
    <x v="8"/>
    <s v="Online Delivery"/>
    <s v="Dry Sweets "/>
    <x v="2"/>
    <x v="2"/>
    <n v="4050"/>
    <n v="4500"/>
    <n v="6"/>
    <x v="23"/>
    <n v="24300"/>
    <n v="2700"/>
  </r>
  <r>
    <x v="264"/>
    <d v="2023-01-04T00:00:00"/>
    <x v="1"/>
    <x v="9"/>
    <x v="24"/>
    <s v="Partnerships"/>
    <s v="Milk-based Sweets "/>
    <x v="2"/>
    <x v="2"/>
    <n v="53100"/>
    <n v="59000"/>
    <n v="3"/>
    <x v="24"/>
    <n v="159300"/>
    <n v="17700"/>
  </r>
  <r>
    <x v="265"/>
    <d v="2023-01-05T00:00:00"/>
    <x v="1"/>
    <x v="9"/>
    <x v="18"/>
    <s v="Physical Store"/>
    <s v="Syrup-based Sweets"/>
    <x v="2"/>
    <x v="0"/>
    <n v="88200"/>
    <n v="98000"/>
    <n v="5"/>
    <x v="25"/>
    <n v="441000"/>
    <n v="49000"/>
  </r>
  <r>
    <x v="266"/>
    <d v="2023-01-06T00:00:00"/>
    <x v="1"/>
    <x v="9"/>
    <x v="5"/>
    <s v="Online Delivery"/>
    <s v="Gift Packs"/>
    <x v="2"/>
    <x v="0"/>
    <n v="38250"/>
    <n v="42500"/>
    <n v="1"/>
    <x v="26"/>
    <n v="38250"/>
    <n v="4250"/>
  </r>
  <r>
    <x v="267"/>
    <d v="2023-01-07T00:00:00"/>
    <x v="1"/>
    <x v="9"/>
    <x v="9"/>
    <s v="Partnerships"/>
    <s v="Traditional Sweets "/>
    <x v="2"/>
    <x v="1"/>
    <n v="2700"/>
    <n v="3000"/>
    <n v="5"/>
    <x v="1"/>
    <n v="13500"/>
    <n v="1500"/>
  </r>
  <r>
    <x v="268"/>
    <d v="2023-01-08T00:00:00"/>
    <x v="1"/>
    <x v="9"/>
    <x v="2"/>
    <s v="Physical Store"/>
    <s v="Dry Sweets "/>
    <x v="2"/>
    <x v="0"/>
    <n v="23850"/>
    <n v="26500"/>
    <n v="7"/>
    <x v="27"/>
    <n v="166950"/>
    <n v="18550"/>
  </r>
  <r>
    <x v="269"/>
    <d v="2023-01-09T00:00:00"/>
    <x v="1"/>
    <x v="9"/>
    <x v="5"/>
    <s v="Online Delivery"/>
    <s v="Milk-based Sweets "/>
    <x v="2"/>
    <x v="0"/>
    <n v="24750"/>
    <n v="27500"/>
    <n v="4"/>
    <x v="28"/>
    <n v="99000"/>
    <n v="11000"/>
  </r>
  <r>
    <x v="270"/>
    <d v="2023-01-10T00:00:00"/>
    <x v="1"/>
    <x v="9"/>
    <x v="8"/>
    <s v="Online Delivery"/>
    <s v="Syrup-based Sweets"/>
    <x v="2"/>
    <x v="0"/>
    <n v="44550"/>
    <n v="49500"/>
    <n v="8"/>
    <x v="29"/>
    <n v="356400"/>
    <n v="39600"/>
  </r>
  <r>
    <x v="271"/>
    <d v="2023-01-11T00:00:00"/>
    <x v="1"/>
    <x v="9"/>
    <x v="3"/>
    <s v="Partnerships"/>
    <s v="Gift Packs"/>
    <x v="2"/>
    <x v="0"/>
    <n v="9000"/>
    <n v="10000"/>
    <n v="8"/>
    <x v="7"/>
    <n v="72000"/>
    <n v="8000"/>
  </r>
  <r>
    <x v="272"/>
    <d v="2023-01-12T00:00:00"/>
    <x v="1"/>
    <x v="9"/>
    <x v="21"/>
    <s v="Physical Store"/>
    <s v="Gift Packs"/>
    <x v="2"/>
    <x v="2"/>
    <n v="8640"/>
    <n v="9600"/>
    <n v="9"/>
    <x v="30"/>
    <n v="77760"/>
    <n v="8640"/>
  </r>
  <r>
    <x v="273"/>
    <d v="2023-01-13T00:00:00"/>
    <x v="1"/>
    <x v="9"/>
    <x v="9"/>
    <s v="Online Delivery"/>
    <s v="Traditional Sweets "/>
    <x v="2"/>
    <x v="2"/>
    <n v="9000"/>
    <n v="10000"/>
    <n v="2"/>
    <x v="31"/>
    <n v="18000"/>
    <n v="2000"/>
  </r>
  <r>
    <x v="274"/>
    <d v="2023-01-14T00:00:00"/>
    <x v="1"/>
    <x v="9"/>
    <x v="5"/>
    <s v="Online Delivery"/>
    <s v="Traditional Sweets "/>
    <x v="2"/>
    <x v="0"/>
    <n v="3870"/>
    <n v="4300"/>
    <n v="1"/>
    <x v="32"/>
    <n v="3870"/>
    <n v="430"/>
  </r>
  <r>
    <x v="275"/>
    <d v="2023-01-15T00:00:00"/>
    <x v="1"/>
    <x v="9"/>
    <x v="2"/>
    <s v="Partnerships"/>
    <s v="Dry Sweets "/>
    <x v="2"/>
    <x v="0"/>
    <n v="8640"/>
    <n v="9600"/>
    <n v="22"/>
    <x v="58"/>
    <n v="190080"/>
    <n v="21120"/>
  </r>
  <r>
    <x v="276"/>
    <d v="2023-01-16T00:00:00"/>
    <x v="1"/>
    <x v="9"/>
    <x v="3"/>
    <s v="Physical Store"/>
    <s v="Milk-based Sweets "/>
    <x v="2"/>
    <x v="0"/>
    <n v="8280"/>
    <n v="9200"/>
    <n v="8"/>
    <x v="114"/>
    <n v="66240"/>
    <n v="7360"/>
  </r>
  <r>
    <x v="277"/>
    <d v="2023-01-17T00:00:00"/>
    <x v="1"/>
    <x v="9"/>
    <x v="6"/>
    <s v="Online Delivery"/>
    <s v="Syrup-based Sweets"/>
    <x v="2"/>
    <x v="0"/>
    <n v="4950"/>
    <n v="5500"/>
    <n v="7"/>
    <x v="115"/>
    <n v="34650"/>
    <n v="3850"/>
  </r>
  <r>
    <x v="278"/>
    <d v="2023-01-18T00:00:00"/>
    <x v="1"/>
    <x v="9"/>
    <x v="20"/>
    <s v="Online Delivery"/>
    <s v="Gift Packs"/>
    <x v="2"/>
    <x v="0"/>
    <n v="3150"/>
    <n v="3500"/>
    <n v="56"/>
    <x v="116"/>
    <n v="176400"/>
    <n v="19600"/>
  </r>
  <r>
    <x v="279"/>
    <d v="2023-01-19T00:00:00"/>
    <x v="1"/>
    <x v="9"/>
    <x v="8"/>
    <s v="Online Delivery"/>
    <s v="Traditional Sweets "/>
    <x v="2"/>
    <x v="0"/>
    <n v="2700"/>
    <n v="3000"/>
    <n v="10"/>
    <x v="57"/>
    <n v="27000"/>
    <n v="3000"/>
  </r>
  <r>
    <x v="280"/>
    <d v="2023-01-20T00:00:00"/>
    <x v="1"/>
    <x v="9"/>
    <x v="15"/>
    <s v="Online Delivery"/>
    <s v="Dry Sweets "/>
    <x v="2"/>
    <x v="2"/>
    <n v="4050"/>
    <n v="4500"/>
    <n v="9"/>
    <x v="111"/>
    <n v="36450"/>
    <n v="4050"/>
  </r>
  <r>
    <x v="281"/>
    <d v="2023-01-21T00:00:00"/>
    <x v="1"/>
    <x v="9"/>
    <x v="15"/>
    <s v="Online Delivery"/>
    <s v="Milk-based Sweets "/>
    <x v="2"/>
    <x v="2"/>
    <n v="53100"/>
    <n v="59000"/>
    <n v="27"/>
    <x v="117"/>
    <n v="1433700"/>
    <n v="159300"/>
  </r>
  <r>
    <x v="282"/>
    <d v="2023-01-22T00:00:00"/>
    <x v="1"/>
    <x v="9"/>
    <x v="0"/>
    <s v="Online Delivery"/>
    <s v="Syrup-based Sweets"/>
    <x v="2"/>
    <x v="2"/>
    <n v="88200"/>
    <n v="98000"/>
    <n v="15"/>
    <x v="118"/>
    <n v="1323000"/>
    <n v="147000"/>
  </r>
  <r>
    <x v="283"/>
    <d v="2023-01-23T00:00:00"/>
    <x v="1"/>
    <x v="9"/>
    <x v="2"/>
    <s v="Online Delivery"/>
    <s v="Gift Packs"/>
    <x v="2"/>
    <x v="0"/>
    <n v="38250"/>
    <n v="42500"/>
    <n v="3"/>
    <x v="0"/>
    <n v="114750"/>
    <n v="12750"/>
  </r>
  <r>
    <x v="284"/>
    <d v="2023-01-24T00:00:00"/>
    <x v="1"/>
    <x v="9"/>
    <x v="18"/>
    <s v="Online Delivery"/>
    <s v="Gift Packs"/>
    <x v="2"/>
    <x v="0"/>
    <n v="2700"/>
    <n v="3000"/>
    <n v="9"/>
    <x v="23"/>
    <n v="24300"/>
    <n v="2700"/>
  </r>
  <r>
    <x v="285"/>
    <d v="2023-01-25T00:00:00"/>
    <x v="1"/>
    <x v="9"/>
    <x v="18"/>
    <s v="Online Delivery"/>
    <s v="Traditional Sweets "/>
    <x v="2"/>
    <x v="0"/>
    <n v="23850"/>
    <n v="26500"/>
    <n v="22"/>
    <x v="95"/>
    <n v="524700"/>
    <n v="58300"/>
  </r>
  <r>
    <x v="286"/>
    <d v="2023-01-26T00:00:00"/>
    <x v="1"/>
    <x v="9"/>
    <x v="5"/>
    <s v="Online Delivery"/>
    <s v="Namkeens"/>
    <x v="0"/>
    <x v="1"/>
    <n v="24750"/>
    <n v="27500"/>
    <n v="16"/>
    <x v="119"/>
    <n v="396000"/>
    <n v="44000"/>
  </r>
  <r>
    <x v="287"/>
    <d v="2023-01-27T00:00:00"/>
    <x v="1"/>
    <x v="9"/>
    <x v="0"/>
    <s v="Online Delivery"/>
    <s v="Chips &amp; Wafers "/>
    <x v="0"/>
    <x v="1"/>
    <n v="44550"/>
    <n v="49500"/>
    <n v="6"/>
    <x v="120"/>
    <n v="267300"/>
    <n v="29700"/>
  </r>
  <r>
    <x v="288"/>
    <d v="2023-01-28T00:00:00"/>
    <x v="1"/>
    <x v="9"/>
    <x v="2"/>
    <s v="Online Delivery"/>
    <s v="Samosas"/>
    <x v="0"/>
    <x v="1"/>
    <n v="9000"/>
    <n v="10000"/>
    <n v="3"/>
    <x v="57"/>
    <n v="27000"/>
    <n v="3000"/>
  </r>
  <r>
    <x v="289"/>
    <d v="2023-01-29T00:00:00"/>
    <x v="1"/>
    <x v="9"/>
    <x v="5"/>
    <s v="Online Delivery"/>
    <s v="Kachoris"/>
    <x v="0"/>
    <x v="0"/>
    <n v="8640"/>
    <n v="9600"/>
    <n v="5"/>
    <x v="22"/>
    <n v="43200"/>
    <n v="4800"/>
  </r>
  <r>
    <x v="290"/>
    <d v="2023-01-30T00:00:00"/>
    <x v="1"/>
    <x v="9"/>
    <x v="2"/>
    <s v="Online Delivery"/>
    <s v="Bhujia"/>
    <x v="0"/>
    <x v="2"/>
    <n v="9000"/>
    <n v="10000"/>
    <n v="1"/>
    <x v="70"/>
    <n v="9000"/>
    <n v="1000"/>
  </r>
  <r>
    <x v="291"/>
    <d v="2023-01-31T00:00:00"/>
    <x v="1"/>
    <x v="9"/>
    <x v="9"/>
    <s v="Online Delivery"/>
    <s v="Mixes"/>
    <x v="0"/>
    <x v="2"/>
    <n v="3870"/>
    <n v="4300"/>
    <n v="5"/>
    <x v="121"/>
    <n v="19350"/>
    <n v="2150"/>
  </r>
  <r>
    <x v="292"/>
    <d v="2023-02-01T00:00:00"/>
    <x v="1"/>
    <x v="10"/>
    <x v="11"/>
    <s v="Online Delivery"/>
    <s v="Papads"/>
    <x v="0"/>
    <x v="0"/>
    <n v="8280"/>
    <n v="9200"/>
    <n v="7"/>
    <x v="109"/>
    <n v="57960"/>
    <n v="6440"/>
  </r>
  <r>
    <x v="293"/>
    <d v="2023-02-02T00:00:00"/>
    <x v="1"/>
    <x v="10"/>
    <x v="2"/>
    <s v="Online Delivery"/>
    <s v="Heat-and-Eat Meals"/>
    <x v="1"/>
    <x v="0"/>
    <n v="4950"/>
    <n v="5500"/>
    <n v="4"/>
    <x v="110"/>
    <n v="19800"/>
    <n v="2200"/>
  </r>
  <r>
    <x v="294"/>
    <d v="2023-02-03T00:00:00"/>
    <x v="1"/>
    <x v="10"/>
    <x v="8"/>
    <s v="Online Delivery"/>
    <s v="Ready-to-Eat Curries "/>
    <x v="1"/>
    <x v="1"/>
    <n v="3150"/>
    <n v="3500"/>
    <n v="8"/>
    <x v="50"/>
    <n v="25200"/>
    <n v="2800"/>
  </r>
  <r>
    <x v="295"/>
    <d v="2023-02-04T00:00:00"/>
    <x v="1"/>
    <x v="10"/>
    <x v="6"/>
    <s v="Online Delivery"/>
    <s v="Frozen Snacks"/>
    <x v="1"/>
    <x v="0"/>
    <n v="2700"/>
    <n v="3000"/>
    <n v="8"/>
    <x v="66"/>
    <n v="21600"/>
    <n v="2400"/>
  </r>
  <r>
    <x v="296"/>
    <d v="2023-02-05T00:00:00"/>
    <x v="1"/>
    <x v="10"/>
    <x v="18"/>
    <s v="Online Delivery"/>
    <s v="Traditional Sweets "/>
    <x v="2"/>
    <x v="0"/>
    <n v="4050"/>
    <n v="4500"/>
    <n v="9"/>
    <x v="111"/>
    <n v="36450"/>
    <n v="4050"/>
  </r>
  <r>
    <x v="297"/>
    <d v="2023-02-06T00:00:00"/>
    <x v="1"/>
    <x v="10"/>
    <x v="19"/>
    <s v="Online Delivery"/>
    <s v="Dry Sweets "/>
    <x v="2"/>
    <x v="0"/>
    <n v="8280"/>
    <n v="9200"/>
    <n v="2"/>
    <x v="131"/>
    <n v="16560"/>
    <n v="1840"/>
  </r>
  <r>
    <x v="298"/>
    <d v="2023-02-07T00:00:00"/>
    <x v="1"/>
    <x v="10"/>
    <x v="5"/>
    <s v="Online Delivery"/>
    <s v="Milk-based Sweets "/>
    <x v="2"/>
    <x v="2"/>
    <n v="4950"/>
    <n v="5500"/>
    <n v="1"/>
    <x v="132"/>
    <n v="4950"/>
    <n v="550"/>
  </r>
  <r>
    <x v="299"/>
    <d v="2023-02-08T00:00:00"/>
    <x v="1"/>
    <x v="10"/>
    <x v="0"/>
    <s v="Online Delivery"/>
    <s v="Syrup-based Sweets"/>
    <x v="2"/>
    <x v="2"/>
    <n v="3150"/>
    <n v="3500"/>
    <n v="22"/>
    <x v="21"/>
    <n v="69300"/>
    <n v="7700"/>
  </r>
  <r>
    <x v="300"/>
    <d v="2023-02-09T00:00:00"/>
    <x v="1"/>
    <x v="10"/>
    <x v="9"/>
    <s v="Physical Store"/>
    <s v="Gift Packs"/>
    <x v="2"/>
    <x v="2"/>
    <n v="2700"/>
    <n v="3000"/>
    <n v="8"/>
    <x v="66"/>
    <n v="21600"/>
    <n v="2400"/>
  </r>
  <r>
    <x v="301"/>
    <d v="2023-02-10T00:00:00"/>
    <x v="1"/>
    <x v="10"/>
    <x v="7"/>
    <s v="Physical Store"/>
    <s v="Traditional Sweets "/>
    <x v="2"/>
    <x v="0"/>
    <n v="4050"/>
    <n v="4500"/>
    <n v="7"/>
    <x v="74"/>
    <n v="28350"/>
    <n v="3150"/>
  </r>
  <r>
    <x v="302"/>
    <d v="2023-02-11T00:00:00"/>
    <x v="1"/>
    <x v="10"/>
    <x v="18"/>
    <s v="Physical Store"/>
    <s v="Dry Sweets "/>
    <x v="2"/>
    <x v="0"/>
    <n v="8280"/>
    <n v="9200"/>
    <n v="56"/>
    <x v="72"/>
    <n v="463680"/>
    <n v="51520"/>
  </r>
  <r>
    <x v="303"/>
    <d v="2023-02-12T00:00:00"/>
    <x v="1"/>
    <x v="10"/>
    <x v="18"/>
    <s v="Physical Store"/>
    <s v="Milk-based Sweets "/>
    <x v="2"/>
    <x v="0"/>
    <n v="4950"/>
    <n v="5500"/>
    <n v="10"/>
    <x v="73"/>
    <n v="49500"/>
    <n v="5500"/>
  </r>
  <r>
    <x v="304"/>
    <d v="2023-02-13T00:00:00"/>
    <x v="1"/>
    <x v="10"/>
    <x v="24"/>
    <s v="Physical Store"/>
    <s v="Syrup-based Sweets"/>
    <x v="2"/>
    <x v="0"/>
    <n v="3150"/>
    <n v="3500"/>
    <n v="9"/>
    <x v="74"/>
    <n v="28350"/>
    <n v="3150"/>
  </r>
  <r>
    <x v="305"/>
    <d v="2023-02-14T00:00:00"/>
    <x v="1"/>
    <x v="10"/>
    <x v="5"/>
    <s v="Physical Store"/>
    <s v="Gift Packs"/>
    <x v="2"/>
    <x v="0"/>
    <n v="2700"/>
    <n v="3000"/>
    <n v="27"/>
    <x v="75"/>
    <n v="72900"/>
    <n v="8100"/>
  </r>
  <r>
    <x v="306"/>
    <d v="2023-02-15T00:00:00"/>
    <x v="1"/>
    <x v="10"/>
    <x v="2"/>
    <s v="Physical Store"/>
    <s v="Gift Packs"/>
    <x v="2"/>
    <x v="0"/>
    <n v="4050"/>
    <n v="4500"/>
    <n v="15"/>
    <x v="76"/>
    <n v="60750"/>
    <n v="6750"/>
  </r>
  <r>
    <x v="307"/>
    <d v="2023-02-16T00:00:00"/>
    <x v="1"/>
    <x v="10"/>
    <x v="18"/>
    <s v="Physical Store"/>
    <s v="Traditional Sweets "/>
    <x v="2"/>
    <x v="0"/>
    <n v="8280"/>
    <n v="9200"/>
    <n v="3"/>
    <x v="19"/>
    <n v="24840"/>
    <n v="2760"/>
  </r>
  <r>
    <x v="308"/>
    <d v="2023-02-17T00:00:00"/>
    <x v="1"/>
    <x v="10"/>
    <x v="15"/>
    <s v="Physical Store"/>
    <s v="Namkeen"/>
    <x v="0"/>
    <x v="2"/>
    <n v="4950"/>
    <n v="5500"/>
    <n v="9"/>
    <x v="20"/>
    <n v="44550"/>
    <n v="4950"/>
  </r>
  <r>
    <x v="309"/>
    <d v="2023-02-18T00:00:00"/>
    <x v="1"/>
    <x v="10"/>
    <x v="2"/>
    <s v="Physical Store"/>
    <s v="Chips &amp; Wafers "/>
    <x v="0"/>
    <x v="2"/>
    <n v="3150"/>
    <n v="3500"/>
    <n v="22"/>
    <x v="21"/>
    <n v="69300"/>
    <n v="7700"/>
  </r>
  <r>
    <x v="310"/>
    <d v="2023-02-19T00:00:00"/>
    <x v="1"/>
    <x v="10"/>
    <x v="6"/>
    <s v="Physical Store"/>
    <s v="Samosas"/>
    <x v="0"/>
    <x v="0"/>
    <n v="2700"/>
    <n v="3000"/>
    <n v="16"/>
    <x v="22"/>
    <n v="43200"/>
    <n v="4800"/>
  </r>
  <r>
    <x v="311"/>
    <d v="2023-02-20T00:00:00"/>
    <x v="1"/>
    <x v="10"/>
    <x v="8"/>
    <s v="Physical Store"/>
    <s v="Kachoris"/>
    <x v="0"/>
    <x v="0"/>
    <n v="4050"/>
    <n v="4500"/>
    <n v="6"/>
    <x v="23"/>
    <n v="24300"/>
    <n v="2700"/>
  </r>
  <r>
    <x v="312"/>
    <d v="2023-02-21T00:00:00"/>
    <x v="1"/>
    <x v="10"/>
    <x v="8"/>
    <s v="Physical Store"/>
    <s v="Bhujia"/>
    <x v="0"/>
    <x v="0"/>
    <n v="38250"/>
    <n v="42500"/>
    <n v="3"/>
    <x v="0"/>
    <n v="114750"/>
    <n v="12750"/>
  </r>
  <r>
    <x v="313"/>
    <d v="2023-02-22T00:00:00"/>
    <x v="1"/>
    <x v="10"/>
    <x v="11"/>
    <s v="Online Delivery"/>
    <s v="Mixes"/>
    <x v="0"/>
    <x v="1"/>
    <n v="2700"/>
    <n v="3000"/>
    <n v="5"/>
    <x v="1"/>
    <n v="13500"/>
    <n v="1500"/>
  </r>
  <r>
    <x v="314"/>
    <d v="2023-02-23T00:00:00"/>
    <x v="1"/>
    <x v="10"/>
    <x v="12"/>
    <s v="Online Delivery"/>
    <s v="Ready-to-Eat Curries "/>
    <x v="1"/>
    <x v="1"/>
    <n v="23850"/>
    <n v="26500"/>
    <n v="1"/>
    <x v="2"/>
    <n v="23850"/>
    <n v="2650"/>
  </r>
  <r>
    <x v="315"/>
    <d v="2023-02-24T00:00:00"/>
    <x v="1"/>
    <x v="10"/>
    <x v="0"/>
    <s v="Online Delivery"/>
    <s v="Instant Mixes"/>
    <x v="1"/>
    <x v="0"/>
    <n v="24750"/>
    <n v="27500"/>
    <n v="5"/>
    <x v="3"/>
    <n v="123750"/>
    <n v="13750"/>
  </r>
  <r>
    <x v="316"/>
    <d v="2023-02-25T00:00:00"/>
    <x v="1"/>
    <x v="10"/>
    <x v="8"/>
    <s v="Online Delivery"/>
    <s v="Frozen Snacks"/>
    <x v="1"/>
    <x v="2"/>
    <n v="44550"/>
    <n v="49500"/>
    <n v="7"/>
    <x v="4"/>
    <n v="311850"/>
    <n v="34650"/>
  </r>
  <r>
    <x v="317"/>
    <d v="2023-02-26T00:00:00"/>
    <x v="1"/>
    <x v="10"/>
    <x v="18"/>
    <s v="Online Delivery"/>
    <s v="Parathas"/>
    <x v="1"/>
    <x v="2"/>
    <n v="9000"/>
    <n v="10000"/>
    <n v="4"/>
    <x v="5"/>
    <n v="36000"/>
    <n v="4000"/>
  </r>
  <r>
    <x v="318"/>
    <d v="2023-02-27T00:00:00"/>
    <x v="1"/>
    <x v="10"/>
    <x v="3"/>
    <s v="Online Delivery"/>
    <s v="Nut-based Snacks "/>
    <x v="0"/>
    <x v="0"/>
    <n v="8640"/>
    <n v="9600"/>
    <n v="8"/>
    <x v="6"/>
    <n v="69120"/>
    <n v="7680"/>
  </r>
  <r>
    <x v="319"/>
    <d v="2023-02-28T00:00:00"/>
    <x v="1"/>
    <x v="10"/>
    <x v="6"/>
    <s v="Online Delivery"/>
    <s v="Papads"/>
    <x v="0"/>
    <x v="1"/>
    <n v="9000"/>
    <n v="10000"/>
    <n v="8"/>
    <x v="7"/>
    <n v="72000"/>
    <n v="8000"/>
  </r>
  <r>
    <x v="320"/>
    <d v="2023-03-01T00:00:00"/>
    <x v="1"/>
    <x v="11"/>
    <x v="9"/>
    <s v="Online Delivery"/>
    <s v="Namkeens"/>
    <x v="0"/>
    <x v="0"/>
    <n v="3870"/>
    <n v="4300"/>
    <n v="9"/>
    <x v="8"/>
    <n v="34830"/>
    <n v="3870"/>
  </r>
  <r>
    <x v="321"/>
    <d v="2023-03-02T00:00:00"/>
    <x v="1"/>
    <x v="11"/>
    <x v="16"/>
    <s v="Online Delivery"/>
    <s v="Chips &amp; Wafers "/>
    <x v="0"/>
    <x v="0"/>
    <n v="45450"/>
    <n v="50500"/>
    <n v="2"/>
    <x v="9"/>
    <n v="90900"/>
    <n v="10100"/>
  </r>
  <r>
    <x v="322"/>
    <d v="2023-03-03T00:00:00"/>
    <x v="1"/>
    <x v="11"/>
    <x v="14"/>
    <s v="Online Delivery"/>
    <s v="Samosas"/>
    <x v="0"/>
    <x v="0"/>
    <n v="18225"/>
    <n v="20250"/>
    <n v="1"/>
    <x v="10"/>
    <n v="18225"/>
    <n v="2025"/>
  </r>
  <r>
    <x v="323"/>
    <d v="2023-03-04T00:00:00"/>
    <x v="1"/>
    <x v="11"/>
    <x v="26"/>
    <s v="Online Delivery"/>
    <s v="Kachoris"/>
    <x v="0"/>
    <x v="0"/>
    <n v="1800"/>
    <n v="2000"/>
    <n v="22"/>
    <x v="11"/>
    <n v="39600"/>
    <n v="4400"/>
  </r>
  <r>
    <x v="324"/>
    <d v="2023-03-05T00:00:00"/>
    <x v="1"/>
    <x v="11"/>
    <x v="0"/>
    <s v="Online Delivery"/>
    <s v="Bhujia"/>
    <x v="0"/>
    <x v="2"/>
    <n v="48600"/>
    <n v="54000"/>
    <n v="8"/>
    <x v="12"/>
    <n v="388800"/>
    <n v="43200"/>
  </r>
  <r>
    <x v="325"/>
    <d v="2023-03-06T00:00:00"/>
    <x v="1"/>
    <x v="11"/>
    <x v="8"/>
    <s v="Online Delivery"/>
    <s v="Mixes"/>
    <x v="0"/>
    <x v="2"/>
    <n v="72900"/>
    <n v="81000"/>
    <n v="7"/>
    <x v="13"/>
    <n v="510300"/>
    <n v="56700"/>
  </r>
  <r>
    <x v="326"/>
    <d v="2023-03-07T00:00:00"/>
    <x v="1"/>
    <x v="11"/>
    <x v="24"/>
    <s v="Online Delivery"/>
    <s v="Papads"/>
    <x v="0"/>
    <x v="0"/>
    <n v="9450"/>
    <n v="10500"/>
    <n v="56"/>
    <x v="14"/>
    <n v="529200"/>
    <n v="58800"/>
  </r>
  <r>
    <x v="327"/>
    <d v="2023-03-08T00:00:00"/>
    <x v="1"/>
    <x v="11"/>
    <x v="8"/>
    <s v="Online Delivery"/>
    <s v="Heat-and-Eat Meals"/>
    <x v="1"/>
    <x v="0"/>
    <n v="36000"/>
    <n v="40000"/>
    <n v="10"/>
    <x v="15"/>
    <n v="360000"/>
    <n v="40000"/>
  </r>
  <r>
    <x v="328"/>
    <d v="2023-03-09T00:00:00"/>
    <x v="1"/>
    <x v="11"/>
    <x v="8"/>
    <s v="Online Delivery"/>
    <s v="Ready-to-Eat Curries "/>
    <x v="1"/>
    <x v="0"/>
    <n v="24300"/>
    <n v="27000"/>
    <n v="9"/>
    <x v="16"/>
    <n v="218700"/>
    <n v="24300"/>
  </r>
  <r>
    <x v="329"/>
    <d v="2023-03-10T00:00:00"/>
    <x v="1"/>
    <x v="11"/>
    <x v="5"/>
    <s v="Online Delivery"/>
    <s v="Frozen Snacks"/>
    <x v="1"/>
    <x v="0"/>
    <n v="9180"/>
    <n v="10200"/>
    <n v="27"/>
    <x v="17"/>
    <n v="247860"/>
    <n v="27540"/>
  </r>
  <r>
    <x v="330"/>
    <d v="2023-03-11T00:00:00"/>
    <x v="1"/>
    <x v="11"/>
    <x v="12"/>
    <s v="Online Delivery"/>
    <s v="Traditional Sweets "/>
    <x v="2"/>
    <x v="0"/>
    <n v="8640"/>
    <n v="9600"/>
    <n v="15"/>
    <x v="18"/>
    <n v="129600"/>
    <n v="14400"/>
  </r>
  <r>
    <x v="331"/>
    <d v="2023-03-12T00:00:00"/>
    <x v="1"/>
    <x v="11"/>
    <x v="20"/>
    <s v="Online Delivery"/>
    <s v="Dry Sweets "/>
    <x v="2"/>
    <x v="0"/>
    <n v="8280"/>
    <n v="9200"/>
    <n v="3"/>
    <x v="19"/>
    <n v="24840"/>
    <n v="2760"/>
  </r>
  <r>
    <x v="332"/>
    <d v="2023-03-13T00:00:00"/>
    <x v="1"/>
    <x v="11"/>
    <x v="20"/>
    <s v="Online Delivery"/>
    <s v="Milk-based Sweets "/>
    <x v="2"/>
    <x v="2"/>
    <n v="4950"/>
    <n v="5500"/>
    <n v="9"/>
    <x v="20"/>
    <n v="44550"/>
    <n v="4950"/>
  </r>
  <r>
    <x v="333"/>
    <d v="2023-03-14T00:00:00"/>
    <x v="1"/>
    <x v="11"/>
    <x v="0"/>
    <s v="Online Delivery"/>
    <s v="Syrup-based Sweets"/>
    <x v="2"/>
    <x v="2"/>
    <n v="3150"/>
    <n v="3500"/>
    <n v="22"/>
    <x v="21"/>
    <n v="69300"/>
    <n v="7700"/>
  </r>
  <r>
    <x v="334"/>
    <d v="2023-03-15T00:00:00"/>
    <x v="1"/>
    <x v="11"/>
    <x v="11"/>
    <s v="Physical Store"/>
    <s v="Gift Packs"/>
    <x v="2"/>
    <x v="2"/>
    <n v="2700"/>
    <n v="3000"/>
    <n v="16"/>
    <x v="22"/>
    <n v="43200"/>
    <n v="4800"/>
  </r>
  <r>
    <x v="335"/>
    <d v="2023-03-16T00:00:00"/>
    <x v="1"/>
    <x v="11"/>
    <x v="24"/>
    <s v="Physical Store"/>
    <s v="Traditional Sweets "/>
    <x v="2"/>
    <x v="0"/>
    <n v="4050"/>
    <n v="4500"/>
    <n v="6"/>
    <x v="23"/>
    <n v="24300"/>
    <n v="2700"/>
  </r>
  <r>
    <x v="336"/>
    <d v="2023-03-17T00:00:00"/>
    <x v="1"/>
    <x v="11"/>
    <x v="2"/>
    <s v="Physical Store"/>
    <s v="Dry Sweets "/>
    <x v="2"/>
    <x v="0"/>
    <n v="53100"/>
    <n v="59000"/>
    <n v="3"/>
    <x v="24"/>
    <n v="159300"/>
    <n v="17700"/>
  </r>
  <r>
    <x v="337"/>
    <d v="2023-03-18T00:00:00"/>
    <x v="1"/>
    <x v="11"/>
    <x v="3"/>
    <s v="Physical Store"/>
    <s v="Milk-based Sweets "/>
    <x v="2"/>
    <x v="0"/>
    <n v="88200"/>
    <n v="98000"/>
    <n v="5"/>
    <x v="25"/>
    <n v="441000"/>
    <n v="49000"/>
  </r>
  <r>
    <x v="338"/>
    <d v="2023-03-19T00:00:00"/>
    <x v="1"/>
    <x v="11"/>
    <x v="8"/>
    <s v="Physical Store"/>
    <s v="Syrup-based Sweets"/>
    <x v="2"/>
    <x v="1"/>
    <n v="38250"/>
    <n v="42500"/>
    <n v="1"/>
    <x v="26"/>
    <n v="38250"/>
    <n v="4250"/>
  </r>
  <r>
    <x v="339"/>
    <d v="2023-03-20T00:00:00"/>
    <x v="1"/>
    <x v="11"/>
    <x v="8"/>
    <s v="Physical Store"/>
    <s v="Gift Packs"/>
    <x v="2"/>
    <x v="1"/>
    <n v="2700"/>
    <n v="3000"/>
    <n v="5"/>
    <x v="1"/>
    <n v="13500"/>
    <n v="1500"/>
  </r>
  <r>
    <x v="340"/>
    <d v="2023-03-21T00:00:00"/>
    <x v="1"/>
    <x v="11"/>
    <x v="18"/>
    <s v="Physical Store"/>
    <s v="Gift Packs"/>
    <x v="2"/>
    <x v="1"/>
    <n v="23850"/>
    <n v="26500"/>
    <n v="7"/>
    <x v="27"/>
    <n v="166950"/>
    <n v="18550"/>
  </r>
  <r>
    <x v="341"/>
    <d v="2023-03-22T00:00:00"/>
    <x v="1"/>
    <x v="11"/>
    <x v="2"/>
    <s v="Physical Store"/>
    <s v="Traditional Sweets "/>
    <x v="2"/>
    <x v="0"/>
    <n v="24750"/>
    <n v="27500"/>
    <n v="4"/>
    <x v="28"/>
    <n v="99000"/>
    <n v="11000"/>
  </r>
  <r>
    <x v="342"/>
    <d v="2023-03-23T00:00:00"/>
    <x v="1"/>
    <x v="11"/>
    <x v="0"/>
    <s v="Physical Store"/>
    <s v="Ready-to-Eat Curries "/>
    <x v="1"/>
    <x v="2"/>
    <n v="44550"/>
    <n v="49500"/>
    <n v="8"/>
    <x v="29"/>
    <n v="356400"/>
    <n v="39600"/>
  </r>
  <r>
    <x v="343"/>
    <d v="2023-03-24T00:00:00"/>
    <x v="1"/>
    <x v="11"/>
    <x v="2"/>
    <s v="Physical Store"/>
    <s v="Instant Mixes"/>
    <x v="1"/>
    <x v="2"/>
    <n v="9000"/>
    <n v="10000"/>
    <n v="8"/>
    <x v="7"/>
    <n v="72000"/>
    <n v="8000"/>
  </r>
  <r>
    <x v="344"/>
    <d v="2023-03-25T00:00:00"/>
    <x v="1"/>
    <x v="11"/>
    <x v="6"/>
    <s v="Physical Store"/>
    <s v="Frozen Snacks"/>
    <x v="1"/>
    <x v="0"/>
    <n v="8640"/>
    <n v="9600"/>
    <n v="9"/>
    <x v="30"/>
    <n v="77760"/>
    <n v="8640"/>
  </r>
  <r>
    <x v="345"/>
    <d v="2023-03-26T00:00:00"/>
    <x v="1"/>
    <x v="11"/>
    <x v="20"/>
    <s v="Physical Store"/>
    <s v="Parathas"/>
    <x v="1"/>
    <x v="0"/>
    <n v="9000"/>
    <n v="10000"/>
    <n v="2"/>
    <x v="31"/>
    <n v="18000"/>
    <n v="2000"/>
  </r>
  <r>
    <x v="346"/>
    <d v="2023-03-27T00:00:00"/>
    <x v="1"/>
    <x v="11"/>
    <x v="12"/>
    <s v="Physical Store"/>
    <s v="Heat-and-Eat Meals"/>
    <x v="1"/>
    <x v="0"/>
    <n v="3870"/>
    <n v="4300"/>
    <n v="1"/>
    <x v="32"/>
    <n v="3870"/>
    <n v="430"/>
  </r>
  <r>
    <x v="347"/>
    <d v="2023-03-28T00:00:00"/>
    <x v="1"/>
    <x v="11"/>
    <x v="8"/>
    <s v="Physical Store"/>
    <s v="Ready-to-Eat Curries "/>
    <x v="1"/>
    <x v="0"/>
    <n v="45450"/>
    <n v="50500"/>
    <n v="22"/>
    <x v="33"/>
    <n v="999900"/>
    <n v="111100"/>
  </r>
  <r>
    <x v="348"/>
    <d v="2023-03-29T00:00:00"/>
    <x v="1"/>
    <x v="11"/>
    <x v="20"/>
    <s v="Physical Store"/>
    <s v="Frozen Snacks"/>
    <x v="1"/>
    <x v="0"/>
    <n v="18225"/>
    <n v="20250"/>
    <n v="8"/>
    <x v="34"/>
    <n v="145800"/>
    <n v="16200"/>
  </r>
  <r>
    <x v="349"/>
    <d v="2023-03-30T00:00:00"/>
    <x v="1"/>
    <x v="11"/>
    <x v="8"/>
    <s v="Physical Store"/>
    <s v="Ready-to-Eat Curries "/>
    <x v="1"/>
    <x v="0"/>
    <n v="1800"/>
    <n v="2000"/>
    <n v="7"/>
    <x v="35"/>
    <n v="12600"/>
    <n v="1400"/>
  </r>
  <r>
    <x v="350"/>
    <d v="2023-03-31T00:00:00"/>
    <x v="1"/>
    <x v="11"/>
    <x v="27"/>
    <s v="Physical Store"/>
    <s v="Instant Mixes"/>
    <x v="1"/>
    <x v="2"/>
    <n v="48600"/>
    <n v="54000"/>
    <n v="56"/>
    <x v="36"/>
    <n v="2721600"/>
    <n v="302400"/>
  </r>
  <r>
    <x v="351"/>
    <d v="2023-04-01T00:00:00"/>
    <x v="1"/>
    <x v="0"/>
    <x v="8"/>
    <s v="Physical Store"/>
    <s v="Frozen Snacks"/>
    <x v="1"/>
    <x v="2"/>
    <n v="72900"/>
    <n v="81000"/>
    <n v="10"/>
    <x v="37"/>
    <n v="729000"/>
    <n v="81000"/>
  </r>
  <r>
    <x v="352"/>
    <d v="2023-04-02T00:00:00"/>
    <x v="1"/>
    <x v="0"/>
    <x v="5"/>
    <s v="Physical Store"/>
    <s v="Parathas"/>
    <x v="1"/>
    <x v="2"/>
    <n v="9450"/>
    <n v="10500"/>
    <n v="9"/>
    <x v="38"/>
    <n v="85050"/>
    <n v="9450"/>
  </r>
  <r>
    <x v="353"/>
    <d v="2023-04-03T00:00:00"/>
    <x v="1"/>
    <x v="0"/>
    <x v="27"/>
    <s v="Physical Store"/>
    <s v="Heat-and-Eat Meals"/>
    <x v="1"/>
    <x v="0"/>
    <n v="36000"/>
    <n v="40000"/>
    <n v="27"/>
    <x v="39"/>
    <n v="972000"/>
    <n v="108000"/>
  </r>
  <r>
    <x v="354"/>
    <d v="2023-04-04T00:00:00"/>
    <x v="1"/>
    <x v="0"/>
    <x v="16"/>
    <s v="Physical Store"/>
    <s v="Ready-to-Eat Curries "/>
    <x v="1"/>
    <x v="0"/>
    <n v="24300"/>
    <n v="27000"/>
    <n v="15"/>
    <x v="40"/>
    <n v="364500"/>
    <n v="40500"/>
  </r>
  <r>
    <x v="355"/>
    <d v="2023-04-05T00:00:00"/>
    <x v="1"/>
    <x v="0"/>
    <x v="8"/>
    <s v="Physical Store"/>
    <s v="Frozen Snacks"/>
    <x v="1"/>
    <x v="0"/>
    <n v="9180"/>
    <n v="10200"/>
    <n v="3"/>
    <x v="41"/>
    <n v="27540"/>
    <n v="3060"/>
  </r>
  <r>
    <x v="356"/>
    <d v="2023-04-06T00:00:00"/>
    <x v="1"/>
    <x v="0"/>
    <x v="2"/>
    <s v="Physical Store"/>
    <s v="Traditional Sweets "/>
    <x v="2"/>
    <x v="0"/>
    <n v="8640"/>
    <n v="9600"/>
    <n v="9"/>
    <x v="30"/>
    <n v="77760"/>
    <n v="8640"/>
  </r>
  <r>
    <x v="357"/>
    <d v="2023-04-07T00:00:00"/>
    <x v="1"/>
    <x v="0"/>
    <x v="9"/>
    <s v="Partnerships"/>
    <s v="Dry Sweets "/>
    <x v="2"/>
    <x v="0"/>
    <n v="8280"/>
    <n v="9200"/>
    <n v="22"/>
    <x v="42"/>
    <n v="182160"/>
    <n v="20240"/>
  </r>
  <r>
    <x v="358"/>
    <d v="2023-04-08T00:00:00"/>
    <x v="1"/>
    <x v="0"/>
    <x v="12"/>
    <s v="Partnerships"/>
    <s v="Milk-based Sweets "/>
    <x v="2"/>
    <x v="0"/>
    <n v="4950"/>
    <n v="5500"/>
    <n v="16"/>
    <x v="43"/>
    <n v="79200"/>
    <n v="8800"/>
  </r>
  <r>
    <x v="359"/>
    <d v="2023-04-09T00:00:00"/>
    <x v="1"/>
    <x v="0"/>
    <x v="18"/>
    <s v="Partnerships"/>
    <s v="Syrup-based Sweets"/>
    <x v="2"/>
    <x v="0"/>
    <n v="3150"/>
    <n v="3500"/>
    <n v="6"/>
    <x v="44"/>
    <n v="18900"/>
    <n v="2100"/>
  </r>
  <r>
    <x v="360"/>
    <d v="2023-04-10T00:00:00"/>
    <x v="1"/>
    <x v="0"/>
    <x v="2"/>
    <s v="Partnerships"/>
    <s v="Gift Packs"/>
    <x v="2"/>
    <x v="2"/>
    <n v="2700"/>
    <n v="3000"/>
    <n v="3"/>
    <x v="45"/>
    <n v="8100"/>
    <n v="900"/>
  </r>
  <r>
    <x v="361"/>
    <d v="2023-04-11T00:00:00"/>
    <x v="1"/>
    <x v="0"/>
    <x v="2"/>
    <s v="Partnerships"/>
    <s v="Traditional Sweets "/>
    <x v="2"/>
    <x v="2"/>
    <n v="4050"/>
    <n v="4500"/>
    <n v="5"/>
    <x v="46"/>
    <n v="20250"/>
    <n v="2250"/>
  </r>
  <r>
    <x v="362"/>
    <d v="2023-04-12T00:00:00"/>
    <x v="1"/>
    <x v="0"/>
    <x v="3"/>
    <s v="Partnerships"/>
    <s v="Dry Sweets "/>
    <x v="2"/>
    <x v="0"/>
    <n v="53100"/>
    <n v="59000"/>
    <n v="1"/>
    <x v="47"/>
    <n v="53100"/>
    <n v="5900"/>
  </r>
  <r>
    <x v="363"/>
    <d v="2023-04-13T00:00:00"/>
    <x v="1"/>
    <x v="0"/>
    <x v="19"/>
    <s v="Partnerships"/>
    <s v="Milk-based Sweets "/>
    <x v="2"/>
    <x v="0"/>
    <n v="88200"/>
    <n v="98000"/>
    <n v="5"/>
    <x v="25"/>
    <n v="441000"/>
    <n v="49000"/>
  </r>
  <r>
    <x v="364"/>
    <d v="2023-04-14T00:00:00"/>
    <x v="1"/>
    <x v="0"/>
    <x v="21"/>
    <s v="Partnerships"/>
    <s v="Syrup-based Sweets"/>
    <x v="2"/>
    <x v="0"/>
    <n v="8640"/>
    <n v="9600"/>
    <n v="7"/>
    <x v="48"/>
    <n v="60480"/>
    <n v="6720"/>
  </r>
  <r>
    <x v="365"/>
    <d v="2023-04-15T00:00:00"/>
    <x v="1"/>
    <x v="0"/>
    <x v="2"/>
    <s v="Partnerships"/>
    <s v="Gift Packs"/>
    <x v="2"/>
    <x v="1"/>
    <n v="8280"/>
    <n v="9200"/>
    <n v="4"/>
    <x v="49"/>
    <n v="33120"/>
    <n v="3680"/>
  </r>
  <r>
    <x v="366"/>
    <d v="2022-02-16T00:00:00"/>
    <x v="0"/>
    <x v="10"/>
    <x v="8"/>
    <s v="Partnerships"/>
    <s v="Gift Packs"/>
    <x v="2"/>
    <x v="0"/>
    <n v="4950"/>
    <n v="5500"/>
    <n v="8"/>
    <x v="11"/>
    <n v="39600"/>
    <n v="4400"/>
  </r>
  <r>
    <x v="367"/>
    <d v="2022-02-16T00:00:00"/>
    <x v="0"/>
    <x v="10"/>
    <x v="20"/>
    <s v="Partnerships"/>
    <s v="Traditional Sweets "/>
    <x v="2"/>
    <x v="1"/>
    <n v="3150"/>
    <n v="3500"/>
    <n v="8"/>
    <x v="50"/>
    <n v="25200"/>
    <n v="2800"/>
  </r>
  <r>
    <x v="368"/>
    <d v="2022-02-16T00:00:00"/>
    <x v="0"/>
    <x v="10"/>
    <x v="24"/>
    <s v="Partnerships"/>
    <s v="Ready-to-Eat Curries "/>
    <x v="1"/>
    <x v="2"/>
    <n v="2700"/>
    <n v="3000"/>
    <n v="9"/>
    <x v="23"/>
    <n v="24300"/>
    <n v="2700"/>
  </r>
  <r>
    <x v="369"/>
    <d v="2022-02-16T00:00:00"/>
    <x v="0"/>
    <x v="10"/>
    <x v="12"/>
    <s v="Partnerships"/>
    <s v="Instant Mixes"/>
    <x v="1"/>
    <x v="2"/>
    <n v="4050"/>
    <n v="4500"/>
    <n v="2"/>
    <x v="45"/>
    <n v="8100"/>
    <n v="900"/>
  </r>
  <r>
    <x v="370"/>
    <d v="2022-02-16T00:00:00"/>
    <x v="0"/>
    <x v="10"/>
    <x v="9"/>
    <s v="Partnerships"/>
    <s v="Frozen Snacks"/>
    <x v="1"/>
    <x v="2"/>
    <n v="53100"/>
    <n v="59000"/>
    <n v="1"/>
    <x v="47"/>
    <n v="53100"/>
    <n v="5900"/>
  </r>
  <r>
    <x v="371"/>
    <d v="2022-02-16T00:00:00"/>
    <x v="0"/>
    <x v="10"/>
    <x v="8"/>
    <s v="Partnerships"/>
    <s v="Parathas"/>
    <x v="1"/>
    <x v="0"/>
    <n v="88200"/>
    <n v="98000"/>
    <n v="22"/>
    <x v="51"/>
    <n v="1940400"/>
    <n v="215600"/>
  </r>
  <r>
    <x v="372"/>
    <d v="2022-02-16T00:00:00"/>
    <x v="0"/>
    <x v="10"/>
    <x v="8"/>
    <s v="Partnerships"/>
    <s v="Heat-and-Eat Meals"/>
    <x v="1"/>
    <x v="0"/>
    <n v="38250"/>
    <n v="42500"/>
    <n v="8"/>
    <x v="52"/>
    <n v="306000"/>
    <n v="34000"/>
  </r>
  <r>
    <x v="373"/>
    <d v="2022-02-16T00:00:00"/>
    <x v="0"/>
    <x v="10"/>
    <x v="8"/>
    <s v="Partnerships"/>
    <s v="Ready-to-Eat Curries "/>
    <x v="1"/>
    <x v="1"/>
    <n v="2700"/>
    <n v="3000"/>
    <n v="7"/>
    <x v="44"/>
    <n v="18900"/>
    <n v="2100"/>
  </r>
  <r>
    <x v="374"/>
    <d v="2022-02-16T00:00:00"/>
    <x v="0"/>
    <x v="10"/>
    <x v="2"/>
    <s v="Partnerships"/>
    <s v="Frozen Snacks"/>
    <x v="1"/>
    <x v="0"/>
    <n v="23850"/>
    <n v="26500"/>
    <n v="56"/>
    <x v="53"/>
    <n v="1335600"/>
    <n v="148400"/>
  </r>
  <r>
    <x v="375"/>
    <d v="2023-04-25T00:00:00"/>
    <x v="1"/>
    <x v="0"/>
    <x v="8"/>
    <s v="Partnerships"/>
    <s v="Ready-to-Eat Curries "/>
    <x v="1"/>
    <x v="0"/>
    <n v="24750"/>
    <n v="27500"/>
    <n v="10"/>
    <x v="54"/>
    <n v="247500"/>
    <n v="27500"/>
  </r>
  <r>
    <x v="376"/>
    <d v="2023-04-26T00:00:00"/>
    <x v="1"/>
    <x v="0"/>
    <x v="8"/>
    <s v="Partnerships"/>
    <s v="Namkeen"/>
    <x v="0"/>
    <x v="0"/>
    <n v="44550"/>
    <n v="49500"/>
    <n v="9"/>
    <x v="55"/>
    <n v="400950"/>
    <n v="44550"/>
  </r>
  <r>
    <x v="377"/>
    <d v="2023-04-27T00:00:00"/>
    <x v="1"/>
    <x v="0"/>
    <x v="2"/>
    <s v="Partnerships"/>
    <s v="Chips &amp; Wafers "/>
    <x v="0"/>
    <x v="0"/>
    <n v="9000"/>
    <n v="10000"/>
    <n v="27"/>
    <x v="56"/>
    <n v="243000"/>
    <n v="27000"/>
  </r>
  <r>
    <x v="378"/>
    <d v="2023-04-28T00:00:00"/>
    <x v="1"/>
    <x v="0"/>
    <x v="2"/>
    <s v="Partnerships"/>
    <s v="Samosas"/>
    <x v="0"/>
    <x v="2"/>
    <n v="8640"/>
    <n v="9600"/>
    <n v="15"/>
    <x v="18"/>
    <n v="129600"/>
    <n v="14400"/>
  </r>
  <r>
    <x v="379"/>
    <d v="2023-04-29T00:00:00"/>
    <x v="1"/>
    <x v="0"/>
    <x v="8"/>
    <s v="Partnerships"/>
    <s v="Kachoris"/>
    <x v="0"/>
    <x v="2"/>
    <n v="9000"/>
    <n v="10000"/>
    <n v="3"/>
    <x v="57"/>
    <n v="27000"/>
    <n v="3000"/>
  </r>
  <r>
    <x v="380"/>
    <d v="2023-04-30T00:00:00"/>
    <x v="1"/>
    <x v="0"/>
    <x v="8"/>
    <s v="Partnerships"/>
    <s v="Bhujia"/>
    <x v="0"/>
    <x v="0"/>
    <n v="3870"/>
    <n v="4300"/>
    <n v="9"/>
    <x v="8"/>
    <n v="34830"/>
    <n v="3870"/>
  </r>
  <r>
    <x v="381"/>
    <d v="2023-05-01T00:00:00"/>
    <x v="1"/>
    <x v="1"/>
    <x v="24"/>
    <s v="Partnerships"/>
    <s v="Mixes"/>
    <x v="0"/>
    <x v="0"/>
    <n v="8640"/>
    <n v="9600"/>
    <n v="22"/>
    <x v="58"/>
    <n v="190080"/>
    <n v="21120"/>
  </r>
  <r>
    <x v="382"/>
    <d v="2023-05-02T00:00:00"/>
    <x v="1"/>
    <x v="1"/>
    <x v="6"/>
    <s v="Partnerships"/>
    <s v="Ready-to-Eat Curries "/>
    <x v="1"/>
    <x v="0"/>
    <n v="8280"/>
    <n v="9200"/>
    <n v="16"/>
    <x v="59"/>
    <n v="132480"/>
    <n v="14720"/>
  </r>
  <r>
    <x v="383"/>
    <d v="2023-05-03T00:00:00"/>
    <x v="1"/>
    <x v="1"/>
    <x v="2"/>
    <s v="Partnerships"/>
    <s v="Instant Mixes"/>
    <x v="1"/>
    <x v="0"/>
    <n v="4950"/>
    <n v="5500"/>
    <n v="6"/>
    <x v="60"/>
    <n v="29700"/>
    <n v="3300"/>
  </r>
  <r>
    <x v="384"/>
    <d v="2023-05-04T00:00:00"/>
    <x v="1"/>
    <x v="1"/>
    <x v="8"/>
    <s v="Partnerships"/>
    <s v="Frozen Snacks"/>
    <x v="1"/>
    <x v="0"/>
    <n v="3150"/>
    <n v="3500"/>
    <n v="3"/>
    <x v="61"/>
    <n v="9450"/>
    <n v="1050"/>
  </r>
  <r>
    <x v="385"/>
    <d v="2023-05-05T00:00:00"/>
    <x v="1"/>
    <x v="1"/>
    <x v="9"/>
    <s v="Partnerships"/>
    <s v="Parathas"/>
    <x v="1"/>
    <x v="0"/>
    <n v="2700"/>
    <n v="3000"/>
    <n v="5"/>
    <x v="1"/>
    <n v="13500"/>
    <n v="1500"/>
  </r>
  <r>
    <x v="386"/>
    <d v="2023-05-06T00:00:00"/>
    <x v="1"/>
    <x v="1"/>
    <x v="8"/>
    <s v="Partnerships"/>
    <s v="Nut-based Snacks "/>
    <x v="0"/>
    <x v="2"/>
    <n v="4050"/>
    <n v="4500"/>
    <n v="1"/>
    <x v="62"/>
    <n v="4050"/>
    <n v="450"/>
  </r>
  <r>
    <x v="387"/>
    <d v="2023-05-07T00:00:00"/>
    <x v="1"/>
    <x v="1"/>
    <x v="8"/>
    <s v="Partnerships"/>
    <s v="Papads"/>
    <x v="0"/>
    <x v="2"/>
    <n v="53100"/>
    <n v="59000"/>
    <n v="5"/>
    <x v="63"/>
    <n v="265500"/>
    <n v="29500"/>
  </r>
  <r>
    <x v="388"/>
    <d v="2023-05-08T00:00:00"/>
    <x v="1"/>
    <x v="1"/>
    <x v="7"/>
    <s v="Partnerships"/>
    <s v="Namkeens"/>
    <x v="0"/>
    <x v="2"/>
    <n v="88200"/>
    <n v="98000"/>
    <n v="7"/>
    <x v="64"/>
    <n v="617400"/>
    <n v="68600"/>
  </r>
  <r>
    <x v="389"/>
    <d v="2023-05-09T00:00:00"/>
    <x v="1"/>
    <x v="1"/>
    <x v="9"/>
    <s v="Partnerships"/>
    <s v="Chips &amp; Wafers "/>
    <x v="0"/>
    <x v="0"/>
    <n v="38250"/>
    <n v="42500"/>
    <n v="4"/>
    <x v="65"/>
    <n v="153000"/>
    <n v="17000"/>
  </r>
  <r>
    <x v="390"/>
    <d v="2023-05-10T00:00:00"/>
    <x v="1"/>
    <x v="1"/>
    <x v="11"/>
    <s v="Partnerships"/>
    <s v="Samosas"/>
    <x v="0"/>
    <x v="0"/>
    <n v="2700"/>
    <n v="3000"/>
    <n v="8"/>
    <x v="66"/>
    <n v="21600"/>
    <n v="2400"/>
  </r>
  <r>
    <x v="391"/>
    <d v="2023-05-11T00:00:00"/>
    <x v="1"/>
    <x v="1"/>
    <x v="0"/>
    <s v="Partnerships"/>
    <s v="Kachoris"/>
    <x v="0"/>
    <x v="0"/>
    <n v="23850"/>
    <n v="26500"/>
    <n v="8"/>
    <x v="67"/>
    <n v="190800"/>
    <n v="21200"/>
  </r>
  <r>
    <x v="392"/>
    <d v="2023-05-12T00:00:00"/>
    <x v="1"/>
    <x v="1"/>
    <x v="8"/>
    <s v="Partnerships"/>
    <s v="Bhujia"/>
    <x v="0"/>
    <x v="1"/>
    <n v="24750"/>
    <n v="27500"/>
    <n v="9"/>
    <x v="68"/>
    <n v="222750"/>
    <n v="24750"/>
  </r>
  <r>
    <x v="393"/>
    <d v="2023-05-13T00:00:00"/>
    <x v="1"/>
    <x v="1"/>
    <x v="21"/>
    <s v="Partnerships"/>
    <s v="Mixes"/>
    <x v="0"/>
    <x v="1"/>
    <n v="44550"/>
    <n v="49500"/>
    <n v="2"/>
    <x v="69"/>
    <n v="89100"/>
    <n v="9900"/>
  </r>
  <r>
    <x v="394"/>
    <d v="2023-05-14T00:00:00"/>
    <x v="1"/>
    <x v="1"/>
    <x v="2"/>
    <s v="Partnerships"/>
    <s v="Papads"/>
    <x v="0"/>
    <x v="1"/>
    <n v="9000"/>
    <n v="10000"/>
    <n v="1"/>
    <x v="70"/>
    <n v="9000"/>
    <n v="1000"/>
  </r>
  <r>
    <x v="395"/>
    <d v="2023-05-15T00:00:00"/>
    <x v="1"/>
    <x v="1"/>
    <x v="8"/>
    <s v="Partnerships"/>
    <s v="Heat-and-Eat Meals"/>
    <x v="1"/>
    <x v="0"/>
    <n v="8640"/>
    <n v="9600"/>
    <n v="22"/>
    <x v="58"/>
    <n v="190080"/>
    <n v="21120"/>
  </r>
  <r>
    <x v="396"/>
    <d v="2023-05-16T00:00:00"/>
    <x v="1"/>
    <x v="1"/>
    <x v="9"/>
    <s v="Partnerships"/>
    <s v="Ready-to-Eat Curries "/>
    <x v="1"/>
    <x v="2"/>
    <n v="9000"/>
    <n v="10000"/>
    <n v="8"/>
    <x v="7"/>
    <n v="72000"/>
    <n v="8000"/>
  </r>
  <r>
    <x v="397"/>
    <d v="2023-05-17T00:00:00"/>
    <x v="1"/>
    <x v="1"/>
    <x v="0"/>
    <s v="Partnerships"/>
    <s v="Frozen Snacks"/>
    <x v="1"/>
    <x v="2"/>
    <n v="3870"/>
    <n v="4300"/>
    <n v="7"/>
    <x v="71"/>
    <n v="27090"/>
    <n v="3010"/>
  </r>
  <r>
    <x v="398"/>
    <d v="2023-05-18T00:00:00"/>
    <x v="1"/>
    <x v="1"/>
    <x v="9"/>
    <s v="Partnerships"/>
    <s v="Traditional Sweets "/>
    <x v="2"/>
    <x v="0"/>
    <n v="8280"/>
    <n v="9200"/>
    <n v="56"/>
    <x v="72"/>
    <n v="463680"/>
    <n v="51520"/>
  </r>
  <r>
    <x v="399"/>
    <d v="2023-05-19T00:00:00"/>
    <x v="1"/>
    <x v="1"/>
    <x v="5"/>
    <s v="Partnerships"/>
    <s v="Dry Sweets "/>
    <x v="2"/>
    <x v="0"/>
    <n v="4950"/>
    <n v="5500"/>
    <n v="10"/>
    <x v="73"/>
    <n v="49500"/>
    <n v="5500"/>
  </r>
  <r>
    <x v="400"/>
    <d v="2023-05-20T00:00:00"/>
    <x v="1"/>
    <x v="1"/>
    <x v="8"/>
    <s v="Partnerships"/>
    <s v="Milk-based Sweets "/>
    <x v="2"/>
    <x v="1"/>
    <n v="3150"/>
    <n v="3500"/>
    <n v="9"/>
    <x v="74"/>
    <n v="28350"/>
    <n v="3150"/>
  </r>
  <r>
    <x v="401"/>
    <d v="2023-05-21T00:00:00"/>
    <x v="1"/>
    <x v="1"/>
    <x v="5"/>
    <s v="Partnerships"/>
    <s v="Syrup-based Sweets"/>
    <x v="2"/>
    <x v="0"/>
    <n v="2700"/>
    <n v="3000"/>
    <n v="27"/>
    <x v="75"/>
    <n v="72900"/>
    <n v="8100"/>
  </r>
  <r>
    <x v="402"/>
    <d v="2023-05-22T00:00:00"/>
    <x v="1"/>
    <x v="1"/>
    <x v="9"/>
    <s v="Partnerships"/>
    <s v="Gift Packs"/>
    <x v="2"/>
    <x v="0"/>
    <n v="4050"/>
    <n v="4500"/>
    <n v="15"/>
    <x v="76"/>
    <n v="60750"/>
    <n v="6750"/>
  </r>
  <r>
    <x v="403"/>
    <d v="2023-05-23T00:00:00"/>
    <x v="1"/>
    <x v="1"/>
    <x v="23"/>
    <s v="Partnerships"/>
    <s v="Traditional Sweets "/>
    <x v="2"/>
    <x v="0"/>
    <n v="8280"/>
    <n v="9200"/>
    <n v="3"/>
    <x v="19"/>
    <n v="24840"/>
    <n v="2760"/>
  </r>
  <r>
    <x v="404"/>
    <d v="2023-05-24T00:00:00"/>
    <x v="1"/>
    <x v="1"/>
    <x v="17"/>
    <s v="Partnerships"/>
    <s v="Dry Sweets "/>
    <x v="2"/>
    <x v="2"/>
    <n v="4950"/>
    <n v="5500"/>
    <n v="9"/>
    <x v="20"/>
    <n v="44550"/>
    <n v="4950"/>
  </r>
  <r>
    <x v="405"/>
    <d v="2022-01-26T00:00:00"/>
    <x v="0"/>
    <x v="9"/>
    <x v="2"/>
    <s v="Partnerships"/>
    <s v="Milk-based Sweets "/>
    <x v="2"/>
    <x v="2"/>
    <n v="3150"/>
    <n v="3500"/>
    <n v="22"/>
    <x v="21"/>
    <n v="69300"/>
    <n v="7700"/>
  </r>
  <r>
    <x v="406"/>
    <d v="2022-01-26T00:00:00"/>
    <x v="0"/>
    <x v="9"/>
    <x v="6"/>
    <s v="Partnerships"/>
    <s v="Syrup-based Sweets"/>
    <x v="2"/>
    <x v="2"/>
    <n v="2700"/>
    <n v="3000"/>
    <n v="16"/>
    <x v="22"/>
    <n v="43200"/>
    <n v="4800"/>
  </r>
  <r>
    <x v="407"/>
    <d v="2022-01-26T00:00:00"/>
    <x v="0"/>
    <x v="9"/>
    <x v="5"/>
    <s v="Partnerships"/>
    <s v="Gift Packs"/>
    <x v="2"/>
    <x v="0"/>
    <n v="4050"/>
    <n v="4500"/>
    <n v="6"/>
    <x v="23"/>
    <n v="24300"/>
    <n v="2700"/>
  </r>
  <r>
    <x v="408"/>
    <d v="2022-01-26T00:00:00"/>
    <x v="0"/>
    <x v="9"/>
    <x v="2"/>
    <s v="Partnerships"/>
    <s v="Gift Packs"/>
    <x v="2"/>
    <x v="0"/>
    <n v="8280"/>
    <n v="9200"/>
    <n v="3"/>
    <x v="19"/>
    <n v="24840"/>
    <n v="2760"/>
  </r>
  <r>
    <x v="409"/>
    <d v="2022-01-26T00:00:00"/>
    <x v="0"/>
    <x v="9"/>
    <x v="10"/>
    <s v="Partnerships"/>
    <s v="Traditional Sweets "/>
    <x v="2"/>
    <x v="0"/>
    <n v="4950"/>
    <n v="5500"/>
    <n v="5"/>
    <x v="77"/>
    <n v="24750"/>
    <n v="2750"/>
  </r>
  <r>
    <x v="410"/>
    <d v="2022-01-26T00:00:00"/>
    <x v="0"/>
    <x v="9"/>
    <x v="2"/>
    <s v="Partnerships"/>
    <s v="Namkeen"/>
    <x v="0"/>
    <x v="0"/>
    <n v="3150"/>
    <n v="3500"/>
    <n v="1"/>
    <x v="78"/>
    <n v="3150"/>
    <n v="350"/>
  </r>
  <r>
    <x v="411"/>
    <d v="2022-01-26T00:00:00"/>
    <x v="0"/>
    <x v="9"/>
    <x v="8"/>
    <s v="Partnerships"/>
    <s v="Chips &amp; Wafers "/>
    <x v="0"/>
    <x v="0"/>
    <n v="2700"/>
    <n v="3000"/>
    <n v="5"/>
    <x v="1"/>
    <n v="13500"/>
    <n v="1500"/>
  </r>
  <r>
    <x v="412"/>
    <d v="2022-01-26T00:00:00"/>
    <x v="0"/>
    <x v="9"/>
    <x v="11"/>
    <s v="Partnerships"/>
    <s v="Samosas"/>
    <x v="0"/>
    <x v="0"/>
    <n v="4050"/>
    <n v="4500"/>
    <n v="7"/>
    <x v="74"/>
    <n v="28350"/>
    <n v="3150"/>
  </r>
  <r>
    <x v="413"/>
    <d v="2022-01-26T00:00:00"/>
    <x v="0"/>
    <x v="9"/>
    <x v="12"/>
    <s v="Partnerships"/>
    <s v="Kachoris"/>
    <x v="0"/>
    <x v="0"/>
    <n v="8280"/>
    <n v="9200"/>
    <n v="4"/>
    <x v="49"/>
    <n v="33120"/>
    <n v="3680"/>
  </r>
  <r>
    <x v="414"/>
    <d v="2022-01-26T00:00:00"/>
    <x v="0"/>
    <x v="9"/>
    <x v="8"/>
    <s v="Partnerships"/>
    <s v="Bhujia"/>
    <x v="0"/>
    <x v="2"/>
    <n v="4950"/>
    <n v="5500"/>
    <n v="8"/>
    <x v="11"/>
    <n v="39600"/>
    <n v="4400"/>
  </r>
  <r>
    <x v="415"/>
    <d v="2022-01-26T00:00:00"/>
    <x v="0"/>
    <x v="9"/>
    <x v="6"/>
    <s v="Partnerships"/>
    <s v="Mixes"/>
    <x v="0"/>
    <x v="2"/>
    <n v="3150"/>
    <n v="3500"/>
    <n v="8"/>
    <x v="50"/>
    <n v="25200"/>
    <n v="2800"/>
  </r>
  <r>
    <x v="416"/>
    <d v="2022-01-26T00:00:00"/>
    <x v="0"/>
    <x v="9"/>
    <x v="1"/>
    <s v="Partnerships"/>
    <s v="Ready-to-Eat Curries "/>
    <x v="1"/>
    <x v="0"/>
    <n v="2700"/>
    <n v="3000"/>
    <n v="9"/>
    <x v="23"/>
    <n v="24300"/>
    <n v="2700"/>
  </r>
  <r>
    <x v="417"/>
    <d v="2022-01-26T00:00:00"/>
    <x v="0"/>
    <x v="9"/>
    <x v="0"/>
    <s v="Partnerships"/>
    <s v="Instant Mixes"/>
    <x v="1"/>
    <x v="0"/>
    <n v="4050"/>
    <n v="4500"/>
    <n v="2"/>
    <x v="45"/>
    <n v="8100"/>
    <n v="900"/>
  </r>
  <r>
    <x v="418"/>
    <d v="2022-01-26T00:00:00"/>
    <x v="0"/>
    <x v="9"/>
    <x v="6"/>
    <s v="Partnerships"/>
    <s v="Frozen Snacks"/>
    <x v="1"/>
    <x v="0"/>
    <n v="24750"/>
    <n v="27500"/>
    <n v="1"/>
    <x v="77"/>
    <n v="24750"/>
    <n v="2750"/>
  </r>
  <r>
    <x v="419"/>
    <d v="2022-01-26T00:00:00"/>
    <x v="0"/>
    <x v="9"/>
    <x v="18"/>
    <s v="Partnerships"/>
    <s v="Parathas"/>
    <x v="1"/>
    <x v="1"/>
    <n v="44550"/>
    <n v="49500"/>
    <n v="22"/>
    <x v="79"/>
    <n v="980100"/>
    <n v="108900"/>
  </r>
  <r>
    <x v="420"/>
    <d v="2022-01-26T00:00:00"/>
    <x v="0"/>
    <x v="9"/>
    <x v="16"/>
    <s v="Partnerships"/>
    <s v="Nut-based Snacks "/>
    <x v="0"/>
    <x v="1"/>
    <n v="9000"/>
    <n v="10000"/>
    <n v="8"/>
    <x v="7"/>
    <n v="72000"/>
    <n v="8000"/>
  </r>
  <r>
    <x v="421"/>
    <d v="2022-01-26T00:00:00"/>
    <x v="0"/>
    <x v="9"/>
    <x v="20"/>
    <s v="Partnerships"/>
    <s v="Papads"/>
    <x v="0"/>
    <x v="0"/>
    <n v="8640"/>
    <n v="9600"/>
    <n v="7"/>
    <x v="48"/>
    <n v="60480"/>
    <n v="6720"/>
  </r>
  <r>
    <x v="422"/>
    <d v="2022-01-26T00:00:00"/>
    <x v="0"/>
    <x v="9"/>
    <x v="2"/>
    <s v="Partnerships"/>
    <s v="Namkeens"/>
    <x v="0"/>
    <x v="2"/>
    <n v="9000"/>
    <n v="10000"/>
    <n v="56"/>
    <x v="80"/>
    <n v="504000"/>
    <n v="56000"/>
  </r>
  <r>
    <x v="423"/>
    <d v="2022-01-26T00:00:00"/>
    <x v="0"/>
    <x v="9"/>
    <x v="12"/>
    <s v="Partnerships"/>
    <s v="Chips &amp; Wafers "/>
    <x v="0"/>
    <x v="2"/>
    <n v="3870"/>
    <n v="4300"/>
    <n v="10"/>
    <x v="81"/>
    <n v="38700"/>
    <n v="4300"/>
  </r>
  <r>
    <x v="424"/>
    <d v="2022-01-26T00:00:00"/>
    <x v="0"/>
    <x v="9"/>
    <x v="12"/>
    <s v="Partnerships"/>
    <s v="Samosas"/>
    <x v="0"/>
    <x v="0"/>
    <n v="45450"/>
    <n v="50500"/>
    <n v="9"/>
    <x v="82"/>
    <n v="409050"/>
    <n v="45450"/>
  </r>
  <r>
    <x v="425"/>
    <d v="2023-06-14T00:00:00"/>
    <x v="1"/>
    <x v="3"/>
    <x v="9"/>
    <s v="Partnerships"/>
    <s v="Kachoris"/>
    <x v="0"/>
    <x v="2"/>
    <n v="18225"/>
    <n v="20250"/>
    <n v="27"/>
    <x v="83"/>
    <n v="492075"/>
    <n v="54675"/>
  </r>
  <r>
    <x v="426"/>
    <d v="2023-06-15T00:00:00"/>
    <x v="1"/>
    <x v="3"/>
    <x v="19"/>
    <s v="Partnerships"/>
    <s v="Bhujia"/>
    <x v="0"/>
    <x v="2"/>
    <n v="1800"/>
    <n v="2000"/>
    <n v="15"/>
    <x v="57"/>
    <n v="27000"/>
    <n v="3000"/>
  </r>
  <r>
    <x v="427"/>
    <d v="2023-06-16T00:00:00"/>
    <x v="1"/>
    <x v="3"/>
    <x v="24"/>
    <s v="Partnerships"/>
    <s v="Mixes"/>
    <x v="0"/>
    <x v="2"/>
    <n v="48600"/>
    <n v="54000"/>
    <n v="3"/>
    <x v="34"/>
    <n v="145800"/>
    <n v="16200"/>
  </r>
  <r>
    <x v="428"/>
    <d v="2023-06-17T00:00:00"/>
    <x v="1"/>
    <x v="3"/>
    <x v="0"/>
    <s v="Partnerships"/>
    <s v="Papads"/>
    <x v="0"/>
    <x v="0"/>
    <n v="72900"/>
    <n v="81000"/>
    <n v="9"/>
    <x v="84"/>
    <n v="656100"/>
    <n v="72900"/>
  </r>
  <r>
    <x v="429"/>
    <d v="2023-06-18T00:00:00"/>
    <x v="1"/>
    <x v="3"/>
    <x v="0"/>
    <s v="Partnerships"/>
    <s v="Heat-and-Eat Meals"/>
    <x v="1"/>
    <x v="0"/>
    <n v="9450"/>
    <n v="10500"/>
    <n v="22"/>
    <x v="85"/>
    <n v="207900"/>
    <n v="23100"/>
  </r>
  <r>
    <x v="430"/>
    <d v="2023-06-19T00:00:00"/>
    <x v="1"/>
    <x v="3"/>
    <x v="2"/>
    <s v="Partnerships"/>
    <s v="Ready-to-Eat Curries "/>
    <x v="1"/>
    <x v="0"/>
    <n v="36000"/>
    <n v="40000"/>
    <n v="16"/>
    <x v="86"/>
    <n v="576000"/>
    <n v="64000"/>
  </r>
  <r>
    <x v="431"/>
    <d v="2023-06-20T00:00:00"/>
    <x v="1"/>
    <x v="3"/>
    <x v="6"/>
    <s v="Partnerships"/>
    <s v="Frozen Snacks"/>
    <x v="1"/>
    <x v="0"/>
    <n v="24300"/>
    <n v="27000"/>
    <n v="6"/>
    <x v="34"/>
    <n v="145800"/>
    <n v="16200"/>
  </r>
  <r>
    <x v="432"/>
    <d v="2023-06-21T00:00:00"/>
    <x v="1"/>
    <x v="3"/>
    <x v="16"/>
    <s v="Partnerships"/>
    <s v="Traditional Sweets "/>
    <x v="2"/>
    <x v="0"/>
    <n v="9180"/>
    <n v="10200"/>
    <n v="3"/>
    <x v="41"/>
    <n v="27540"/>
    <n v="3060"/>
  </r>
  <r>
    <x v="433"/>
    <d v="2022-03-26T00:00:00"/>
    <x v="0"/>
    <x v="11"/>
    <x v="24"/>
    <s v="Partnerships"/>
    <s v="Dry Sweets "/>
    <x v="2"/>
    <x v="0"/>
    <n v="8640"/>
    <n v="9600"/>
    <n v="5"/>
    <x v="22"/>
    <n v="43200"/>
    <n v="4800"/>
  </r>
  <r>
    <x v="434"/>
    <d v="2022-03-26T00:00:00"/>
    <x v="0"/>
    <x v="11"/>
    <x v="9"/>
    <s v="Partnerships"/>
    <s v="Milk-based Sweets "/>
    <x v="2"/>
    <x v="0"/>
    <n v="8280"/>
    <n v="9200"/>
    <n v="1"/>
    <x v="87"/>
    <n v="8280"/>
    <n v="920"/>
  </r>
  <r>
    <x v="435"/>
    <d v="2022-03-26T00:00:00"/>
    <x v="0"/>
    <x v="11"/>
    <x v="16"/>
    <s v="Partnerships"/>
    <s v="Syrup-based Sweets"/>
    <x v="2"/>
    <x v="2"/>
    <n v="4950"/>
    <n v="5500"/>
    <n v="5"/>
    <x v="77"/>
    <n v="24750"/>
    <n v="2750"/>
  </r>
  <r>
    <x v="436"/>
    <d v="2022-03-26T00:00:00"/>
    <x v="0"/>
    <x v="11"/>
    <x v="19"/>
    <s v="Partnerships"/>
    <s v="Gift Packs"/>
    <x v="2"/>
    <x v="2"/>
    <n v="3150"/>
    <n v="3500"/>
    <n v="7"/>
    <x v="88"/>
    <n v="22050"/>
    <n v="2450"/>
  </r>
  <r>
    <x v="437"/>
    <d v="2022-03-26T00:00:00"/>
    <x v="0"/>
    <x v="11"/>
    <x v="8"/>
    <s v="Partnerships"/>
    <s v="Traditional Sweets "/>
    <x v="2"/>
    <x v="0"/>
    <n v="2700"/>
    <n v="3000"/>
    <n v="4"/>
    <x v="89"/>
    <n v="10800"/>
    <n v="1200"/>
  </r>
  <r>
    <x v="438"/>
    <d v="2023-06-27T00:00:00"/>
    <x v="1"/>
    <x v="3"/>
    <x v="8"/>
    <s v="Partnerships"/>
    <s v="Dry Sweets "/>
    <x v="2"/>
    <x v="0"/>
    <n v="4050"/>
    <n v="4500"/>
    <n v="8"/>
    <x v="90"/>
    <n v="32400"/>
    <n v="3600"/>
  </r>
  <r>
    <x v="439"/>
    <d v="2023-06-28T00:00:00"/>
    <x v="1"/>
    <x v="3"/>
    <x v="9"/>
    <s v="Partnerships"/>
    <s v="Milk-based Sweets "/>
    <x v="2"/>
    <x v="0"/>
    <n v="53100"/>
    <n v="59000"/>
    <n v="8"/>
    <x v="91"/>
    <n v="424800"/>
    <n v="47200"/>
  </r>
  <r>
    <x v="440"/>
    <d v="2023-06-29T00:00:00"/>
    <x v="1"/>
    <x v="3"/>
    <x v="8"/>
    <s v="Partnerships"/>
    <s v="Syrup-based Sweets"/>
    <x v="2"/>
    <x v="1"/>
    <n v="88200"/>
    <n v="98000"/>
    <n v="9"/>
    <x v="92"/>
    <n v="793800"/>
    <n v="88200"/>
  </r>
  <r>
    <x v="441"/>
    <d v="2023-06-30T00:00:00"/>
    <x v="1"/>
    <x v="3"/>
    <x v="0"/>
    <s v="Partnerships"/>
    <s v="Gift Packs"/>
    <x v="2"/>
    <x v="0"/>
    <n v="38250"/>
    <n v="42500"/>
    <n v="2"/>
    <x v="93"/>
    <n v="76500"/>
    <n v="8500"/>
  </r>
  <r>
    <x v="442"/>
    <d v="2022-01-26T00:00:00"/>
    <x v="0"/>
    <x v="9"/>
    <x v="5"/>
    <s v="Partnerships"/>
    <s v="Gift Packs"/>
    <x v="2"/>
    <x v="1"/>
    <n v="2700"/>
    <n v="3000"/>
    <n v="1"/>
    <x v="94"/>
    <n v="2700"/>
    <n v="300"/>
  </r>
  <r>
    <x v="443"/>
    <d v="2023-07-02T00:00:00"/>
    <x v="1"/>
    <x v="4"/>
    <x v="0"/>
    <s v="Partnerships"/>
    <s v="Traditional Sweets "/>
    <x v="2"/>
    <x v="2"/>
    <n v="23850"/>
    <n v="26500"/>
    <n v="22"/>
    <x v="95"/>
    <n v="524700"/>
    <n v="58300"/>
  </r>
  <r>
    <x v="444"/>
    <d v="2023-07-03T00:00:00"/>
    <x v="1"/>
    <x v="4"/>
    <x v="5"/>
    <s v="Partnerships"/>
    <s v="Namkeen"/>
    <x v="0"/>
    <x v="2"/>
    <n v="24750"/>
    <n v="27500"/>
    <n v="8"/>
    <x v="96"/>
    <n v="198000"/>
    <n v="22000"/>
  </r>
  <r>
    <x v="445"/>
    <d v="2023-07-04T00:00:00"/>
    <x v="1"/>
    <x v="4"/>
    <x v="13"/>
    <s v="Partnerships"/>
    <s v="Chips &amp; Wafers "/>
    <x v="0"/>
    <x v="2"/>
    <n v="44550"/>
    <n v="49500"/>
    <n v="7"/>
    <x v="4"/>
    <n v="311850"/>
    <n v="34650"/>
  </r>
  <r>
    <x v="446"/>
    <d v="2023-07-05T00:00:00"/>
    <x v="1"/>
    <x v="4"/>
    <x v="8"/>
    <s v="Partnerships"/>
    <s v="Samosas"/>
    <x v="0"/>
    <x v="0"/>
    <n v="9000"/>
    <n v="10000"/>
    <n v="56"/>
    <x v="80"/>
    <n v="504000"/>
    <n v="56000"/>
  </r>
  <r>
    <x v="447"/>
    <d v="2023-07-06T00:00:00"/>
    <x v="1"/>
    <x v="4"/>
    <x v="8"/>
    <s v="Online Delivery"/>
    <s v="Kachoris"/>
    <x v="0"/>
    <x v="0"/>
    <n v="8640"/>
    <n v="9600"/>
    <n v="10"/>
    <x v="97"/>
    <n v="86400"/>
    <n v="9600"/>
  </r>
  <r>
    <x v="448"/>
    <d v="2023-07-07T00:00:00"/>
    <x v="1"/>
    <x v="4"/>
    <x v="12"/>
    <s v="Partnerships"/>
    <s v="Bhujia"/>
    <x v="0"/>
    <x v="1"/>
    <n v="9000"/>
    <n v="10000"/>
    <n v="9"/>
    <x v="98"/>
    <n v="81000"/>
    <n v="9000"/>
  </r>
  <r>
    <x v="449"/>
    <d v="2022-03-26T00:00:00"/>
    <x v="0"/>
    <x v="11"/>
    <x v="2"/>
    <s v="Physical Store"/>
    <s v="Mixes"/>
    <x v="0"/>
    <x v="0"/>
    <n v="3870"/>
    <n v="4300"/>
    <n v="27"/>
    <x v="99"/>
    <n v="104490"/>
    <n v="11610"/>
  </r>
  <r>
    <x v="450"/>
    <d v="2022-03-26T00:00:00"/>
    <x v="0"/>
    <x v="11"/>
    <x v="13"/>
    <s v="Online Delivery"/>
    <s v="Ready-to-Eat Curries "/>
    <x v="1"/>
    <x v="0"/>
    <n v="45450"/>
    <n v="50500"/>
    <n v="15"/>
    <x v="100"/>
    <n v="681750"/>
    <n v="75750"/>
  </r>
  <r>
    <x v="451"/>
    <d v="2022-03-26T00:00:00"/>
    <x v="0"/>
    <x v="11"/>
    <x v="18"/>
    <s v="Partnerships"/>
    <s v="Instant Mixes"/>
    <x v="1"/>
    <x v="0"/>
    <n v="18225"/>
    <n v="20250"/>
    <n v="3"/>
    <x v="101"/>
    <n v="54675"/>
    <n v="6075"/>
  </r>
  <r>
    <x v="452"/>
    <d v="2022-03-26T00:00:00"/>
    <x v="0"/>
    <x v="11"/>
    <x v="17"/>
    <s v="Physical Store"/>
    <s v="Frozen Snacks"/>
    <x v="1"/>
    <x v="0"/>
    <n v="1800"/>
    <n v="2000"/>
    <n v="9"/>
    <x v="102"/>
    <n v="16200"/>
    <n v="1800"/>
  </r>
  <r>
    <x v="453"/>
    <d v="2022-03-26T00:00:00"/>
    <x v="0"/>
    <x v="11"/>
    <x v="10"/>
    <s v="Online Delivery"/>
    <s v="Parathas"/>
    <x v="1"/>
    <x v="2"/>
    <n v="48600"/>
    <n v="54000"/>
    <n v="22"/>
    <x v="103"/>
    <n v="1069200"/>
    <n v="118800"/>
  </r>
  <r>
    <x v="454"/>
    <d v="2022-03-26T00:00:00"/>
    <x v="0"/>
    <x v="11"/>
    <x v="8"/>
    <s v="Partnerships"/>
    <s v="Nut-based Snacks "/>
    <x v="0"/>
    <x v="2"/>
    <n v="72900"/>
    <n v="81000"/>
    <n v="16"/>
    <x v="104"/>
    <n v="1166400"/>
    <n v="129600"/>
  </r>
  <r>
    <x v="455"/>
    <d v="2023-07-14T00:00:00"/>
    <x v="1"/>
    <x v="4"/>
    <x v="19"/>
    <s v="Physical Store"/>
    <s v="Papads"/>
    <x v="0"/>
    <x v="0"/>
    <n v="9450"/>
    <n v="10500"/>
    <n v="6"/>
    <x v="105"/>
    <n v="56700"/>
    <n v="6300"/>
  </r>
  <r>
    <x v="456"/>
    <d v="2023-07-15T00:00:00"/>
    <x v="1"/>
    <x v="4"/>
    <x v="5"/>
    <s v="Online Delivery"/>
    <s v="Namkeens"/>
    <x v="0"/>
    <x v="0"/>
    <n v="36000"/>
    <n v="40000"/>
    <n v="3"/>
    <x v="106"/>
    <n v="108000"/>
    <n v="12000"/>
  </r>
  <r>
    <x v="457"/>
    <d v="2023-07-16T00:00:00"/>
    <x v="1"/>
    <x v="4"/>
    <x v="12"/>
    <s v="Partnerships"/>
    <s v="Chips &amp; Wafers "/>
    <x v="0"/>
    <x v="0"/>
    <n v="24300"/>
    <n v="27000"/>
    <n v="5"/>
    <x v="107"/>
    <n v="121500"/>
    <n v="13500"/>
  </r>
  <r>
    <x v="458"/>
    <d v="2023-07-17T00:00:00"/>
    <x v="1"/>
    <x v="4"/>
    <x v="18"/>
    <s v="Physical Store"/>
    <s v="Samosas"/>
    <x v="0"/>
    <x v="0"/>
    <n v="9180"/>
    <n v="10200"/>
    <n v="1"/>
    <x v="108"/>
    <n v="9180"/>
    <n v="1020"/>
  </r>
  <r>
    <x v="459"/>
    <d v="2023-07-18T00:00:00"/>
    <x v="1"/>
    <x v="4"/>
    <x v="8"/>
    <s v="Online Delivery"/>
    <s v="Kachoris"/>
    <x v="0"/>
    <x v="0"/>
    <n v="8640"/>
    <n v="9600"/>
    <n v="5"/>
    <x v="22"/>
    <n v="43200"/>
    <n v="4800"/>
  </r>
  <r>
    <x v="460"/>
    <d v="2023-07-19T00:00:00"/>
    <x v="1"/>
    <x v="4"/>
    <x v="6"/>
    <s v="Partnerships"/>
    <s v="Bhujia"/>
    <x v="0"/>
    <x v="0"/>
    <n v="8280"/>
    <n v="9200"/>
    <n v="7"/>
    <x v="109"/>
    <n v="57960"/>
    <n v="6440"/>
  </r>
  <r>
    <x v="461"/>
    <d v="2023-07-20T00:00:00"/>
    <x v="1"/>
    <x v="4"/>
    <x v="6"/>
    <s v="Physical Store"/>
    <s v="Mixes"/>
    <x v="0"/>
    <x v="2"/>
    <n v="4950"/>
    <n v="5500"/>
    <n v="4"/>
    <x v="110"/>
    <n v="19800"/>
    <n v="2200"/>
  </r>
  <r>
    <x v="462"/>
    <d v="2023-07-21T00:00:00"/>
    <x v="1"/>
    <x v="4"/>
    <x v="8"/>
    <s v="Online Delivery"/>
    <s v="Papads"/>
    <x v="0"/>
    <x v="2"/>
    <n v="3150"/>
    <n v="3500"/>
    <n v="8"/>
    <x v="50"/>
    <n v="25200"/>
    <n v="2800"/>
  </r>
  <r>
    <x v="463"/>
    <d v="2023-07-22T00:00:00"/>
    <x v="1"/>
    <x v="4"/>
    <x v="8"/>
    <s v="Online Delivery"/>
    <s v="Heat-and-Eat Meals"/>
    <x v="1"/>
    <x v="2"/>
    <n v="2700"/>
    <n v="3000"/>
    <n v="8"/>
    <x v="66"/>
    <n v="21600"/>
    <n v="2400"/>
  </r>
  <r>
    <x v="464"/>
    <d v="2023-07-23T00:00:00"/>
    <x v="1"/>
    <x v="4"/>
    <x v="9"/>
    <s v="Online Delivery"/>
    <s v="Ready-to-Eat Curries "/>
    <x v="1"/>
    <x v="0"/>
    <n v="4050"/>
    <n v="4500"/>
    <n v="9"/>
    <x v="111"/>
    <n v="36450"/>
    <n v="4050"/>
  </r>
  <r>
    <x v="465"/>
    <d v="2023-07-24T00:00:00"/>
    <x v="1"/>
    <x v="4"/>
    <x v="3"/>
    <s v="Online Delivery"/>
    <s v="Frozen Snacks"/>
    <x v="1"/>
    <x v="0"/>
    <n v="53100"/>
    <n v="59000"/>
    <n v="2"/>
    <x v="112"/>
    <n v="106200"/>
    <n v="11800"/>
  </r>
  <r>
    <x v="466"/>
    <d v="2023-07-25T00:00:00"/>
    <x v="1"/>
    <x v="4"/>
    <x v="10"/>
    <s v="Online Delivery"/>
    <s v="Traditional Sweets "/>
    <x v="2"/>
    <x v="0"/>
    <n v="88200"/>
    <n v="98000"/>
    <n v="1"/>
    <x v="113"/>
    <n v="88200"/>
    <n v="9800"/>
  </r>
  <r>
    <x v="467"/>
    <d v="2022-03-26T00:00:00"/>
    <x v="0"/>
    <x v="11"/>
    <x v="0"/>
    <s v="Online Delivery"/>
    <s v="Dry Sweets "/>
    <x v="2"/>
    <x v="1"/>
    <n v="8640"/>
    <n v="9600"/>
    <n v="22"/>
    <x v="58"/>
    <n v="190080"/>
    <n v="21120"/>
  </r>
  <r>
    <x v="468"/>
    <d v="2022-03-26T00:00:00"/>
    <x v="0"/>
    <x v="11"/>
    <x v="3"/>
    <s v="Online Delivery"/>
    <s v="Milk-based Sweets "/>
    <x v="2"/>
    <x v="1"/>
    <n v="8280"/>
    <n v="9200"/>
    <n v="8"/>
    <x v="114"/>
    <n v="66240"/>
    <n v="7360"/>
  </r>
  <r>
    <x v="469"/>
    <d v="2022-03-26T00:00:00"/>
    <x v="0"/>
    <x v="11"/>
    <x v="7"/>
    <s v="Online Delivery"/>
    <s v="Syrup-based Sweets"/>
    <x v="2"/>
    <x v="1"/>
    <n v="4950"/>
    <n v="5500"/>
    <n v="7"/>
    <x v="115"/>
    <n v="34650"/>
    <n v="3850"/>
  </r>
  <r>
    <x v="470"/>
    <d v="2022-03-26T00:00:00"/>
    <x v="0"/>
    <x v="11"/>
    <x v="27"/>
    <s v="Online Delivery"/>
    <s v="Gift Packs"/>
    <x v="2"/>
    <x v="0"/>
    <n v="3150"/>
    <n v="3500"/>
    <n v="56"/>
    <x v="116"/>
    <n v="176400"/>
    <n v="19600"/>
  </r>
  <r>
    <x v="471"/>
    <d v="2022-03-26T00:00:00"/>
    <x v="0"/>
    <x v="11"/>
    <x v="5"/>
    <s v="Online Delivery"/>
    <s v="Traditional Sweets "/>
    <x v="2"/>
    <x v="2"/>
    <n v="2700"/>
    <n v="3000"/>
    <n v="10"/>
    <x v="57"/>
    <n v="27000"/>
    <n v="3000"/>
  </r>
  <r>
    <x v="472"/>
    <d v="2022-03-26T00:00:00"/>
    <x v="0"/>
    <x v="11"/>
    <x v="2"/>
    <s v="Online Delivery"/>
    <s v="Dry Sweets "/>
    <x v="2"/>
    <x v="2"/>
    <n v="4050"/>
    <n v="4500"/>
    <n v="9"/>
    <x v="111"/>
    <n v="36450"/>
    <n v="4050"/>
  </r>
  <r>
    <x v="473"/>
    <d v="2022-03-26T00:00:00"/>
    <x v="0"/>
    <x v="11"/>
    <x v="17"/>
    <s v="Online Delivery"/>
    <s v="Milk-based Sweets "/>
    <x v="2"/>
    <x v="0"/>
    <n v="53100"/>
    <n v="59000"/>
    <n v="27"/>
    <x v="117"/>
    <n v="1433700"/>
    <n v="159300"/>
  </r>
  <r>
    <x v="474"/>
    <d v="2022-03-26T00:00:00"/>
    <x v="0"/>
    <x v="11"/>
    <x v="2"/>
    <s v="Online Delivery"/>
    <s v="Syrup-based Sweets"/>
    <x v="2"/>
    <x v="0"/>
    <n v="88200"/>
    <n v="98000"/>
    <n v="15"/>
    <x v="118"/>
    <n v="1323000"/>
    <n v="147000"/>
  </r>
  <r>
    <x v="475"/>
    <d v="2022-03-26T00:00:00"/>
    <x v="0"/>
    <x v="11"/>
    <x v="18"/>
    <s v="Online Delivery"/>
    <s v="Gift Packs"/>
    <x v="2"/>
    <x v="1"/>
    <n v="38250"/>
    <n v="42500"/>
    <n v="3"/>
    <x v="0"/>
    <n v="114750"/>
    <n v="12750"/>
  </r>
  <r>
    <x v="476"/>
    <d v="2022-03-26T00:00:00"/>
    <x v="0"/>
    <x v="11"/>
    <x v="8"/>
    <s v="Online Delivery"/>
    <s v="Gift Packs"/>
    <x v="2"/>
    <x v="0"/>
    <n v="2700"/>
    <n v="3000"/>
    <n v="9"/>
    <x v="23"/>
    <n v="24300"/>
    <n v="2700"/>
  </r>
  <r>
    <x v="477"/>
    <d v="2022-03-26T00:00:00"/>
    <x v="0"/>
    <x v="11"/>
    <x v="5"/>
    <s v="Online Delivery"/>
    <s v="Traditional Sweets "/>
    <x v="2"/>
    <x v="0"/>
    <n v="23850"/>
    <n v="26500"/>
    <n v="22"/>
    <x v="95"/>
    <n v="524700"/>
    <n v="58300"/>
  </r>
  <r>
    <x v="478"/>
    <d v="2022-03-26T00:00:00"/>
    <x v="0"/>
    <x v="11"/>
    <x v="8"/>
    <s v="Online Delivery"/>
    <s v="Ready-to-Eat Curries "/>
    <x v="1"/>
    <x v="0"/>
    <n v="24750"/>
    <n v="27500"/>
    <n v="16"/>
    <x v="119"/>
    <n v="396000"/>
    <n v="44000"/>
  </r>
  <r>
    <x v="479"/>
    <d v="2022-03-26T00:00:00"/>
    <x v="0"/>
    <x v="11"/>
    <x v="8"/>
    <s v="Online Delivery"/>
    <s v="Instant Mixes"/>
    <x v="1"/>
    <x v="2"/>
    <n v="44550"/>
    <n v="49500"/>
    <n v="6"/>
    <x v="120"/>
    <n v="267300"/>
    <n v="29700"/>
  </r>
  <r>
    <x v="480"/>
    <d v="2022-03-26T00:00:00"/>
    <x v="0"/>
    <x v="11"/>
    <x v="19"/>
    <s v="Online Delivery"/>
    <s v="Frozen Snacks"/>
    <x v="1"/>
    <x v="2"/>
    <n v="9000"/>
    <n v="10000"/>
    <n v="3"/>
    <x v="57"/>
    <n v="27000"/>
    <n v="3000"/>
  </r>
  <r>
    <x v="481"/>
    <d v="2023-08-09T00:00:00"/>
    <x v="1"/>
    <x v="5"/>
    <x v="15"/>
    <s v="Online Delivery"/>
    <s v="Parathas"/>
    <x v="1"/>
    <x v="2"/>
    <n v="8640"/>
    <n v="9600"/>
    <n v="5"/>
    <x v="22"/>
    <n v="43200"/>
    <n v="4800"/>
  </r>
  <r>
    <x v="482"/>
    <d v="2023-08-10T00:00:00"/>
    <x v="1"/>
    <x v="5"/>
    <x v="5"/>
    <s v="Online Delivery"/>
    <s v="Heat-and-Eat Meals"/>
    <x v="1"/>
    <x v="0"/>
    <n v="9000"/>
    <n v="10000"/>
    <n v="1"/>
    <x v="70"/>
    <n v="9000"/>
    <n v="1000"/>
  </r>
  <r>
    <x v="483"/>
    <d v="2023-10-11T00:00:00"/>
    <x v="1"/>
    <x v="2"/>
    <x v="3"/>
    <s v="Online Delivery"/>
    <s v="Ready-to-Eat Curries "/>
    <x v="1"/>
    <x v="0"/>
    <n v="3870"/>
    <n v="4300"/>
    <n v="5"/>
    <x v="121"/>
    <n v="19350"/>
    <n v="2150"/>
  </r>
  <r>
    <x v="484"/>
    <d v="2023-10-11T00:00:00"/>
    <x v="1"/>
    <x v="2"/>
    <x v="9"/>
    <s v="Online Delivery"/>
    <s v="Frozen Snacks"/>
    <x v="1"/>
    <x v="0"/>
    <n v="8640"/>
    <n v="9600"/>
    <n v="7"/>
    <x v="48"/>
    <n v="60480"/>
    <n v="6720"/>
  </r>
  <r>
    <x v="485"/>
    <d v="2023-10-11T00:00:00"/>
    <x v="1"/>
    <x v="2"/>
    <x v="2"/>
    <s v="Online Delivery"/>
    <s v="Ready-to-Eat Curries "/>
    <x v="1"/>
    <x v="0"/>
    <n v="8280"/>
    <n v="9200"/>
    <n v="4"/>
    <x v="49"/>
    <n v="33120"/>
    <n v="3680"/>
  </r>
  <r>
    <x v="486"/>
    <d v="2023-10-11T00:00:00"/>
    <x v="1"/>
    <x v="2"/>
    <x v="20"/>
    <s v="Online Delivery"/>
    <s v="Instant Mixes"/>
    <x v="1"/>
    <x v="0"/>
    <n v="4950"/>
    <n v="5500"/>
    <n v="8"/>
    <x v="11"/>
    <n v="39600"/>
    <n v="4400"/>
  </r>
  <r>
    <x v="487"/>
    <d v="2023-10-11T00:00:00"/>
    <x v="1"/>
    <x v="2"/>
    <x v="8"/>
    <s v="Online Delivery"/>
    <s v="Frozen Snacks"/>
    <x v="1"/>
    <x v="0"/>
    <n v="3150"/>
    <n v="3500"/>
    <n v="8"/>
    <x v="50"/>
    <n v="25200"/>
    <n v="2800"/>
  </r>
  <r>
    <x v="488"/>
    <d v="2023-10-11T00:00:00"/>
    <x v="1"/>
    <x v="2"/>
    <x v="2"/>
    <s v="Online Delivery"/>
    <s v="Parathas"/>
    <x v="1"/>
    <x v="0"/>
    <n v="2700"/>
    <n v="3000"/>
    <n v="9"/>
    <x v="23"/>
    <n v="24300"/>
    <n v="2700"/>
  </r>
  <r>
    <x v="489"/>
    <d v="2023-10-11T00:00:00"/>
    <x v="1"/>
    <x v="2"/>
    <x v="0"/>
    <s v="Online Delivery"/>
    <s v="Heat-and-Eat Meals"/>
    <x v="1"/>
    <x v="2"/>
    <n v="4050"/>
    <n v="4500"/>
    <n v="2"/>
    <x v="45"/>
    <n v="8100"/>
    <n v="900"/>
  </r>
  <r>
    <x v="490"/>
    <d v="2023-10-11T00:00:00"/>
    <x v="1"/>
    <x v="2"/>
    <x v="8"/>
    <s v="Online Delivery"/>
    <s v="Ready-to-Eat Curries "/>
    <x v="1"/>
    <x v="2"/>
    <n v="53100"/>
    <n v="59000"/>
    <n v="1"/>
    <x v="47"/>
    <n v="53100"/>
    <n v="5900"/>
  </r>
  <r>
    <x v="491"/>
    <d v="2023-08-19T00:00:00"/>
    <x v="1"/>
    <x v="5"/>
    <x v="2"/>
    <s v="Online Delivery"/>
    <s v="Frozen Snacks"/>
    <x v="1"/>
    <x v="0"/>
    <n v="88200"/>
    <n v="98000"/>
    <n v="22"/>
    <x v="51"/>
    <n v="1940400"/>
    <n v="215600"/>
  </r>
  <r>
    <x v="492"/>
    <d v="2023-08-20T00:00:00"/>
    <x v="1"/>
    <x v="5"/>
    <x v="6"/>
    <s v="Online Delivery"/>
    <s v="Traditional Sweets "/>
    <x v="2"/>
    <x v="0"/>
    <n v="38250"/>
    <n v="42500"/>
    <n v="8"/>
    <x v="52"/>
    <n v="306000"/>
    <n v="34000"/>
  </r>
  <r>
    <x v="493"/>
    <d v="2023-10-11T00:00:00"/>
    <x v="1"/>
    <x v="2"/>
    <x v="5"/>
    <s v="Online Delivery"/>
    <s v="Dry Sweets "/>
    <x v="2"/>
    <x v="0"/>
    <n v="2700"/>
    <n v="3000"/>
    <n v="7"/>
    <x v="44"/>
    <n v="18900"/>
    <n v="2100"/>
  </r>
  <r>
    <x v="494"/>
    <d v="2023-10-11T00:00:00"/>
    <x v="1"/>
    <x v="2"/>
    <x v="15"/>
    <s v="Online Delivery"/>
    <s v="Milk-based Sweets "/>
    <x v="2"/>
    <x v="1"/>
    <n v="23850"/>
    <n v="26500"/>
    <n v="56"/>
    <x v="53"/>
    <n v="1335600"/>
    <n v="148400"/>
  </r>
  <r>
    <x v="495"/>
    <d v="2023-10-11T00:00:00"/>
    <x v="1"/>
    <x v="2"/>
    <x v="12"/>
    <s v="Online Delivery"/>
    <s v="Syrup-based Sweets"/>
    <x v="2"/>
    <x v="1"/>
    <n v="24750"/>
    <n v="27500"/>
    <n v="10"/>
    <x v="54"/>
    <n v="247500"/>
    <n v="27500"/>
  </r>
  <r>
    <x v="496"/>
    <d v="2023-10-11T00:00:00"/>
    <x v="1"/>
    <x v="2"/>
    <x v="19"/>
    <s v="Online Delivery"/>
    <s v="Gift Packs"/>
    <x v="2"/>
    <x v="0"/>
    <n v="44550"/>
    <n v="49500"/>
    <n v="9"/>
    <x v="55"/>
    <n v="400950"/>
    <n v="44550"/>
  </r>
  <r>
    <x v="497"/>
    <d v="2023-08-25T00:00:00"/>
    <x v="1"/>
    <x v="5"/>
    <x v="8"/>
    <s v="Online Delivery"/>
    <s v="Traditional Sweets "/>
    <x v="2"/>
    <x v="2"/>
    <n v="9000"/>
    <n v="10000"/>
    <n v="27"/>
    <x v="56"/>
    <n v="243000"/>
    <n v="27000"/>
  </r>
  <r>
    <x v="498"/>
    <d v="2023-08-26T00:00:00"/>
    <x v="1"/>
    <x v="5"/>
    <x v="18"/>
    <s v="Online Delivery"/>
    <s v="Dry Sweets "/>
    <x v="2"/>
    <x v="2"/>
    <n v="8640"/>
    <n v="9600"/>
    <n v="15"/>
    <x v="18"/>
    <n v="129600"/>
    <n v="14400"/>
  </r>
  <r>
    <x v="499"/>
    <d v="2023-08-27T00:00:00"/>
    <x v="1"/>
    <x v="5"/>
    <x v="20"/>
    <s v="Online Delivery"/>
    <s v="Milk-based Sweets "/>
    <x v="2"/>
    <x v="0"/>
    <n v="9000"/>
    <n v="10000"/>
    <n v="3"/>
    <x v="57"/>
    <n v="27000"/>
    <n v="3000"/>
  </r>
  <r>
    <x v="500"/>
    <d v="2023-08-28T00:00:00"/>
    <x v="1"/>
    <x v="5"/>
    <x v="18"/>
    <s v="Online Delivery"/>
    <s v="Syrup-based Sweets"/>
    <x v="2"/>
    <x v="2"/>
    <n v="3870"/>
    <n v="4300"/>
    <n v="9"/>
    <x v="8"/>
    <n v="34830"/>
    <n v="3870"/>
  </r>
  <r>
    <x v="501"/>
    <d v="2023-08-29T00:00:00"/>
    <x v="1"/>
    <x v="5"/>
    <x v="2"/>
    <s v="Online Delivery"/>
    <s v="Gift Packs"/>
    <x v="2"/>
    <x v="2"/>
    <n v="8280"/>
    <n v="9200"/>
    <n v="22"/>
    <x v="42"/>
    <n v="182160"/>
    <n v="20240"/>
  </r>
  <r>
    <x v="502"/>
    <d v="2023-08-30T00:00:00"/>
    <x v="1"/>
    <x v="5"/>
    <x v="0"/>
    <s v="Online Delivery"/>
    <s v="Gift Packs"/>
    <x v="2"/>
    <x v="2"/>
    <n v="4950"/>
    <n v="5500"/>
    <n v="16"/>
    <x v="43"/>
    <n v="79200"/>
    <n v="8800"/>
  </r>
  <r>
    <x v="503"/>
    <d v="2023-08-31T00:00:00"/>
    <x v="1"/>
    <x v="5"/>
    <x v="2"/>
    <s v="Physical Store"/>
    <s v="Traditional Sweets "/>
    <x v="2"/>
    <x v="0"/>
    <n v="3150"/>
    <n v="3500"/>
    <n v="6"/>
    <x v="44"/>
    <n v="18900"/>
    <n v="2100"/>
  </r>
  <r>
    <x v="504"/>
    <d v="2023-09-01T00:00:00"/>
    <x v="1"/>
    <x v="6"/>
    <x v="5"/>
    <s v="Online Delivery"/>
    <s v="Ready-to-Eat Curries "/>
    <x v="1"/>
    <x v="0"/>
    <n v="2700"/>
    <n v="3000"/>
    <n v="3"/>
    <x v="45"/>
    <n v="8100"/>
    <n v="900"/>
  </r>
  <r>
    <x v="505"/>
    <d v="2023-09-02T00:00:00"/>
    <x v="1"/>
    <x v="6"/>
    <x v="18"/>
    <s v="Partnerships"/>
    <s v="Instant Mixes"/>
    <x v="1"/>
    <x v="0"/>
    <n v="4050"/>
    <n v="4500"/>
    <n v="5"/>
    <x v="46"/>
    <n v="20250"/>
    <n v="2250"/>
  </r>
  <r>
    <x v="506"/>
    <d v="2023-09-03T00:00:00"/>
    <x v="1"/>
    <x v="6"/>
    <x v="8"/>
    <s v="Physical Store"/>
    <s v="Frozen Snacks"/>
    <x v="1"/>
    <x v="0"/>
    <n v="8280"/>
    <n v="9200"/>
    <n v="1"/>
    <x v="87"/>
    <n v="8280"/>
    <n v="920"/>
  </r>
  <r>
    <x v="507"/>
    <d v="2023-09-04T00:00:00"/>
    <x v="1"/>
    <x v="6"/>
    <x v="6"/>
    <s v="Online Delivery"/>
    <s v="Parathas"/>
    <x v="1"/>
    <x v="0"/>
    <n v="4950"/>
    <n v="5500"/>
    <n v="5"/>
    <x v="77"/>
    <n v="24750"/>
    <n v="2750"/>
  </r>
  <r>
    <x v="508"/>
    <d v="2023-09-05T00:00:00"/>
    <x v="1"/>
    <x v="6"/>
    <x v="17"/>
    <s v="Partnerships"/>
    <s v="Heat-and-Eat Meals"/>
    <x v="1"/>
    <x v="0"/>
    <n v="3150"/>
    <n v="3500"/>
    <n v="7"/>
    <x v="88"/>
    <n v="22050"/>
    <n v="2450"/>
  </r>
  <r>
    <x v="509"/>
    <d v="2023-09-06T00:00:00"/>
    <x v="1"/>
    <x v="6"/>
    <x v="3"/>
    <s v="Physical Store"/>
    <s v="Ready-to-Eat Curries "/>
    <x v="1"/>
    <x v="0"/>
    <n v="2700"/>
    <n v="3000"/>
    <n v="4"/>
    <x v="89"/>
    <n v="10800"/>
    <n v="1200"/>
  </r>
  <r>
    <x v="510"/>
    <d v="2023-09-07T00:00:00"/>
    <x v="1"/>
    <x v="6"/>
    <x v="18"/>
    <s v="Online Delivery"/>
    <s v="Frozen Snacks"/>
    <x v="1"/>
    <x v="2"/>
    <n v="4050"/>
    <n v="4500"/>
    <n v="8"/>
    <x v="90"/>
    <n v="32400"/>
    <n v="3600"/>
  </r>
  <r>
    <x v="511"/>
    <d v="2023-09-08T00:00:00"/>
    <x v="1"/>
    <x v="6"/>
    <x v="3"/>
    <s v="Partnerships"/>
    <s v="Ready-to-Eat Curries "/>
    <x v="1"/>
    <x v="2"/>
    <n v="8280"/>
    <n v="9200"/>
    <n v="8"/>
    <x v="114"/>
    <n v="66240"/>
    <n v="7360"/>
  </r>
  <r>
    <x v="512"/>
    <d v="2023-09-09T00:00:00"/>
    <x v="1"/>
    <x v="6"/>
    <x v="12"/>
    <s v="Physical Store"/>
    <s v="Chips &amp; Wafers "/>
    <x v="0"/>
    <x v="0"/>
    <n v="4950"/>
    <n v="5500"/>
    <n v="9"/>
    <x v="20"/>
    <n v="44550"/>
    <n v="4950"/>
  </r>
  <r>
    <x v="513"/>
    <d v="2023-09-10T00:00:00"/>
    <x v="1"/>
    <x v="6"/>
    <x v="2"/>
    <s v="Online Delivery"/>
    <s v="Samosas"/>
    <x v="0"/>
    <x v="0"/>
    <n v="3150"/>
    <n v="3500"/>
    <n v="2"/>
    <x v="122"/>
    <n v="6300"/>
    <n v="700"/>
  </r>
  <r>
    <x v="514"/>
    <d v="2023-09-11T00:00:00"/>
    <x v="1"/>
    <x v="6"/>
    <x v="18"/>
    <s v="Partnerships"/>
    <s v="Kachoris"/>
    <x v="0"/>
    <x v="0"/>
    <n v="2700"/>
    <n v="3000"/>
    <n v="1"/>
    <x v="94"/>
    <n v="2700"/>
    <n v="300"/>
  </r>
  <r>
    <x v="515"/>
    <d v="2023-09-12T00:00:00"/>
    <x v="1"/>
    <x v="6"/>
    <x v="9"/>
    <s v="Physical Store"/>
    <s v="Bhujia"/>
    <x v="0"/>
    <x v="1"/>
    <n v="4050"/>
    <n v="4500"/>
    <n v="22"/>
    <x v="69"/>
    <n v="89100"/>
    <n v="9900"/>
  </r>
  <r>
    <x v="516"/>
    <d v="2023-09-13T00:00:00"/>
    <x v="1"/>
    <x v="6"/>
    <x v="16"/>
    <s v="Online Delivery"/>
    <s v="Mixes"/>
    <x v="0"/>
    <x v="0"/>
    <n v="8280"/>
    <n v="9200"/>
    <n v="8"/>
    <x v="114"/>
    <n v="66240"/>
    <n v="7360"/>
  </r>
  <r>
    <x v="517"/>
    <d v="2023-09-14T00:00:00"/>
    <x v="1"/>
    <x v="6"/>
    <x v="5"/>
    <s v="Partnerships"/>
    <s v="Ready-to-Eat Curries "/>
    <x v="1"/>
    <x v="1"/>
    <n v="4950"/>
    <n v="5500"/>
    <n v="7"/>
    <x v="115"/>
    <n v="34650"/>
    <n v="3850"/>
  </r>
  <r>
    <x v="518"/>
    <d v="2023-09-15T00:00:00"/>
    <x v="1"/>
    <x v="6"/>
    <x v="19"/>
    <s v="Physical Store"/>
    <s v="Instant Mixes"/>
    <x v="1"/>
    <x v="2"/>
    <n v="3150"/>
    <n v="3500"/>
    <n v="56"/>
    <x v="116"/>
    <n v="176400"/>
    <n v="19600"/>
  </r>
  <r>
    <x v="519"/>
    <d v="2023-09-16T00:00:00"/>
    <x v="1"/>
    <x v="6"/>
    <x v="8"/>
    <s v="Online Delivery"/>
    <s v="Frozen Snacks"/>
    <x v="1"/>
    <x v="2"/>
    <n v="2700"/>
    <n v="3000"/>
    <n v="10"/>
    <x v="57"/>
    <n v="27000"/>
    <n v="3000"/>
  </r>
  <r>
    <x v="520"/>
    <d v="2023-09-17T00:00:00"/>
    <x v="1"/>
    <x v="6"/>
    <x v="11"/>
    <s v="Partnerships"/>
    <s v="Chips &amp; Wafers "/>
    <x v="0"/>
    <x v="2"/>
    <n v="4050"/>
    <n v="4500"/>
    <n v="9"/>
    <x v="111"/>
    <n v="36450"/>
    <n v="4050"/>
  </r>
  <r>
    <x v="521"/>
    <d v="2023-09-18T00:00:00"/>
    <x v="1"/>
    <x v="6"/>
    <x v="0"/>
    <s v="Physical Store"/>
    <s v="Samosas"/>
    <x v="0"/>
    <x v="0"/>
    <n v="24750"/>
    <n v="27500"/>
    <n v="27"/>
    <x v="123"/>
    <n v="668250"/>
    <n v="74250"/>
  </r>
  <r>
    <x v="522"/>
    <d v="2023-09-19T00:00:00"/>
    <x v="1"/>
    <x v="6"/>
    <x v="3"/>
    <s v="Online Delivery"/>
    <s v="Kachoris"/>
    <x v="0"/>
    <x v="0"/>
    <n v="44550"/>
    <n v="49500"/>
    <n v="15"/>
    <x v="123"/>
    <n v="668250"/>
    <n v="74250"/>
  </r>
  <r>
    <x v="523"/>
    <d v="2023-09-20T00:00:00"/>
    <x v="1"/>
    <x v="6"/>
    <x v="26"/>
    <s v="Physical Store"/>
    <s v="Bhujia"/>
    <x v="0"/>
    <x v="1"/>
    <n v="9000"/>
    <n v="10000"/>
    <n v="3"/>
    <x v="57"/>
    <n v="27000"/>
    <n v="3000"/>
  </r>
  <r>
    <x v="524"/>
    <d v="2023-09-21T00:00:00"/>
    <x v="1"/>
    <x v="6"/>
    <x v="18"/>
    <s v="Online Delivery"/>
    <s v="Mixes"/>
    <x v="0"/>
    <x v="0"/>
    <n v="8640"/>
    <n v="9600"/>
    <n v="9"/>
    <x v="30"/>
    <n v="77760"/>
    <n v="8640"/>
  </r>
  <r>
    <x v="525"/>
    <d v="2023-09-22T00:00:00"/>
    <x v="1"/>
    <x v="6"/>
    <x v="2"/>
    <s v="Physical Store"/>
    <s v="Ready-to-Eat Curries "/>
    <x v="1"/>
    <x v="0"/>
    <n v="9000"/>
    <n v="10000"/>
    <n v="22"/>
    <x v="96"/>
    <n v="198000"/>
    <n v="22000"/>
  </r>
  <r>
    <x v="526"/>
    <d v="2023-09-23T00:00:00"/>
    <x v="1"/>
    <x v="6"/>
    <x v="2"/>
    <s v="Online Delivery"/>
    <s v="Instant Mixes"/>
    <x v="1"/>
    <x v="0"/>
    <n v="3870"/>
    <n v="4300"/>
    <n v="16"/>
    <x v="124"/>
    <n v="61920"/>
    <n v="6880"/>
  </r>
  <r>
    <x v="527"/>
    <d v="2023-09-24T00:00:00"/>
    <x v="1"/>
    <x v="6"/>
    <x v="6"/>
    <s v="Physical Store"/>
    <s v="Frozen Snacks"/>
    <x v="1"/>
    <x v="0"/>
    <n v="45450"/>
    <n v="50500"/>
    <n v="6"/>
    <x v="125"/>
    <n v="272700"/>
    <n v="30300"/>
  </r>
  <r>
    <x v="528"/>
    <d v="2023-09-25T00:00:00"/>
    <x v="1"/>
    <x v="6"/>
    <x v="8"/>
    <s v="Online Delivery"/>
    <s v="Chips &amp; Wafers "/>
    <x v="0"/>
    <x v="2"/>
    <n v="18225"/>
    <n v="20250"/>
    <n v="3"/>
    <x v="101"/>
    <n v="54675"/>
    <n v="6075"/>
  </r>
  <r>
    <x v="529"/>
    <d v="2023-09-26T00:00:00"/>
    <x v="1"/>
    <x v="6"/>
    <x v="8"/>
    <s v="Physical Store"/>
    <s v="Samosas"/>
    <x v="0"/>
    <x v="2"/>
    <n v="1800"/>
    <n v="2000"/>
    <n v="5"/>
    <x v="70"/>
    <n v="9000"/>
    <n v="1000"/>
  </r>
  <r>
    <x v="530"/>
    <d v="2023-09-27T00:00:00"/>
    <x v="1"/>
    <x v="6"/>
    <x v="2"/>
    <s v="Online Delivery"/>
    <s v="Kachoris"/>
    <x v="0"/>
    <x v="0"/>
    <n v="48600"/>
    <n v="54000"/>
    <n v="1"/>
    <x v="126"/>
    <n v="48600"/>
    <n v="5400"/>
  </r>
  <r>
    <x v="531"/>
    <d v="2023-09-28T00:00:00"/>
    <x v="1"/>
    <x v="6"/>
    <x v="10"/>
    <s v="Physical Store"/>
    <s v="Bhujia"/>
    <x v="0"/>
    <x v="0"/>
    <n v="72900"/>
    <n v="81000"/>
    <n v="5"/>
    <x v="40"/>
    <n v="364500"/>
    <n v="40500"/>
  </r>
  <r>
    <x v="532"/>
    <d v="2023-09-29T00:00:00"/>
    <x v="1"/>
    <x v="6"/>
    <x v="14"/>
    <s v="Online Delivery"/>
    <s v="Mixes"/>
    <x v="0"/>
    <x v="0"/>
    <n v="9450"/>
    <n v="10500"/>
    <n v="7"/>
    <x v="127"/>
    <n v="66150"/>
    <n v="7350"/>
  </r>
  <r>
    <x v="533"/>
    <d v="2023-09-30T00:00:00"/>
    <x v="1"/>
    <x v="6"/>
    <x v="6"/>
    <s v="Physical Store"/>
    <s v="Ready-to-Eat Curries "/>
    <x v="1"/>
    <x v="0"/>
    <n v="36000"/>
    <n v="40000"/>
    <n v="4"/>
    <x v="128"/>
    <n v="144000"/>
    <n v="16000"/>
  </r>
  <r>
    <x v="534"/>
    <d v="2023-10-01T00:00:00"/>
    <x v="1"/>
    <x v="2"/>
    <x v="8"/>
    <s v="Online Delivery"/>
    <s v="Instant Mixes"/>
    <x v="1"/>
    <x v="0"/>
    <n v="24300"/>
    <n v="27000"/>
    <n v="8"/>
    <x v="129"/>
    <n v="194400"/>
    <n v="21600"/>
  </r>
  <r>
    <x v="535"/>
    <d v="2023-10-02T00:00:00"/>
    <x v="1"/>
    <x v="2"/>
    <x v="19"/>
    <s v="Physical Store"/>
    <s v="Frozen Snacks"/>
    <x v="1"/>
    <x v="0"/>
    <n v="9180"/>
    <n v="10200"/>
    <n v="8"/>
    <x v="130"/>
    <n v="73440"/>
    <n v="8160"/>
  </r>
  <r>
    <x v="536"/>
    <d v="2023-10-03T00:00:00"/>
    <x v="1"/>
    <x v="2"/>
    <x v="0"/>
    <s v="Online Delivery"/>
    <s v="Chips &amp; Wafers "/>
    <x v="0"/>
    <x v="2"/>
    <n v="8640"/>
    <n v="9600"/>
    <n v="9"/>
    <x v="30"/>
    <n v="77760"/>
    <n v="8640"/>
  </r>
  <r>
    <x v="537"/>
    <d v="2023-10-04T00:00:00"/>
    <x v="1"/>
    <x v="2"/>
    <x v="9"/>
    <s v="Physical Store"/>
    <s v="Samosas"/>
    <x v="0"/>
    <x v="2"/>
    <n v="8280"/>
    <n v="9200"/>
    <n v="2"/>
    <x v="131"/>
    <n v="16560"/>
    <n v="1840"/>
  </r>
  <r>
    <x v="538"/>
    <d v="2023-10-05T00:00:00"/>
    <x v="1"/>
    <x v="2"/>
    <x v="0"/>
    <s v="Online Delivery"/>
    <s v="Kachoris"/>
    <x v="0"/>
    <x v="2"/>
    <n v="4950"/>
    <n v="5500"/>
    <n v="1"/>
    <x v="132"/>
    <n v="4950"/>
    <n v="550"/>
  </r>
  <r>
    <x v="539"/>
    <d v="2023-10-06T00:00:00"/>
    <x v="1"/>
    <x v="2"/>
    <x v="0"/>
    <s v="Physical Store"/>
    <s v="Bhujia"/>
    <x v="0"/>
    <x v="0"/>
    <n v="3150"/>
    <n v="3500"/>
    <n v="22"/>
    <x v="21"/>
    <n v="69300"/>
    <n v="7700"/>
  </r>
  <r>
    <x v="540"/>
    <d v="2023-10-07T00:00:00"/>
    <x v="1"/>
    <x v="2"/>
    <x v="9"/>
    <s v="Online Delivery"/>
    <s v="Mixes"/>
    <x v="0"/>
    <x v="0"/>
    <n v="2700"/>
    <n v="3000"/>
    <n v="8"/>
    <x v="66"/>
    <n v="21600"/>
    <n v="2400"/>
  </r>
  <r>
    <x v="541"/>
    <d v="2023-10-08T00:00:00"/>
    <x v="1"/>
    <x v="2"/>
    <x v="2"/>
    <s v="Physical Store"/>
    <s v="Ready-to-Eat Curries "/>
    <x v="1"/>
    <x v="0"/>
    <n v="4050"/>
    <n v="4500"/>
    <n v="7"/>
    <x v="74"/>
    <n v="28350"/>
    <n v="3150"/>
  </r>
  <r>
    <x v="542"/>
    <d v="2023-10-09T00:00:00"/>
    <x v="1"/>
    <x v="2"/>
    <x v="9"/>
    <s v="Online Delivery"/>
    <s v="Instant Mixes"/>
    <x v="1"/>
    <x v="1"/>
    <n v="53100"/>
    <n v="59000"/>
    <n v="56"/>
    <x v="133"/>
    <n v="2973600"/>
    <n v="330400"/>
  </r>
  <r>
    <x v="543"/>
    <d v="2023-10-10T00:00:00"/>
    <x v="1"/>
    <x v="2"/>
    <x v="8"/>
    <s v="Physical Store"/>
    <s v="Frozen Snacks"/>
    <x v="1"/>
    <x v="1"/>
    <n v="88200"/>
    <n v="98000"/>
    <n v="10"/>
    <x v="134"/>
    <n v="882000"/>
    <n v="98000"/>
  </r>
  <r>
    <x v="544"/>
    <d v="2023-10-11T00:00:00"/>
    <x v="1"/>
    <x v="2"/>
    <x v="18"/>
    <s v="Online Delivery"/>
    <s v="Chips &amp; Wafers "/>
    <x v="0"/>
    <x v="1"/>
    <n v="38250"/>
    <n v="42500"/>
    <n v="9"/>
    <x v="135"/>
    <n v="344250"/>
    <n v="38250"/>
  </r>
  <r>
    <x v="545"/>
    <d v="2023-10-12T00:00:00"/>
    <x v="1"/>
    <x v="2"/>
    <x v="3"/>
    <s v="Physical Store"/>
    <s v="Samosas"/>
    <x v="0"/>
    <x v="0"/>
    <n v="2700"/>
    <n v="3000"/>
    <n v="27"/>
    <x v="75"/>
    <n v="72900"/>
    <n v="8100"/>
  </r>
  <r>
    <x v="546"/>
    <d v="2023-10-13T00:00:00"/>
    <x v="1"/>
    <x v="2"/>
    <x v="6"/>
    <s v="Online Delivery"/>
    <s v="Kachoris"/>
    <x v="0"/>
    <x v="2"/>
    <n v="23850"/>
    <n v="26500"/>
    <n v="15"/>
    <x v="136"/>
    <n v="357750"/>
    <n v="39750"/>
  </r>
  <r>
    <x v="547"/>
    <d v="2023-10-14T00:00:00"/>
    <x v="1"/>
    <x v="2"/>
    <x v="20"/>
    <s v="Physical Store"/>
    <s v="Bhujia"/>
    <x v="0"/>
    <x v="2"/>
    <n v="24750"/>
    <n v="27500"/>
    <n v="3"/>
    <x v="137"/>
    <n v="74250"/>
    <n v="8250"/>
  </r>
  <r>
    <x v="548"/>
    <d v="2023-10-15T00:00:00"/>
    <x v="1"/>
    <x v="2"/>
    <x v="16"/>
    <s v="Online Delivery"/>
    <s v="Mixes"/>
    <x v="0"/>
    <x v="0"/>
    <n v="44550"/>
    <n v="49500"/>
    <n v="9"/>
    <x v="55"/>
    <n v="400950"/>
    <n v="44550"/>
  </r>
  <r>
    <x v="549"/>
    <d v="2023-10-16T00:00:00"/>
    <x v="1"/>
    <x v="2"/>
    <x v="3"/>
    <s v="Physical Store"/>
    <s v="Ready-to-Eat Curries "/>
    <x v="1"/>
    <x v="0"/>
    <n v="9000"/>
    <n v="10000"/>
    <n v="22"/>
    <x v="96"/>
    <n v="198000"/>
    <n v="22000"/>
  </r>
  <r>
    <x v="550"/>
    <d v="2023-10-17T00:00:00"/>
    <x v="1"/>
    <x v="2"/>
    <x v="18"/>
    <s v="Online Delivery"/>
    <s v="Instant Mixes"/>
    <x v="1"/>
    <x v="1"/>
    <n v="8640"/>
    <n v="9600"/>
    <n v="16"/>
    <x v="138"/>
    <n v="138240"/>
    <n v="15360"/>
  </r>
  <r>
    <x v="551"/>
    <d v="2023-10-18T00:00:00"/>
    <x v="1"/>
    <x v="2"/>
    <x v="4"/>
    <s v="Physical Store"/>
    <s v="Frozen Snacks"/>
    <x v="1"/>
    <x v="0"/>
    <n v="9000"/>
    <n v="10000"/>
    <n v="6"/>
    <x v="139"/>
    <n v="54000"/>
    <n v="6000"/>
  </r>
  <r>
    <x v="552"/>
    <d v="2023-10-19T00:00:00"/>
    <x v="1"/>
    <x v="2"/>
    <x v="8"/>
    <s v="Online Delivery"/>
    <s v="Chips &amp; Wafers "/>
    <x v="0"/>
    <x v="0"/>
    <n v="3870"/>
    <n v="4300"/>
    <n v="3"/>
    <x v="140"/>
    <n v="11610"/>
    <n v="1290"/>
  </r>
  <r>
    <x v="553"/>
    <d v="2023-10-20T00:00:00"/>
    <x v="1"/>
    <x v="2"/>
    <x v="3"/>
    <s v="Physical Store"/>
    <s v="Samosas"/>
    <x v="0"/>
    <x v="0"/>
    <n v="45450"/>
    <n v="50500"/>
    <n v="5"/>
    <x v="141"/>
    <n v="227250"/>
    <n v="25250"/>
  </r>
  <r>
    <x v="554"/>
    <d v="2023-10-21T00:00:00"/>
    <x v="1"/>
    <x v="2"/>
    <x v="2"/>
    <s v="Online Delivery"/>
    <s v="Kachoris"/>
    <x v="0"/>
    <x v="2"/>
    <n v="18225"/>
    <n v="20250"/>
    <n v="1"/>
    <x v="10"/>
    <n v="18225"/>
    <n v="2025"/>
  </r>
  <r>
    <x v="555"/>
    <d v="2023-10-22T00:00:00"/>
    <x v="1"/>
    <x v="2"/>
    <x v="20"/>
    <s v="Physical Store"/>
    <s v="Bhujia"/>
    <x v="0"/>
    <x v="2"/>
    <n v="1800"/>
    <n v="2000"/>
    <n v="5"/>
    <x v="70"/>
    <n v="9000"/>
    <n v="1000"/>
  </r>
  <r>
    <x v="556"/>
    <d v="2023-10-23T00:00:00"/>
    <x v="1"/>
    <x v="2"/>
    <x v="12"/>
    <s v="Online Delivery"/>
    <s v="Mixes"/>
    <x v="0"/>
    <x v="2"/>
    <n v="48600"/>
    <n v="54000"/>
    <n v="7"/>
    <x v="142"/>
    <n v="340200"/>
    <n v="37800"/>
  </r>
  <r>
    <x v="557"/>
    <d v="2023-10-24T00:00:00"/>
    <x v="1"/>
    <x v="2"/>
    <x v="2"/>
    <s v="Physical Store"/>
    <s v="Ready-to-Eat Curries "/>
    <x v="1"/>
    <x v="0"/>
    <n v="72900"/>
    <n v="81000"/>
    <n v="4"/>
    <x v="143"/>
    <n v="291600"/>
    <n v="32400"/>
  </r>
  <r>
    <x v="558"/>
    <d v="2023-10-25T00:00:00"/>
    <x v="1"/>
    <x v="2"/>
    <x v="9"/>
    <s v="Online Delivery"/>
    <s v="Instant Mixes"/>
    <x v="1"/>
    <x v="0"/>
    <n v="9450"/>
    <n v="10500"/>
    <n v="8"/>
    <x v="144"/>
    <n v="75600"/>
    <n v="8400"/>
  </r>
  <r>
    <x v="559"/>
    <d v="2023-10-26T00:00:00"/>
    <x v="1"/>
    <x v="2"/>
    <x v="19"/>
    <s v="Physical Store"/>
    <s v="Frozen Snacks"/>
    <x v="1"/>
    <x v="0"/>
    <n v="36000"/>
    <n v="40000"/>
    <n v="8"/>
    <x v="145"/>
    <n v="288000"/>
    <n v="32000"/>
  </r>
  <r>
    <x v="560"/>
    <d v="2023-10-27T00:00:00"/>
    <x v="1"/>
    <x v="2"/>
    <x v="0"/>
    <s v="Online Delivery"/>
    <s v="Chips &amp; Wafers "/>
    <x v="0"/>
    <x v="0"/>
    <n v="24300"/>
    <n v="27000"/>
    <n v="9"/>
    <x v="16"/>
    <n v="218700"/>
    <n v="24300"/>
  </r>
  <r>
    <x v="561"/>
    <d v="2023-10-28T00:00:00"/>
    <x v="1"/>
    <x v="2"/>
    <x v="5"/>
    <s v="Physical Store"/>
    <s v="Samosas"/>
    <x v="0"/>
    <x v="0"/>
    <n v="9180"/>
    <n v="10200"/>
    <n v="2"/>
    <x v="146"/>
    <n v="18360"/>
    <n v="2040"/>
  </r>
  <r>
    <x v="562"/>
    <d v="2023-10-29T00:00:00"/>
    <x v="1"/>
    <x v="2"/>
    <x v="7"/>
    <s v="Online Delivery"/>
    <s v="Kachoris"/>
    <x v="0"/>
    <x v="0"/>
    <n v="8640"/>
    <n v="9600"/>
    <n v="1"/>
    <x v="147"/>
    <n v="8640"/>
    <n v="960"/>
  </r>
  <r>
    <x v="563"/>
    <d v="2023-10-30T00:00:00"/>
    <x v="1"/>
    <x v="2"/>
    <x v="8"/>
    <s v="Physical Store"/>
    <s v="Bhujia"/>
    <x v="0"/>
    <x v="0"/>
    <n v="8280"/>
    <n v="9200"/>
    <n v="22"/>
    <x v="42"/>
    <n v="182160"/>
    <n v="20240"/>
  </r>
  <r>
    <x v="564"/>
    <d v="2023-10-31T00:00:00"/>
    <x v="1"/>
    <x v="2"/>
    <x v="7"/>
    <s v="Online Delivery"/>
    <s v="Mixes"/>
    <x v="0"/>
    <x v="2"/>
    <n v="4950"/>
    <n v="5500"/>
    <n v="8"/>
    <x v="11"/>
    <n v="39600"/>
    <n v="4400"/>
  </r>
  <r>
    <x v="565"/>
    <d v="2023-11-01T00:00:00"/>
    <x v="1"/>
    <x v="7"/>
    <x v="9"/>
    <s v="Physical Store"/>
    <s v="Ready-to-Eat Curries "/>
    <x v="1"/>
    <x v="2"/>
    <n v="3150"/>
    <n v="3500"/>
    <n v="7"/>
    <x v="88"/>
    <n v="22050"/>
    <n v="2450"/>
  </r>
  <r>
    <x v="566"/>
    <d v="2023-11-02T00:00:00"/>
    <x v="1"/>
    <x v="7"/>
    <x v="9"/>
    <s v="Online Delivery"/>
    <s v="Instant Mixes"/>
    <x v="1"/>
    <x v="0"/>
    <n v="2700"/>
    <n v="3000"/>
    <n v="56"/>
    <x v="148"/>
    <n v="151200"/>
    <n v="16800"/>
  </r>
  <r>
    <x v="567"/>
    <d v="2023-11-03T00:00:00"/>
    <x v="1"/>
    <x v="7"/>
    <x v="8"/>
    <s v="Physical Store"/>
    <s v="Frozen Snacks"/>
    <x v="1"/>
    <x v="0"/>
    <n v="4050"/>
    <n v="4500"/>
    <n v="10"/>
    <x v="149"/>
    <n v="40500"/>
    <n v="4500"/>
  </r>
  <r>
    <x v="568"/>
    <d v="2023-11-04T00:00:00"/>
    <x v="1"/>
    <x v="7"/>
    <x v="2"/>
    <s v="Online Delivery"/>
    <s v="Chips &amp; Wafers "/>
    <x v="0"/>
    <x v="0"/>
    <n v="53100"/>
    <n v="59000"/>
    <n v="9"/>
    <x v="150"/>
    <n v="477900"/>
    <n v="53100"/>
  </r>
  <r>
    <x v="569"/>
    <d v="2023-11-05T00:00:00"/>
    <x v="1"/>
    <x v="7"/>
    <x v="19"/>
    <s v="Physical Store"/>
    <s v="Samosas"/>
    <x v="0"/>
    <x v="1"/>
    <n v="88200"/>
    <n v="98000"/>
    <n v="27"/>
    <x v="151"/>
    <n v="2381400"/>
    <n v="264600"/>
  </r>
  <r>
    <x v="570"/>
    <d v="2023-11-06T00:00:00"/>
    <x v="1"/>
    <x v="7"/>
    <x v="2"/>
    <s v="Online Delivery"/>
    <s v="Kachoris"/>
    <x v="0"/>
    <x v="1"/>
    <n v="8640"/>
    <n v="9600"/>
    <n v="15"/>
    <x v="18"/>
    <n v="129600"/>
    <n v="14400"/>
  </r>
  <r>
    <x v="571"/>
    <d v="2023-11-07T00:00:00"/>
    <x v="1"/>
    <x v="7"/>
    <x v="12"/>
    <s v="Physical Store"/>
    <s v="Bhujia"/>
    <x v="0"/>
    <x v="0"/>
    <n v="8280"/>
    <n v="9200"/>
    <n v="3"/>
    <x v="19"/>
    <n v="24840"/>
    <n v="2760"/>
  </r>
  <r>
    <x v="572"/>
    <d v="2023-11-08T00:00:00"/>
    <x v="1"/>
    <x v="7"/>
    <x v="8"/>
    <s v="Online Delivery"/>
    <s v="Mixes"/>
    <x v="0"/>
    <x v="2"/>
    <n v="4950"/>
    <n v="5500"/>
    <n v="9"/>
    <x v="20"/>
    <n v="44550"/>
    <n v="4950"/>
  </r>
  <r>
    <x v="573"/>
    <d v="2023-11-09T00:00:00"/>
    <x v="1"/>
    <x v="7"/>
    <x v="0"/>
    <s v="Physical Store"/>
    <s v="Ready-to-Eat Curries "/>
    <x v="1"/>
    <x v="2"/>
    <n v="3150"/>
    <n v="3500"/>
    <n v="22"/>
    <x v="21"/>
    <n v="69300"/>
    <n v="7700"/>
  </r>
  <r>
    <x v="574"/>
    <d v="2023-11-10T00:00:00"/>
    <x v="1"/>
    <x v="7"/>
    <x v="24"/>
    <s v="Online Delivery"/>
    <s v="Instant Mixes"/>
    <x v="1"/>
    <x v="0"/>
    <n v="2700"/>
    <n v="3000"/>
    <n v="16"/>
    <x v="22"/>
    <n v="43200"/>
    <n v="4800"/>
  </r>
  <r>
    <x v="575"/>
    <d v="2023-11-11T00:00:00"/>
    <x v="1"/>
    <x v="7"/>
    <x v="12"/>
    <s v="Physical Store"/>
    <s v="Frozen Snacks"/>
    <x v="1"/>
    <x v="2"/>
    <n v="4050"/>
    <n v="4500"/>
    <n v="6"/>
    <x v="23"/>
    <n v="24300"/>
    <n v="2700"/>
  </r>
  <r>
    <x v="576"/>
    <d v="2023-11-12T00:00:00"/>
    <x v="1"/>
    <x v="7"/>
    <x v="2"/>
    <s v="Online Delivery"/>
    <s v="Chips &amp; Wafers "/>
    <x v="0"/>
    <x v="2"/>
    <n v="53100"/>
    <n v="59000"/>
    <n v="3"/>
    <x v="24"/>
    <n v="159300"/>
    <n v="17700"/>
  </r>
  <r>
    <x v="577"/>
    <d v="2023-11-13T00:00:00"/>
    <x v="1"/>
    <x v="7"/>
    <x v="3"/>
    <s v="Partnerships"/>
    <s v="Samosas"/>
    <x v="0"/>
    <x v="2"/>
    <n v="88200"/>
    <n v="98000"/>
    <n v="5"/>
    <x v="25"/>
    <n v="441000"/>
    <n v="49000"/>
  </r>
  <r>
    <x v="578"/>
    <d v="2023-11-14T00:00:00"/>
    <x v="1"/>
    <x v="7"/>
    <x v="5"/>
    <s v="Online Delivery"/>
    <s v="Kachoris"/>
    <x v="0"/>
    <x v="0"/>
    <n v="38250"/>
    <n v="42500"/>
    <n v="1"/>
    <x v="26"/>
    <n v="38250"/>
    <n v="4250"/>
  </r>
  <r>
    <x v="579"/>
    <d v="2023-11-15T00:00:00"/>
    <x v="1"/>
    <x v="7"/>
    <x v="8"/>
    <s v="Partnerships"/>
    <s v="Bhujia"/>
    <x v="0"/>
    <x v="0"/>
    <n v="2700"/>
    <n v="3000"/>
    <n v="5"/>
    <x v="1"/>
    <n v="13500"/>
    <n v="1500"/>
  </r>
  <r>
    <x v="580"/>
    <d v="2023-11-16T00:00:00"/>
    <x v="1"/>
    <x v="7"/>
    <x v="12"/>
    <s v="Online Delivery"/>
    <s v="Mixes"/>
    <x v="0"/>
    <x v="0"/>
    <n v="23850"/>
    <n v="26500"/>
    <n v="7"/>
    <x v="27"/>
    <n v="166950"/>
    <n v="18550"/>
  </r>
  <r>
    <x v="581"/>
    <d v="2023-11-17T00:00:00"/>
    <x v="1"/>
    <x v="7"/>
    <x v="9"/>
    <s v="Partnerships"/>
    <s v="Ready-to-Eat Curries "/>
    <x v="1"/>
    <x v="0"/>
    <n v="24750"/>
    <n v="27500"/>
    <n v="4"/>
    <x v="28"/>
    <n v="99000"/>
    <n v="11000"/>
  </r>
  <r>
    <x v="582"/>
    <d v="2023-11-18T00:00:00"/>
    <x v="1"/>
    <x v="7"/>
    <x v="5"/>
    <s v="Online Delivery"/>
    <s v="Instant Mixes"/>
    <x v="1"/>
    <x v="0"/>
    <n v="44550"/>
    <n v="49500"/>
    <n v="8"/>
    <x v="29"/>
    <n v="356400"/>
    <n v="39600"/>
  </r>
  <r>
    <x v="583"/>
    <d v="2023-11-19T00:00:00"/>
    <x v="1"/>
    <x v="7"/>
    <x v="20"/>
    <s v="Partnerships"/>
    <s v="Frozen Snacks"/>
    <x v="1"/>
    <x v="0"/>
    <n v="9000"/>
    <n v="10000"/>
    <n v="8"/>
    <x v="7"/>
    <n v="72000"/>
    <n v="8000"/>
  </r>
  <r>
    <x v="584"/>
    <d v="2023-11-20T00:00:00"/>
    <x v="1"/>
    <x v="7"/>
    <x v="16"/>
    <s v="Online Delivery"/>
    <s v="Chips &amp; Wafers "/>
    <x v="0"/>
    <x v="0"/>
    <n v="8640"/>
    <n v="9600"/>
    <n v="9"/>
    <x v="30"/>
    <n v="77760"/>
    <n v="8640"/>
  </r>
  <r>
    <x v="585"/>
    <d v="2023-11-21T00:00:00"/>
    <x v="1"/>
    <x v="7"/>
    <x v="2"/>
    <s v="Partnerships"/>
    <s v="Samosas"/>
    <x v="0"/>
    <x v="2"/>
    <n v="9000"/>
    <n v="10000"/>
    <n v="2"/>
    <x v="31"/>
    <n v="18000"/>
    <n v="2000"/>
  </r>
  <r>
    <x v="586"/>
    <d v="2023-11-22T00:00:00"/>
    <x v="1"/>
    <x v="7"/>
    <x v="2"/>
    <s v="Online Delivery"/>
    <s v="Kachoris"/>
    <x v="0"/>
    <x v="2"/>
    <n v="3870"/>
    <n v="4300"/>
    <n v="1"/>
    <x v="32"/>
    <n v="3870"/>
    <n v="430"/>
  </r>
  <r>
    <x v="587"/>
    <d v="2023-11-23T00:00:00"/>
    <x v="1"/>
    <x v="7"/>
    <x v="18"/>
    <s v="Partnerships"/>
    <s v="Bhujia"/>
    <x v="0"/>
    <x v="0"/>
    <n v="8640"/>
    <n v="9600"/>
    <n v="22"/>
    <x v="58"/>
    <n v="190080"/>
    <n v="21120"/>
  </r>
  <r>
    <x v="588"/>
    <d v="2023-11-24T00:00:00"/>
    <x v="1"/>
    <x v="7"/>
    <x v="2"/>
    <s v="Online Delivery"/>
    <s v="Mixes"/>
    <x v="0"/>
    <x v="0"/>
    <n v="8280"/>
    <n v="9200"/>
    <n v="8"/>
    <x v="114"/>
    <n v="66240"/>
    <n v="7360"/>
  </r>
  <r>
    <x v="589"/>
    <d v="2023-11-25T00:00:00"/>
    <x v="1"/>
    <x v="7"/>
    <x v="5"/>
    <s v="Partnerships"/>
    <s v="Ready-to-Eat Curries "/>
    <x v="1"/>
    <x v="0"/>
    <n v="4950"/>
    <n v="5500"/>
    <n v="7"/>
    <x v="115"/>
    <n v="34650"/>
    <n v="3850"/>
  </r>
  <r>
    <x v="590"/>
    <d v="2023-11-26T00:00:00"/>
    <x v="1"/>
    <x v="7"/>
    <x v="5"/>
    <s v="Online Delivery"/>
    <s v="Instant Mixes"/>
    <x v="1"/>
    <x v="1"/>
    <n v="3150"/>
    <n v="3500"/>
    <n v="56"/>
    <x v="116"/>
    <n v="176400"/>
    <n v="19600"/>
  </r>
  <r>
    <x v="591"/>
    <d v="2023-11-27T00:00:00"/>
    <x v="1"/>
    <x v="7"/>
    <x v="9"/>
    <s v="Partnerships"/>
    <s v="Frozen Snacks"/>
    <x v="1"/>
    <x v="0"/>
    <n v="2700"/>
    <n v="3000"/>
    <n v="10"/>
    <x v="57"/>
    <n v="27000"/>
    <n v="3000"/>
  </r>
  <r>
    <x v="592"/>
    <d v="2023-11-28T00:00:00"/>
    <x v="1"/>
    <x v="7"/>
    <x v="5"/>
    <s v="Online Delivery"/>
    <s v="Dry Sweets "/>
    <x v="2"/>
    <x v="1"/>
    <n v="4050"/>
    <n v="4500"/>
    <n v="9"/>
    <x v="111"/>
    <n v="36450"/>
    <n v="4050"/>
  </r>
  <r>
    <x v="593"/>
    <d v="2023-11-29T00:00:00"/>
    <x v="1"/>
    <x v="7"/>
    <x v="3"/>
    <s v="Partnerships"/>
    <s v="Milk-based Sweets "/>
    <x v="2"/>
    <x v="2"/>
    <n v="53100"/>
    <n v="59000"/>
    <n v="27"/>
    <x v="117"/>
    <n v="1433700"/>
    <n v="159300"/>
  </r>
  <r>
    <x v="594"/>
    <d v="2023-11-30T00:00:00"/>
    <x v="1"/>
    <x v="7"/>
    <x v="18"/>
    <s v="Online Delivery"/>
    <s v="Syrup-based Sweets"/>
    <x v="2"/>
    <x v="2"/>
    <n v="88200"/>
    <n v="98000"/>
    <n v="15"/>
    <x v="118"/>
    <n v="1323000"/>
    <n v="147000"/>
  </r>
  <r>
    <x v="595"/>
    <d v="2023-12-01T00:00:00"/>
    <x v="1"/>
    <x v="8"/>
    <x v="5"/>
    <s v="Partnerships"/>
    <s v="Dry Sweets "/>
    <x v="2"/>
    <x v="2"/>
    <n v="38250"/>
    <n v="42500"/>
    <n v="3"/>
    <x v="0"/>
    <n v="114750"/>
    <n v="12750"/>
  </r>
  <r>
    <x v="596"/>
    <d v="2023-12-02T00:00:00"/>
    <x v="1"/>
    <x v="8"/>
    <x v="7"/>
    <s v="Online Delivery"/>
    <s v="Milk-based Sweets "/>
    <x v="2"/>
    <x v="0"/>
    <n v="2700"/>
    <n v="3000"/>
    <n v="9"/>
    <x v="23"/>
    <n v="24300"/>
    <n v="2700"/>
  </r>
  <r>
    <x v="597"/>
    <d v="2023-12-03T00:00:00"/>
    <x v="1"/>
    <x v="8"/>
    <x v="2"/>
    <s v="Partnerships"/>
    <s v="Syrup-based Sweets"/>
    <x v="2"/>
    <x v="0"/>
    <n v="23850"/>
    <n v="26500"/>
    <n v="22"/>
    <x v="95"/>
    <n v="524700"/>
    <n v="58300"/>
  </r>
  <r>
    <x v="598"/>
    <d v="2023-12-04T00:00:00"/>
    <x v="1"/>
    <x v="8"/>
    <x v="27"/>
    <s v="Online Delivery"/>
    <s v="Dry Sweets "/>
    <x v="2"/>
    <x v="1"/>
    <n v="24750"/>
    <n v="27500"/>
    <n v="16"/>
    <x v="119"/>
    <n v="396000"/>
    <n v="44000"/>
  </r>
  <r>
    <x v="599"/>
    <d v="2023-12-05T00:00:00"/>
    <x v="1"/>
    <x v="8"/>
    <x v="5"/>
    <s v="Partnerships"/>
    <s v="Milk-based Sweets "/>
    <x v="2"/>
    <x v="0"/>
    <n v="44550"/>
    <n v="49500"/>
    <n v="6"/>
    <x v="120"/>
    <n v="267300"/>
    <n v="29700"/>
  </r>
  <r>
    <x v="600"/>
    <d v="2023-12-06T00:00:00"/>
    <x v="1"/>
    <x v="8"/>
    <x v="2"/>
    <s v="Online Delivery"/>
    <s v="Syrup-based Sweets"/>
    <x v="2"/>
    <x v="0"/>
    <n v="9000"/>
    <n v="10000"/>
    <n v="3"/>
    <x v="57"/>
    <n v="27000"/>
    <n v="3000"/>
  </r>
  <r>
    <x v="601"/>
    <d v="2023-12-07T00:00:00"/>
    <x v="1"/>
    <x v="8"/>
    <x v="28"/>
    <s v="Partnerships"/>
    <s v="Dry Sweets "/>
    <x v="2"/>
    <x v="0"/>
    <n v="8640"/>
    <n v="9600"/>
    <n v="5"/>
    <x v="22"/>
    <n v="43200"/>
    <n v="4800"/>
  </r>
  <r>
    <x v="602"/>
    <d v="2023-12-08T00:00:00"/>
    <x v="1"/>
    <x v="8"/>
    <x v="21"/>
    <s v="Online Delivery"/>
    <s v="Milk-based Sweets "/>
    <x v="2"/>
    <x v="0"/>
    <n v="9000"/>
    <n v="10000"/>
    <n v="1"/>
    <x v="70"/>
    <n v="9000"/>
    <n v="1000"/>
  </r>
  <r>
    <x v="603"/>
    <d v="2023-12-09T00:00:00"/>
    <x v="1"/>
    <x v="8"/>
    <x v="8"/>
    <s v="Partnerships"/>
    <s v="Syrup-based Sweets"/>
    <x v="2"/>
    <x v="2"/>
    <n v="3870"/>
    <n v="4300"/>
    <n v="5"/>
    <x v="121"/>
    <n v="19350"/>
    <n v="2150"/>
  </r>
  <r>
    <x v="604"/>
    <d v="2023-12-10T00:00:00"/>
    <x v="1"/>
    <x v="8"/>
    <x v="8"/>
    <s v="Online Delivery"/>
    <s v="Dry Sweets "/>
    <x v="2"/>
    <x v="2"/>
    <n v="8280"/>
    <n v="9200"/>
    <n v="7"/>
    <x v="109"/>
    <n v="57960"/>
    <n v="6440"/>
  </r>
  <r>
    <x v="605"/>
    <d v="2023-12-11T00:00:00"/>
    <x v="1"/>
    <x v="8"/>
    <x v="8"/>
    <s v="Partnerships"/>
    <s v="Milk-based Sweets "/>
    <x v="2"/>
    <x v="0"/>
    <n v="4950"/>
    <n v="5500"/>
    <n v="4"/>
    <x v="110"/>
    <n v="19800"/>
    <n v="2200"/>
  </r>
  <r>
    <x v="606"/>
    <d v="2023-12-12T00:00:00"/>
    <x v="1"/>
    <x v="8"/>
    <x v="0"/>
    <s v="Online Delivery"/>
    <s v="Syrup-based Sweets"/>
    <x v="2"/>
    <x v="0"/>
    <n v="3150"/>
    <n v="3500"/>
    <n v="8"/>
    <x v="50"/>
    <n v="25200"/>
    <n v="2800"/>
  </r>
  <r>
    <x v="607"/>
    <d v="2023-12-13T00:00:00"/>
    <x v="1"/>
    <x v="8"/>
    <x v="6"/>
    <s v="Partnerships"/>
    <s v="Dry Sweets "/>
    <x v="2"/>
    <x v="0"/>
    <n v="2700"/>
    <n v="3000"/>
    <n v="8"/>
    <x v="66"/>
    <n v="21600"/>
    <n v="2400"/>
  </r>
  <r>
    <x v="608"/>
    <d v="2023-12-14T00:00:00"/>
    <x v="1"/>
    <x v="8"/>
    <x v="5"/>
    <s v="Online Delivery"/>
    <s v="Milk-based Sweets "/>
    <x v="2"/>
    <x v="0"/>
    <n v="4050"/>
    <n v="4500"/>
    <n v="9"/>
    <x v="111"/>
    <n v="36450"/>
    <n v="4050"/>
  </r>
  <r>
    <x v="609"/>
    <d v="2023-12-15T00:00:00"/>
    <x v="1"/>
    <x v="8"/>
    <x v="8"/>
    <s v="Partnerships"/>
    <s v="Syrup-based Sweets"/>
    <x v="2"/>
    <x v="0"/>
    <n v="8280"/>
    <n v="9200"/>
    <n v="2"/>
    <x v="131"/>
    <n v="16560"/>
    <n v="1840"/>
  </r>
  <r>
    <x v="610"/>
    <d v="2023-12-16T00:00:00"/>
    <x v="1"/>
    <x v="8"/>
    <x v="3"/>
    <s v="Online Delivery"/>
    <s v="Dry Sweets "/>
    <x v="2"/>
    <x v="0"/>
    <n v="4950"/>
    <n v="5500"/>
    <n v="1"/>
    <x v="132"/>
    <n v="4950"/>
    <n v="550"/>
  </r>
  <r>
    <x v="611"/>
    <d v="2023-12-17T00:00:00"/>
    <x v="1"/>
    <x v="8"/>
    <x v="9"/>
    <s v="Partnerships"/>
    <s v="Milk-based Sweets "/>
    <x v="2"/>
    <x v="2"/>
    <n v="3150"/>
    <n v="3500"/>
    <n v="22"/>
    <x v="21"/>
    <n v="69300"/>
    <n v="7700"/>
  </r>
  <r>
    <x v="612"/>
    <d v="2023-12-18T00:00:00"/>
    <x v="1"/>
    <x v="8"/>
    <x v="18"/>
    <s v="Online Delivery"/>
    <s v="Syrup-based Sweets"/>
    <x v="2"/>
    <x v="2"/>
    <n v="2700"/>
    <n v="3000"/>
    <n v="8"/>
    <x v="66"/>
    <n v="21600"/>
    <n v="2400"/>
  </r>
  <r>
    <x v="613"/>
    <d v="2023-12-19T00:00:00"/>
    <x v="1"/>
    <x v="8"/>
    <x v="8"/>
    <s v="Partnerships"/>
    <s v="Dry Sweets "/>
    <x v="2"/>
    <x v="2"/>
    <n v="4050"/>
    <n v="4500"/>
    <n v="7"/>
    <x v="74"/>
    <n v="28350"/>
    <n v="3150"/>
  </r>
  <r>
    <x v="614"/>
    <d v="2023-12-20T00:00:00"/>
    <x v="1"/>
    <x v="8"/>
    <x v="0"/>
    <s v="Online Delivery"/>
    <s v="Milk-based Sweets "/>
    <x v="2"/>
    <x v="0"/>
    <n v="8280"/>
    <n v="9200"/>
    <n v="56"/>
    <x v="72"/>
    <n v="463680"/>
    <n v="51520"/>
  </r>
  <r>
    <x v="615"/>
    <d v="2023-12-21T00:00:00"/>
    <x v="1"/>
    <x v="8"/>
    <x v="18"/>
    <s v="Partnerships"/>
    <s v="Syrup-based Sweets"/>
    <x v="2"/>
    <x v="0"/>
    <n v="4950"/>
    <n v="5500"/>
    <n v="10"/>
    <x v="73"/>
    <n v="49500"/>
    <n v="5500"/>
  </r>
  <r>
    <x v="616"/>
    <d v="2023-12-22T00:00:00"/>
    <x v="1"/>
    <x v="8"/>
    <x v="8"/>
    <s v="Online Delivery"/>
    <s v="Dry Sweets "/>
    <x v="2"/>
    <x v="0"/>
    <n v="3150"/>
    <n v="3500"/>
    <n v="9"/>
    <x v="74"/>
    <n v="28350"/>
    <n v="3150"/>
  </r>
  <r>
    <x v="617"/>
    <d v="2023-12-23T00:00:00"/>
    <x v="1"/>
    <x v="8"/>
    <x v="18"/>
    <s v="Partnerships"/>
    <s v="Milk-based Sweets "/>
    <x v="2"/>
    <x v="1"/>
    <n v="2700"/>
    <n v="3000"/>
    <n v="27"/>
    <x v="75"/>
    <n v="72900"/>
    <n v="8100"/>
  </r>
  <r>
    <x v="618"/>
    <d v="2023-12-24T00:00:00"/>
    <x v="1"/>
    <x v="8"/>
    <x v="8"/>
    <s v="Online Delivery"/>
    <s v="Syrup-based Sweets"/>
    <x v="2"/>
    <x v="1"/>
    <n v="4050"/>
    <n v="4500"/>
    <n v="15"/>
    <x v="76"/>
    <n v="60750"/>
    <n v="6750"/>
  </r>
  <r>
    <x v="619"/>
    <d v="2023-12-25T00:00:00"/>
    <x v="1"/>
    <x v="8"/>
    <x v="24"/>
    <s v="Partnerships"/>
    <s v="Dry Sweets "/>
    <x v="2"/>
    <x v="1"/>
    <n v="8280"/>
    <n v="9200"/>
    <n v="3"/>
    <x v="19"/>
    <n v="24840"/>
    <n v="2760"/>
  </r>
  <r>
    <x v="620"/>
    <d v="2023-12-26T00:00:00"/>
    <x v="1"/>
    <x v="8"/>
    <x v="7"/>
    <s v="Online Delivery"/>
    <s v="Milk-based Sweets "/>
    <x v="2"/>
    <x v="0"/>
    <n v="4950"/>
    <n v="5500"/>
    <n v="9"/>
    <x v="20"/>
    <n v="44550"/>
    <n v="4950"/>
  </r>
  <r>
    <x v="621"/>
    <d v="2023-12-27T00:00:00"/>
    <x v="1"/>
    <x v="8"/>
    <x v="3"/>
    <s v="Partnerships"/>
    <s v="Syrup-based Sweets"/>
    <x v="2"/>
    <x v="2"/>
    <n v="3150"/>
    <n v="3500"/>
    <n v="22"/>
    <x v="21"/>
    <n v="69300"/>
    <n v="7700"/>
  </r>
  <r>
    <x v="622"/>
    <d v="2023-12-28T00:00:00"/>
    <x v="1"/>
    <x v="8"/>
    <x v="21"/>
    <s v="Online Delivery"/>
    <s v="Dry Sweets "/>
    <x v="2"/>
    <x v="2"/>
    <n v="2700"/>
    <n v="3000"/>
    <n v="16"/>
    <x v="22"/>
    <n v="43200"/>
    <n v="4800"/>
  </r>
  <r>
    <x v="623"/>
    <d v="2023-12-29T00:00:00"/>
    <x v="1"/>
    <x v="8"/>
    <x v="8"/>
    <s v="Partnerships"/>
    <s v="Milk-based Sweets "/>
    <x v="2"/>
    <x v="0"/>
    <n v="4050"/>
    <n v="4500"/>
    <n v="6"/>
    <x v="23"/>
    <n v="24300"/>
    <n v="2700"/>
  </r>
  <r>
    <x v="624"/>
    <d v="2023-12-30T00:00:00"/>
    <x v="1"/>
    <x v="8"/>
    <x v="25"/>
    <s v="Online Delivery"/>
    <s v="Syrup-based Sweets"/>
    <x v="2"/>
    <x v="0"/>
    <n v="4950"/>
    <n v="5500"/>
    <n v="3"/>
    <x v="152"/>
    <n v="14850"/>
    <n v="1650"/>
  </r>
  <r>
    <x v="625"/>
    <d v="2023-12-31T00:00:00"/>
    <x v="1"/>
    <x v="8"/>
    <x v="18"/>
    <s v="Partnerships"/>
    <s v="Dry Sweets "/>
    <x v="2"/>
    <x v="1"/>
    <n v="3150"/>
    <n v="3500"/>
    <n v="5"/>
    <x v="153"/>
    <n v="15750"/>
    <n v="1750"/>
  </r>
  <r>
    <x v="626"/>
    <d v="2023-07-22T00:00:00"/>
    <x v="1"/>
    <x v="4"/>
    <x v="6"/>
    <s v="Online Delivery"/>
    <s v="Milk-based Sweets "/>
    <x v="2"/>
    <x v="0"/>
    <n v="2700"/>
    <n v="3000"/>
    <n v="1"/>
    <x v="94"/>
    <n v="2700"/>
    <n v="300"/>
  </r>
  <r>
    <x v="627"/>
    <d v="2023-07-23T00:00:00"/>
    <x v="1"/>
    <x v="4"/>
    <x v="1"/>
    <s v="Partnerships"/>
    <s v="Syrup-based Sweets"/>
    <x v="2"/>
    <x v="0"/>
    <n v="4050"/>
    <n v="4500"/>
    <n v="5"/>
    <x v="46"/>
    <n v="20250"/>
    <n v="2250"/>
  </r>
  <r>
    <x v="628"/>
    <d v="2023-07-24T00:00:00"/>
    <x v="1"/>
    <x v="4"/>
    <x v="8"/>
    <s v="Online Delivery"/>
    <s v="Dry Sweets "/>
    <x v="2"/>
    <x v="0"/>
    <n v="8280"/>
    <n v="9200"/>
    <n v="7"/>
    <x v="109"/>
    <n v="57960"/>
    <n v="6440"/>
  </r>
  <r>
    <x v="629"/>
    <d v="2023-07-25T00:00:00"/>
    <x v="1"/>
    <x v="4"/>
    <x v="5"/>
    <s v="Partnerships"/>
    <s v="Milk-based Sweets "/>
    <x v="2"/>
    <x v="2"/>
    <n v="4950"/>
    <n v="5500"/>
    <n v="4"/>
    <x v="110"/>
    <n v="19800"/>
    <n v="2200"/>
  </r>
  <r>
    <x v="630"/>
    <d v="2023-07-26T00:00:00"/>
    <x v="1"/>
    <x v="4"/>
    <x v="8"/>
    <s v="Online Delivery"/>
    <s v="Syrup-based Sweets"/>
    <x v="2"/>
    <x v="2"/>
    <n v="3150"/>
    <n v="3500"/>
    <n v="8"/>
    <x v="50"/>
    <n v="25200"/>
    <n v="2800"/>
  </r>
  <r>
    <x v="631"/>
    <d v="2023-07-27T00:00:00"/>
    <x v="1"/>
    <x v="4"/>
    <x v="8"/>
    <s v="Partnerships"/>
    <s v="Dry Sweets "/>
    <x v="2"/>
    <x v="2"/>
    <n v="2700"/>
    <n v="3000"/>
    <n v="8"/>
    <x v="66"/>
    <n v="21600"/>
    <n v="2400"/>
  </r>
  <r>
    <x v="632"/>
    <d v="2023-07-28T00:00:00"/>
    <x v="1"/>
    <x v="4"/>
    <x v="20"/>
    <s v="Online Delivery"/>
    <s v="Milk-based Sweets "/>
    <x v="2"/>
    <x v="0"/>
    <n v="4050"/>
    <n v="4500"/>
    <n v="9"/>
    <x v="111"/>
    <n v="36450"/>
    <n v="4050"/>
  </r>
  <r>
    <x v="633"/>
    <d v="2023-07-29T00:00:00"/>
    <x v="1"/>
    <x v="4"/>
    <x v="10"/>
    <s v="Partnerships"/>
    <s v="Syrup-based Sweets"/>
    <x v="2"/>
    <x v="0"/>
    <n v="8280"/>
    <n v="9200"/>
    <n v="2"/>
    <x v="131"/>
    <n v="16560"/>
    <n v="1840"/>
  </r>
  <r>
    <x v="634"/>
    <d v="2023-07-30T00:00:00"/>
    <x v="1"/>
    <x v="4"/>
    <x v="9"/>
    <s v="Online Delivery"/>
    <s v="Dry Sweets "/>
    <x v="2"/>
    <x v="0"/>
    <n v="4950"/>
    <n v="5500"/>
    <n v="1"/>
    <x v="132"/>
    <n v="4950"/>
    <n v="550"/>
  </r>
  <r>
    <x v="635"/>
    <d v="2023-07-31T00:00:00"/>
    <x v="1"/>
    <x v="4"/>
    <x v="0"/>
    <s v="Partnerships"/>
    <s v="Milk-based Sweets "/>
    <x v="2"/>
    <x v="0"/>
    <n v="3150"/>
    <n v="3500"/>
    <n v="22"/>
    <x v="21"/>
    <n v="69300"/>
    <n v="7700"/>
  </r>
  <r>
    <x v="636"/>
    <d v="2023-08-01T00:00:00"/>
    <x v="1"/>
    <x v="5"/>
    <x v="8"/>
    <s v="Online Delivery"/>
    <s v="Syrup-based Sweets"/>
    <x v="2"/>
    <x v="0"/>
    <n v="2700"/>
    <n v="3000"/>
    <n v="8"/>
    <x v="66"/>
    <n v="21600"/>
    <n v="2400"/>
  </r>
  <r>
    <x v="637"/>
    <d v="2023-08-02T00:00:00"/>
    <x v="1"/>
    <x v="5"/>
    <x v="8"/>
    <s v="Partnerships"/>
    <s v="Dry Sweets "/>
    <x v="2"/>
    <x v="0"/>
    <n v="4050"/>
    <n v="4500"/>
    <n v="7"/>
    <x v="74"/>
    <n v="28350"/>
    <n v="3150"/>
  </r>
  <r>
    <x v="638"/>
    <d v="2023-08-03T00:00:00"/>
    <x v="1"/>
    <x v="5"/>
    <x v="8"/>
    <s v="Online Delivery"/>
    <s v="Milk-based Sweets "/>
    <x v="2"/>
    <x v="0"/>
    <n v="4950"/>
    <n v="5500"/>
    <n v="56"/>
    <x v="154"/>
    <n v="277200"/>
    <n v="30800"/>
  </r>
  <r>
    <x v="639"/>
    <d v="2023-08-04T00:00:00"/>
    <x v="1"/>
    <x v="5"/>
    <x v="8"/>
    <s v="Partnerships"/>
    <s v="Syrup-based Sweets"/>
    <x v="2"/>
    <x v="2"/>
    <n v="3150"/>
    <n v="3500"/>
    <n v="10"/>
    <x v="155"/>
    <n v="31500"/>
    <n v="3500"/>
  </r>
  <r>
    <x v="640"/>
    <d v="2023-08-05T00:00:00"/>
    <x v="1"/>
    <x v="5"/>
    <x v="0"/>
    <s v="Online Delivery"/>
    <s v="Dry Sweets "/>
    <x v="2"/>
    <x v="2"/>
    <n v="2700"/>
    <n v="3000"/>
    <n v="9"/>
    <x v="23"/>
    <n v="24300"/>
    <n v="2700"/>
  </r>
  <r>
    <x v="641"/>
    <d v="2023-08-06T00:00:00"/>
    <x v="1"/>
    <x v="5"/>
    <x v="8"/>
    <s v="Partnerships"/>
    <s v="Milk-based Sweets "/>
    <x v="2"/>
    <x v="0"/>
    <n v="4050"/>
    <n v="4500"/>
    <n v="27"/>
    <x v="156"/>
    <n v="109350"/>
    <n v="12150"/>
  </r>
  <r>
    <x v="642"/>
    <d v="2023-08-07T00:00:00"/>
    <x v="1"/>
    <x v="5"/>
    <x v="6"/>
    <s v="Online Delivery"/>
    <s v="Syrup-based Sweets"/>
    <x v="2"/>
    <x v="0"/>
    <n v="8280"/>
    <n v="9200"/>
    <n v="15"/>
    <x v="157"/>
    <n v="124200"/>
    <n v="13800"/>
  </r>
  <r>
    <x v="643"/>
    <d v="2023-08-08T00:00:00"/>
    <x v="1"/>
    <x v="5"/>
    <x v="9"/>
    <s v="Partnerships"/>
    <s v="Dry Sweets "/>
    <x v="2"/>
    <x v="0"/>
    <n v="4950"/>
    <n v="5500"/>
    <n v="3"/>
    <x v="152"/>
    <n v="14850"/>
    <n v="1650"/>
  </r>
  <r>
    <x v="644"/>
    <d v="2023-08-09T00:00:00"/>
    <x v="1"/>
    <x v="5"/>
    <x v="20"/>
    <s v="Online Delivery"/>
    <s v="Milk-based Sweets "/>
    <x v="2"/>
    <x v="1"/>
    <n v="3150"/>
    <n v="3500"/>
    <n v="9"/>
    <x v="74"/>
    <n v="28350"/>
    <n v="3150"/>
  </r>
  <r>
    <x v="645"/>
    <d v="2023-08-10T00:00:00"/>
    <x v="1"/>
    <x v="5"/>
    <x v="29"/>
    <s v="Partnerships"/>
    <s v="Syrup-based Sweets"/>
    <x v="2"/>
    <x v="1"/>
    <n v="2700"/>
    <n v="3000"/>
    <n v="22"/>
    <x v="158"/>
    <n v="59400"/>
    <n v="6600"/>
  </r>
  <r>
    <x v="646"/>
    <d v="2023-10-11T00:00:00"/>
    <x v="1"/>
    <x v="2"/>
    <x v="8"/>
    <s v="Online Delivery"/>
    <s v="Dry Sweets "/>
    <x v="2"/>
    <x v="1"/>
    <n v="4050"/>
    <n v="4500"/>
    <n v="16"/>
    <x v="159"/>
    <n v="64800"/>
    <n v="7200"/>
  </r>
  <r>
    <x v="647"/>
    <d v="2023-10-11T00:00:00"/>
    <x v="1"/>
    <x v="2"/>
    <x v="2"/>
    <s v="Partnerships"/>
    <s v="Milk-based Sweets "/>
    <x v="2"/>
    <x v="2"/>
    <n v="8280"/>
    <n v="9200"/>
    <n v="6"/>
    <x v="160"/>
    <n v="49680"/>
    <n v="5520"/>
  </r>
  <r>
    <x v="648"/>
    <d v="2023-10-11T00:00:00"/>
    <x v="1"/>
    <x v="2"/>
    <x v="3"/>
    <s v="Online Delivery"/>
    <s v="Syrup-based Sweets"/>
    <x v="2"/>
    <x v="2"/>
    <n v="4950"/>
    <n v="5500"/>
    <n v="3"/>
    <x v="152"/>
    <n v="14850"/>
    <n v="1650"/>
  </r>
  <r>
    <x v="649"/>
    <d v="2023-10-11T00:00:00"/>
    <x v="1"/>
    <x v="2"/>
    <x v="8"/>
    <s v="Partnerships"/>
    <s v="Dry Sweets "/>
    <x v="2"/>
    <x v="2"/>
    <n v="3150"/>
    <n v="3500"/>
    <n v="5"/>
    <x v="153"/>
    <n v="15750"/>
    <n v="1750"/>
  </r>
  <r>
    <x v="650"/>
    <d v="2023-10-11T00:00:00"/>
    <x v="1"/>
    <x v="2"/>
    <x v="9"/>
    <s v="Online Delivery"/>
    <s v="Milk-based Sweets "/>
    <x v="2"/>
    <x v="0"/>
    <n v="2700"/>
    <n v="3000"/>
    <n v="1"/>
    <x v="94"/>
    <n v="2700"/>
    <n v="300"/>
  </r>
  <r>
    <x v="651"/>
    <d v="2023-10-11T00:00:00"/>
    <x v="1"/>
    <x v="2"/>
    <x v="19"/>
    <s v="Partnerships"/>
    <s v="Syrup-based Sweets"/>
    <x v="2"/>
    <x v="0"/>
    <n v="4050"/>
    <n v="4500"/>
    <n v="5"/>
    <x v="46"/>
    <n v="20250"/>
    <n v="2250"/>
  </r>
  <r>
    <x v="652"/>
    <d v="2023-10-11T00:00:00"/>
    <x v="1"/>
    <x v="2"/>
    <x v="21"/>
    <s v="Online Delivery"/>
    <s v="Dry Sweets "/>
    <x v="2"/>
    <x v="0"/>
    <n v="4950"/>
    <n v="5500"/>
    <n v="7"/>
    <x v="115"/>
    <n v="34650"/>
    <n v="3850"/>
  </r>
  <r>
    <x v="653"/>
    <d v="2023-10-11T00:00:00"/>
    <x v="1"/>
    <x v="2"/>
    <x v="18"/>
    <s v="Partnerships"/>
    <s v="Milk-based Sweets "/>
    <x v="2"/>
    <x v="0"/>
    <n v="3150"/>
    <n v="3500"/>
    <n v="4"/>
    <x v="35"/>
    <n v="12600"/>
    <n v="1400"/>
  </r>
  <r>
    <x v="654"/>
    <d v="2023-08-19T00:00:00"/>
    <x v="1"/>
    <x v="5"/>
    <x v="7"/>
    <s v="Online Delivery"/>
    <s v="Syrup-based Sweets"/>
    <x v="2"/>
    <x v="0"/>
    <n v="2700"/>
    <n v="3000"/>
    <n v="8"/>
    <x v="66"/>
    <n v="21600"/>
    <n v="2400"/>
  </r>
  <r>
    <x v="655"/>
    <d v="2023-08-20T00:00:00"/>
    <x v="1"/>
    <x v="5"/>
    <x v="8"/>
    <s v="Partnerships"/>
    <s v="Dry Sweets "/>
    <x v="2"/>
    <x v="0"/>
    <n v="4050"/>
    <n v="4500"/>
    <n v="8"/>
    <x v="90"/>
    <n v="32400"/>
    <n v="3600"/>
  </r>
  <r>
    <x v="656"/>
    <d v="2023-10-11T00:00:00"/>
    <x v="1"/>
    <x v="2"/>
    <x v="2"/>
    <s v="Online Delivery"/>
    <s v="Milk-based Sweets "/>
    <x v="2"/>
    <x v="0"/>
    <n v="8280"/>
    <n v="9200"/>
    <n v="9"/>
    <x v="161"/>
    <n v="74520"/>
    <n v="8280"/>
  </r>
  <r>
    <x v="657"/>
    <d v="2023-10-11T00:00:00"/>
    <x v="1"/>
    <x v="2"/>
    <x v="8"/>
    <s v="Partnerships"/>
    <s v="Syrup-based Sweets"/>
    <x v="2"/>
    <x v="2"/>
    <n v="4950"/>
    <n v="5500"/>
    <n v="2"/>
    <x v="162"/>
    <n v="9900"/>
    <n v="1100"/>
  </r>
  <r>
    <x v="658"/>
    <d v="2023-10-11T00:00:00"/>
    <x v="1"/>
    <x v="2"/>
    <x v="5"/>
    <s v="Online Delivery"/>
    <s v="Dry Sweets "/>
    <x v="2"/>
    <x v="2"/>
    <n v="3150"/>
    <n v="3500"/>
    <n v="1"/>
    <x v="78"/>
    <n v="3150"/>
    <n v="350"/>
  </r>
  <r>
    <x v="659"/>
    <d v="2023-10-11T00:00:00"/>
    <x v="1"/>
    <x v="2"/>
    <x v="1"/>
    <s v="Partnerships"/>
    <s v="Milk-based Sweets "/>
    <x v="2"/>
    <x v="0"/>
    <n v="2700"/>
    <n v="3000"/>
    <n v="22"/>
    <x v="158"/>
    <n v="59400"/>
    <n v="6600"/>
  </r>
  <r>
    <x v="660"/>
    <d v="2023-08-25T00:00:00"/>
    <x v="1"/>
    <x v="5"/>
    <x v="6"/>
    <s v="Online Delivery"/>
    <s v="Syrup-based Sweets"/>
    <x v="2"/>
    <x v="0"/>
    <n v="4050"/>
    <n v="4500"/>
    <n v="8"/>
    <x v="90"/>
    <n v="32400"/>
    <n v="3600"/>
  </r>
  <r>
    <x v="661"/>
    <d v="2023-08-26T00:00:00"/>
    <x v="1"/>
    <x v="5"/>
    <x v="18"/>
    <s v="Partnerships"/>
    <s v="Dry Sweets "/>
    <x v="2"/>
    <x v="0"/>
    <n v="8280"/>
    <n v="9200"/>
    <n v="7"/>
    <x v="109"/>
    <n v="57960"/>
    <n v="6440"/>
  </r>
  <r>
    <x v="662"/>
    <d v="2023-08-27T00:00:00"/>
    <x v="1"/>
    <x v="5"/>
    <x v="8"/>
    <s v="Online Delivery"/>
    <s v="Milk-based Sweets "/>
    <x v="2"/>
    <x v="0"/>
    <n v="4950"/>
    <n v="5500"/>
    <n v="56"/>
    <x v="154"/>
    <n v="277200"/>
    <n v="30800"/>
  </r>
  <r>
    <x v="663"/>
    <d v="2023-08-28T00:00:00"/>
    <x v="1"/>
    <x v="5"/>
    <x v="16"/>
    <s v="Partnerships"/>
    <s v="Syrup-based Sweets"/>
    <x v="2"/>
    <x v="0"/>
    <n v="3150"/>
    <n v="3500"/>
    <n v="10"/>
    <x v="155"/>
    <n v="31500"/>
    <n v="3500"/>
  </r>
  <r>
    <x v="664"/>
    <d v="2023-08-29T00:00:00"/>
    <x v="1"/>
    <x v="5"/>
    <x v="10"/>
    <s v="Online Delivery"/>
    <s v="Dry Sweets "/>
    <x v="2"/>
    <x v="0"/>
    <n v="2700"/>
    <n v="3000"/>
    <n v="9"/>
    <x v="23"/>
    <n v="24300"/>
    <n v="2700"/>
  </r>
  <r>
    <x v="665"/>
    <d v="2023-08-30T00:00:00"/>
    <x v="1"/>
    <x v="5"/>
    <x v="2"/>
    <s v="Partnerships"/>
    <s v="Milk-based Sweets "/>
    <x v="2"/>
    <x v="0"/>
    <n v="4050"/>
    <n v="4500"/>
    <n v="27"/>
    <x v="156"/>
    <n v="109350"/>
    <n v="12150"/>
  </r>
  <r>
    <x v="666"/>
    <d v="2023-08-31T00:00:00"/>
    <x v="1"/>
    <x v="5"/>
    <x v="18"/>
    <s v="Online Delivery"/>
    <s v="Syrup-based Sweets"/>
    <x v="2"/>
    <x v="0"/>
    <n v="4950"/>
    <n v="5500"/>
    <n v="15"/>
    <x v="137"/>
    <n v="74250"/>
    <n v="8250"/>
  </r>
  <r>
    <x v="667"/>
    <d v="2023-09-01T00:00:00"/>
    <x v="1"/>
    <x v="6"/>
    <x v="0"/>
    <s v="Partnerships"/>
    <s v="Dry Sweets "/>
    <x v="2"/>
    <x v="0"/>
    <n v="3150"/>
    <n v="3500"/>
    <n v="3"/>
    <x v="61"/>
    <n v="9450"/>
    <n v="1050"/>
  </r>
  <r>
    <x v="668"/>
    <d v="2023-09-02T00:00:00"/>
    <x v="1"/>
    <x v="6"/>
    <x v="8"/>
    <s v="Online Delivery"/>
    <s v="Milk-based Sweets "/>
    <x v="2"/>
    <x v="0"/>
    <n v="2700"/>
    <n v="3000"/>
    <n v="9"/>
    <x v="23"/>
    <n v="24300"/>
    <n v="2700"/>
  </r>
  <r>
    <x v="669"/>
    <d v="2023-09-03T00:00:00"/>
    <x v="1"/>
    <x v="6"/>
    <x v="12"/>
    <s v="Partnerships"/>
    <s v="Syrup-based Sweets"/>
    <x v="2"/>
    <x v="0"/>
    <n v="4050"/>
    <n v="4500"/>
    <n v="22"/>
    <x v="69"/>
    <n v="89100"/>
    <n v="9900"/>
  </r>
  <r>
    <x v="670"/>
    <d v="2023-09-04T00:00:00"/>
    <x v="1"/>
    <x v="6"/>
    <x v="20"/>
    <s v="Online Delivery"/>
    <s v="Dry Sweets "/>
    <x v="2"/>
    <x v="0"/>
    <n v="8280"/>
    <n v="9200"/>
    <n v="16"/>
    <x v="59"/>
    <n v="132480"/>
    <n v="14720"/>
  </r>
  <r>
    <x v="671"/>
    <d v="2023-09-05T00:00:00"/>
    <x v="1"/>
    <x v="6"/>
    <x v="5"/>
    <s v="Partnerships"/>
    <s v="Milk-based Sweets "/>
    <x v="2"/>
    <x v="2"/>
    <n v="4950"/>
    <n v="5500"/>
    <n v="6"/>
    <x v="60"/>
    <n v="29700"/>
    <n v="3300"/>
  </r>
  <r>
    <x v="672"/>
    <d v="2023-09-06T00:00:00"/>
    <x v="1"/>
    <x v="6"/>
    <x v="24"/>
    <s v="Online Delivery"/>
    <s v="Syrup-based Sweets"/>
    <x v="2"/>
    <x v="2"/>
    <n v="3150"/>
    <n v="3500"/>
    <n v="3"/>
    <x v="61"/>
    <n v="9450"/>
    <n v="1050"/>
  </r>
  <r>
    <x v="673"/>
    <d v="2023-09-07T00:00:00"/>
    <x v="1"/>
    <x v="6"/>
    <x v="8"/>
    <s v="Partnerships"/>
    <s v="Dry Sweets "/>
    <x v="2"/>
    <x v="0"/>
    <n v="2700"/>
    <n v="3000"/>
    <n v="5"/>
    <x v="1"/>
    <n v="13500"/>
    <n v="1500"/>
  </r>
  <r>
    <x v="674"/>
    <d v="2023-09-08T00:00:00"/>
    <x v="1"/>
    <x v="6"/>
    <x v="2"/>
    <s v="Online Delivery"/>
    <s v="Milk-based Sweets "/>
    <x v="2"/>
    <x v="0"/>
    <n v="4050"/>
    <n v="4500"/>
    <n v="1"/>
    <x v="62"/>
    <n v="4050"/>
    <n v="450"/>
  </r>
  <r>
    <x v="675"/>
    <d v="2023-09-09T00:00:00"/>
    <x v="1"/>
    <x v="6"/>
    <x v="12"/>
    <s v="Partnerships"/>
    <s v="Syrup-based Sweets"/>
    <x v="2"/>
    <x v="0"/>
    <n v="8280"/>
    <n v="9200"/>
    <n v="5"/>
    <x v="163"/>
    <n v="41400"/>
    <n v="4600"/>
  </r>
  <r>
    <x v="676"/>
    <d v="2023-09-10T00:00:00"/>
    <x v="1"/>
    <x v="6"/>
    <x v="0"/>
    <s v="Online Delivery"/>
    <s v="Dry Sweets "/>
    <x v="2"/>
    <x v="0"/>
    <n v="4950"/>
    <n v="5500"/>
    <n v="7"/>
    <x v="115"/>
    <n v="34650"/>
    <n v="3850"/>
  </r>
  <r>
    <x v="677"/>
    <d v="2023-09-11T00:00:00"/>
    <x v="1"/>
    <x v="6"/>
    <x v="2"/>
    <s v="Partnerships"/>
    <s v="Milk-based Sweets "/>
    <x v="2"/>
    <x v="0"/>
    <n v="3150"/>
    <n v="3500"/>
    <n v="4"/>
    <x v="35"/>
    <n v="12600"/>
    <n v="1400"/>
  </r>
  <r>
    <x v="678"/>
    <d v="2023-09-12T00:00:00"/>
    <x v="1"/>
    <x v="6"/>
    <x v="18"/>
    <s v="Online Delivery"/>
    <s v="Syrup-based Sweets"/>
    <x v="2"/>
    <x v="0"/>
    <n v="2700"/>
    <n v="3000"/>
    <n v="8"/>
    <x v="66"/>
    <n v="21600"/>
    <n v="2400"/>
  </r>
  <r>
    <x v="679"/>
    <d v="2023-09-13T00:00:00"/>
    <x v="1"/>
    <x v="6"/>
    <x v="0"/>
    <s v="Partnerships"/>
    <s v="Dry Sweets "/>
    <x v="2"/>
    <x v="0"/>
    <n v="4050"/>
    <n v="6000"/>
    <n v="8"/>
    <x v="22"/>
    <n v="32400"/>
    <n v="15600"/>
  </r>
  <r>
    <x v="680"/>
    <d v="2023-09-14T00:00:00"/>
    <x v="1"/>
    <x v="6"/>
    <x v="8"/>
    <s v="Online Delivery"/>
    <s v="Milk-based Sweets "/>
    <x v="2"/>
    <x v="0"/>
    <n v="4200"/>
    <n v="6000"/>
    <n v="9"/>
    <x v="126"/>
    <n v="37800"/>
    <n v="16200"/>
  </r>
  <r>
    <x v="681"/>
    <d v="2023-09-15T00:00:00"/>
    <x v="1"/>
    <x v="6"/>
    <x v="12"/>
    <s v="Partnerships"/>
    <s v="Syrup-based Sweets"/>
    <x v="2"/>
    <x v="0"/>
    <n v="4650"/>
    <n v="6000"/>
    <n v="2"/>
    <x v="89"/>
    <n v="9300"/>
    <n v="2700"/>
  </r>
  <r>
    <x v="682"/>
    <d v="2023-09-16T00:00:00"/>
    <x v="1"/>
    <x v="6"/>
    <x v="12"/>
    <s v="Online Delivery"/>
    <s v="Dry Sweets "/>
    <x v="2"/>
    <x v="0"/>
    <n v="5100"/>
    <n v="6000"/>
    <n v="1"/>
    <x v="164"/>
    <n v="510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57AA1-5E74-47EA-BDF9-FAB30B854A45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S34:T37" firstHeaderRow="1" firstDataRow="1" firstDataCol="1"/>
  <pivotFields count="15">
    <pivotField showAll="0">
      <items count="6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umFmtId="14" showAll="0"/>
    <pivotField axis="axisRow" showAll="0">
      <items count="3">
        <item x="0"/>
        <item x="1"/>
        <item t="default"/>
      </items>
    </pivotField>
    <pivotField showAll="0">
      <items count="13">
        <item x="9"/>
        <item x="10"/>
        <item x="11"/>
        <item x="0"/>
        <item x="1"/>
        <item x="3"/>
        <item x="4"/>
        <item x="5"/>
        <item x="6"/>
        <item x="2"/>
        <item x="7"/>
        <item x="8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>
      <items count="166">
        <item x="94"/>
        <item x="78"/>
        <item x="32"/>
        <item x="62"/>
        <item x="132"/>
        <item x="164"/>
        <item x="122"/>
        <item x="45"/>
        <item x="87"/>
        <item x="147"/>
        <item x="70"/>
        <item x="108"/>
        <item x="61"/>
        <item x="162"/>
        <item x="89"/>
        <item x="140"/>
        <item x="35"/>
        <item x="1"/>
        <item x="152"/>
        <item x="153"/>
        <item x="102"/>
        <item x="131"/>
        <item x="31"/>
        <item x="10"/>
        <item x="146"/>
        <item x="44"/>
        <item x="121"/>
        <item x="110"/>
        <item x="46"/>
        <item x="66"/>
        <item x="88"/>
        <item x="2"/>
        <item x="23"/>
        <item x="77"/>
        <item x="19"/>
        <item x="50"/>
        <item x="57"/>
        <item x="71"/>
        <item x="41"/>
        <item x="74"/>
        <item x="60"/>
        <item x="155"/>
        <item x="90"/>
        <item x="49"/>
        <item x="115"/>
        <item x="8"/>
        <item x="5"/>
        <item x="111"/>
        <item x="26"/>
        <item x="81"/>
        <item x="11"/>
        <item x="149"/>
        <item x="163"/>
        <item x="22"/>
        <item x="20"/>
        <item x="126"/>
        <item x="73"/>
        <item x="160"/>
        <item x="47"/>
        <item x="139"/>
        <item x="101"/>
        <item x="105"/>
        <item x="109"/>
        <item x="158"/>
        <item x="48"/>
        <item x="76"/>
        <item x="124"/>
        <item x="159"/>
        <item x="127"/>
        <item x="114"/>
        <item x="6"/>
        <item x="21"/>
        <item x="7"/>
        <item x="75"/>
        <item x="130"/>
        <item x="137"/>
        <item x="161"/>
        <item x="144"/>
        <item x="93"/>
        <item x="30"/>
        <item x="43"/>
        <item x="98"/>
        <item x="38"/>
        <item x="97"/>
        <item x="113"/>
        <item x="69"/>
        <item x="9"/>
        <item x="28"/>
        <item x="99"/>
        <item x="112"/>
        <item x="106"/>
        <item x="156"/>
        <item x="0"/>
        <item x="107"/>
        <item x="3"/>
        <item x="157"/>
        <item x="18"/>
        <item x="59"/>
        <item x="138"/>
        <item x="128"/>
        <item x="34"/>
        <item x="148"/>
        <item x="65"/>
        <item x="24"/>
        <item x="27"/>
        <item x="116"/>
        <item x="42"/>
        <item x="58"/>
        <item x="67"/>
        <item x="129"/>
        <item x="96"/>
        <item x="85"/>
        <item x="16"/>
        <item x="68"/>
        <item x="141"/>
        <item x="56"/>
        <item x="54"/>
        <item x="17"/>
        <item x="63"/>
        <item x="120"/>
        <item x="125"/>
        <item x="154"/>
        <item x="145"/>
        <item x="143"/>
        <item x="52"/>
        <item x="4"/>
        <item x="142"/>
        <item x="135"/>
        <item x="29"/>
        <item x="136"/>
        <item x="15"/>
        <item x="40"/>
        <item x="12"/>
        <item x="119"/>
        <item x="55"/>
        <item x="82"/>
        <item x="91"/>
        <item x="25"/>
        <item x="72"/>
        <item x="150"/>
        <item x="83"/>
        <item x="80"/>
        <item x="13"/>
        <item x="95"/>
        <item x="14"/>
        <item x="86"/>
        <item x="64"/>
        <item x="84"/>
        <item x="123"/>
        <item x="100"/>
        <item x="37"/>
        <item x="92"/>
        <item x="134"/>
        <item x="39"/>
        <item x="79"/>
        <item x="33"/>
        <item x="103"/>
        <item x="104"/>
        <item x="118"/>
        <item x="53"/>
        <item x="117"/>
        <item x="51"/>
        <item x="151"/>
        <item x="36"/>
        <item x="133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rofit/Loss" fld="14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9CE22-3453-4B35-9808-053F2AB3B51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C60" firstHeaderRow="1" firstDataRow="1" firstDataCol="1"/>
  <pivotFields count="15">
    <pivotField showAll="0"/>
    <pivotField numFmtId="14" showAll="0"/>
    <pivotField showAll="0"/>
    <pivotField showAll="0">
      <items count="13">
        <item x="9"/>
        <item x="10"/>
        <item x="11"/>
        <item x="0"/>
        <item x="1"/>
        <item x="3"/>
        <item x="4"/>
        <item x="5"/>
        <item x="6"/>
        <item x="2"/>
        <item x="7"/>
        <item x="8"/>
        <item t="default"/>
      </items>
    </pivotField>
    <pivotField axis="axisRow" showAll="0">
      <items count="31">
        <item x="14"/>
        <item x="0"/>
        <item x="17"/>
        <item x="19"/>
        <item x="20"/>
        <item x="28"/>
        <item x="23"/>
        <item x="29"/>
        <item x="1"/>
        <item x="4"/>
        <item x="16"/>
        <item x="6"/>
        <item x="26"/>
        <item x="7"/>
        <item x="11"/>
        <item x="9"/>
        <item x="21"/>
        <item x="25"/>
        <item x="24"/>
        <item x="8"/>
        <item x="27"/>
        <item x="15"/>
        <item x="13"/>
        <item x="10"/>
        <item x="18"/>
        <item x="5"/>
        <item x="12"/>
        <item x="2"/>
        <item x="22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C6A3E-0850-423F-992D-C8B1B7447D4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7" firstHeaderRow="1" firstDataRow="1" firstDataCol="1"/>
  <pivotFields count="15">
    <pivotField showAll="0"/>
    <pivotField numFmtId="14" showAll="0"/>
    <pivotField showAll="0"/>
    <pivotField showAll="0">
      <items count="13">
        <item x="9"/>
        <item x="10"/>
        <item x="11"/>
        <item x="0"/>
        <item x="1"/>
        <item x="3"/>
        <item x="4"/>
        <item x="5"/>
        <item x="6"/>
        <item x="2"/>
        <item x="7"/>
        <item x="8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91C94-254A-4AD6-8ECA-AFD00B2D6406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showAll="0"/>
    <pivotField numFmtId="14" showAll="0"/>
    <pivotField showAll="0"/>
    <pivotField axis="axisRow" showAll="0">
      <items count="13">
        <item x="9"/>
        <item x="10"/>
        <item x="11"/>
        <item x="0"/>
        <item x="1"/>
        <item x="3"/>
        <item x="4"/>
        <item x="5"/>
        <item x="6"/>
        <item x="2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96F3-F196-4134-B5D4-D1CCC8C00DD8}" name="Table1" displayName="Table1" ref="A1:O684" totalsRowShown="0" headerRowDxfId="15">
  <autoFilter ref="A1:O684" xr:uid="{A14596F3-F196-4134-B5D4-D1CCC8C00DD8}"/>
  <tableColumns count="15">
    <tableColumn id="1" xr3:uid="{A9801ACC-8F5E-49CC-8729-6574865BB3D0}" name="Id" dataDxfId="14"/>
    <tableColumn id="15" xr3:uid="{4566A882-F1FD-4956-833C-867E5F8485A4}" name="Date" dataDxfId="13"/>
    <tableColumn id="11" xr3:uid="{E0D8A42F-DD1F-4E64-9AD9-44F9351ED558}" name="Year" dataDxfId="12">
      <calculatedColumnFormula>TEXT(Table1[[#This Row],[Date]],"YYYY")</calculatedColumnFormula>
    </tableColumn>
    <tableColumn id="12" xr3:uid="{3B846E30-6231-4960-B748-B34B6AE17038}" name="Month" dataDxfId="11">
      <calculatedColumnFormula>TEXT(Table1[[#This Row],[Date]],"MMM")</calculatedColumnFormula>
    </tableColumn>
    <tableColumn id="14" xr3:uid="{F38FA9C5-9319-4F80-8F68-D42B819E2E13}" name="State" dataDxfId="10"/>
    <tableColumn id="5" xr3:uid="{AE753E35-E476-40F0-9817-2666331F4638}" name="Sales Channel" dataDxfId="9"/>
    <tableColumn id="6" xr3:uid="{4B32776B-ADBD-442F-A2E9-54DA6897141C}" name="Product" dataDxfId="8"/>
    <tableColumn id="7" xr3:uid="{2066124E-458C-4785-A5AD-36598CB61F76}" name="Categories" dataDxfId="7"/>
    <tableColumn id="21" xr3:uid="{CCB36EE8-35FD-4A27-A752-264831A42FB5}" name="Satisfaction Level" dataDxfId="6"/>
    <tableColumn id="8" xr3:uid="{C7026C57-922C-4FE9-B6BD-724CE97F7B2F}" name="Cost" dataDxfId="5"/>
    <tableColumn id="9" xr3:uid="{AB3CEC4E-3A54-49A6-ADB8-A1DF967D8AE8}" name="Sales Price" dataDxfId="4"/>
    <tableColumn id="10" xr3:uid="{BA79C5C5-C0B8-4113-B3AC-A667A6BBBD14}" name="Qty" dataDxfId="3"/>
    <tableColumn id="2" xr3:uid="{20B6AC66-4257-4EA7-A1F3-6493EE4188D5}" name="Revenue" dataDxfId="2">
      <calculatedColumnFormula>Table1[[#This Row],[Qty]]*Table1[[#This Row],[Sales Price]]</calculatedColumnFormula>
    </tableColumn>
    <tableColumn id="3" xr3:uid="{E3525122-B9CE-4AFF-B015-F30C09BC988E}" name="Total Cost" dataDxfId="1">
      <calculatedColumnFormula>Table1[[#This Row],[Qty]]*Table1[[#This Row],[Cost]]</calculatedColumnFormula>
    </tableColumn>
    <tableColumn id="4" xr3:uid="{A6038774-8C22-412E-8AC9-61A5F803742D}" name="Profit/Loss" dataDxfId="0">
      <calculatedColumnFormula>Table1[[#This Row],[Revenue]]-Table1[[#This Row],[Total Cost]]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D72D-3DCE-4B53-A5C2-CE02545A328B}">
  <dimension ref="A1:U684"/>
  <sheetViews>
    <sheetView topLeftCell="A2" zoomScale="90" zoomScaleNormal="90" workbookViewId="0">
      <selection activeCell="D12" sqref="D12"/>
    </sheetView>
  </sheetViews>
  <sheetFormatPr defaultRowHeight="14.4"/>
  <cols>
    <col min="1" max="1" width="7.77734375" bestFit="1" customWidth="1"/>
    <col min="2" max="2" width="11.44140625" bestFit="1" customWidth="1"/>
    <col min="3" max="3" width="10" bestFit="1" customWidth="1"/>
    <col min="4" max="4" width="12" bestFit="1" customWidth="1"/>
    <col min="5" max="5" width="25.77734375" bestFit="1" customWidth="1"/>
    <col min="6" max="6" width="18" bestFit="1" customWidth="1"/>
    <col min="7" max="7" width="19.33203125" bestFit="1" customWidth="1"/>
    <col min="8" max="8" width="15.33203125" bestFit="1" customWidth="1"/>
    <col min="9" max="9" width="21.21875" bestFit="1" customWidth="1"/>
    <col min="10" max="10" width="9.88671875" bestFit="1" customWidth="1"/>
    <col min="11" max="11" width="15.33203125" bestFit="1" customWidth="1"/>
    <col min="12" max="12" width="9.21875" bestFit="1" customWidth="1"/>
    <col min="13" max="13" width="11.33203125" bestFit="1" customWidth="1"/>
    <col min="14" max="14" width="12.21875" bestFit="1" customWidth="1"/>
    <col min="15" max="15" width="13" bestFit="1" customWidth="1"/>
    <col min="17" max="17" width="14.109375" bestFit="1" customWidth="1"/>
  </cols>
  <sheetData>
    <row r="1" spans="1:21">
      <c r="A1" s="1" t="s">
        <v>0</v>
      </c>
      <c r="B1" s="1" t="s">
        <v>1</v>
      </c>
      <c r="C1" s="1" t="s">
        <v>69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</row>
    <row r="2" spans="1:21">
      <c r="A2" s="3">
        <v>1</v>
      </c>
      <c r="B2" s="4">
        <v>44666</v>
      </c>
      <c r="C2" s="4" t="str">
        <f>TEXT(Table1[[#This Row],[Date]],"YYYY")</f>
        <v>2022</v>
      </c>
      <c r="D2" s="4" t="str">
        <f>TEXT(Table1[[#This Row],[Date]],"MMM")</f>
        <v>Apr</v>
      </c>
      <c r="E2" s="5" t="s">
        <v>14</v>
      </c>
      <c r="F2" s="3" t="s">
        <v>15</v>
      </c>
      <c r="G2" s="3" t="s">
        <v>16</v>
      </c>
      <c r="H2" s="3" t="s">
        <v>17</v>
      </c>
      <c r="I2" s="3">
        <v>1</v>
      </c>
      <c r="J2" s="3">
        <v>38250</v>
      </c>
      <c r="K2" s="3">
        <v>42500</v>
      </c>
      <c r="L2" s="3">
        <v>3</v>
      </c>
      <c r="M2">
        <f>Table1[[#This Row],[Qty]]*Table1[[#This Row],[Sales Price]]</f>
        <v>127500</v>
      </c>
      <c r="N2">
        <f>Table1[[#This Row],[Qty]]*Table1[[#This Row],[Cost]]</f>
        <v>114750</v>
      </c>
      <c r="O2">
        <f>Table1[[#This Row],[Revenue]]-Table1[[#This Row],[Total Cost]]</f>
        <v>12750</v>
      </c>
      <c r="Q2" t="s">
        <v>70</v>
      </c>
    </row>
    <row r="3" spans="1:21">
      <c r="A3" s="3">
        <v>2</v>
      </c>
      <c r="B3" s="4">
        <v>44667</v>
      </c>
      <c r="C3" s="4" t="str">
        <f>TEXT(Table1[[#This Row],[Date]],"YYYY")</f>
        <v>2022</v>
      </c>
      <c r="D3" s="4" t="str">
        <f>TEXT(Table1[[#This Row],[Date]],"MMM")</f>
        <v>Apr</v>
      </c>
      <c r="E3" s="5" t="s">
        <v>14</v>
      </c>
      <c r="F3" s="3" t="s">
        <v>18</v>
      </c>
      <c r="G3" s="3" t="s">
        <v>19</v>
      </c>
      <c r="H3" s="3" t="s">
        <v>17</v>
      </c>
      <c r="I3" s="3">
        <v>0</v>
      </c>
      <c r="J3" s="3">
        <v>2700</v>
      </c>
      <c r="K3" s="3">
        <v>3000</v>
      </c>
      <c r="L3" s="3">
        <v>5</v>
      </c>
      <c r="M3">
        <f>Table1[[#This Row],[Qty]]*Table1[[#This Row],[Sales Price]]</f>
        <v>15000</v>
      </c>
      <c r="N3">
        <f>Table1[[#This Row],[Qty]]*Table1[[#This Row],[Cost]]</f>
        <v>13500</v>
      </c>
      <c r="O3">
        <f>Table1[[#This Row],[Revenue]]-Table1[[#This Row],[Total Cost]]</f>
        <v>1500</v>
      </c>
      <c r="Q3" t="s">
        <v>71</v>
      </c>
    </row>
    <row r="4" spans="1:21">
      <c r="A4" s="3">
        <v>3</v>
      </c>
      <c r="B4" s="4">
        <v>44668</v>
      </c>
      <c r="C4" s="4" t="str">
        <f>TEXT(Table1[[#This Row],[Date]],"YYYY")</f>
        <v>2022</v>
      </c>
      <c r="D4" s="4" t="str">
        <f>TEXT(Table1[[#This Row],[Date]],"MMM")</f>
        <v>Apr</v>
      </c>
      <c r="E4" s="5" t="s">
        <v>20</v>
      </c>
      <c r="F4" s="3" t="s">
        <v>18</v>
      </c>
      <c r="G4" s="3" t="s">
        <v>21</v>
      </c>
      <c r="H4" s="3" t="s">
        <v>17</v>
      </c>
      <c r="I4" s="3">
        <v>1</v>
      </c>
      <c r="J4" s="3">
        <v>23850</v>
      </c>
      <c r="K4" s="3">
        <v>26500</v>
      </c>
      <c r="L4" s="3">
        <v>1</v>
      </c>
      <c r="M4">
        <f>Table1[[#This Row],[Qty]]*Table1[[#This Row],[Sales Price]]</f>
        <v>26500</v>
      </c>
      <c r="N4">
        <f>Table1[[#This Row],[Qty]]*Table1[[#This Row],[Cost]]</f>
        <v>23850</v>
      </c>
      <c r="O4">
        <f>Table1[[#This Row],[Revenue]]-Table1[[#This Row],[Total Cost]]</f>
        <v>2650</v>
      </c>
      <c r="Q4" t="s">
        <v>72</v>
      </c>
    </row>
    <row r="5" spans="1:21">
      <c r="A5" s="3">
        <v>4</v>
      </c>
      <c r="B5" s="4">
        <v>44669</v>
      </c>
      <c r="C5" s="4" t="str">
        <f>TEXT(Table1[[#This Row],[Date]],"YYYY")</f>
        <v>2022</v>
      </c>
      <c r="D5" s="4" t="str">
        <f>TEXT(Table1[[#This Row],[Date]],"MMM")</f>
        <v>Apr</v>
      </c>
      <c r="E5" s="5" t="s">
        <v>22</v>
      </c>
      <c r="F5" s="3" t="s">
        <v>18</v>
      </c>
      <c r="G5" s="3" t="s">
        <v>23</v>
      </c>
      <c r="H5" s="3" t="s">
        <v>17</v>
      </c>
      <c r="I5" s="3">
        <v>1</v>
      </c>
      <c r="J5" s="3">
        <v>24750</v>
      </c>
      <c r="K5" s="3">
        <v>27500</v>
      </c>
      <c r="L5" s="3">
        <v>5</v>
      </c>
      <c r="M5">
        <f>Table1[[#This Row],[Qty]]*Table1[[#This Row],[Sales Price]]</f>
        <v>137500</v>
      </c>
      <c r="N5">
        <f>Table1[[#This Row],[Qty]]*Table1[[#This Row],[Cost]]</f>
        <v>123750</v>
      </c>
      <c r="O5">
        <f>Table1[[#This Row],[Revenue]]-Table1[[#This Row],[Total Cost]]</f>
        <v>13750</v>
      </c>
    </row>
    <row r="6" spans="1:21">
      <c r="A6" s="3">
        <v>5</v>
      </c>
      <c r="B6" s="4">
        <v>44670</v>
      </c>
      <c r="C6" s="4" t="str">
        <f>TEXT(Table1[[#This Row],[Date]],"YYYY")</f>
        <v>2022</v>
      </c>
      <c r="D6" s="4" t="str">
        <f>TEXT(Table1[[#This Row],[Date]],"MMM")</f>
        <v>Apr</v>
      </c>
      <c r="E6" s="5" t="s">
        <v>24</v>
      </c>
      <c r="F6" s="3" t="s">
        <v>18</v>
      </c>
      <c r="G6" s="3" t="s">
        <v>25</v>
      </c>
      <c r="H6" s="3" t="s">
        <v>17</v>
      </c>
      <c r="I6" s="3">
        <v>1</v>
      </c>
      <c r="J6" s="3">
        <v>44550</v>
      </c>
      <c r="K6" s="3">
        <v>49500</v>
      </c>
      <c r="L6" s="3">
        <v>7</v>
      </c>
      <c r="M6">
        <f>Table1[[#This Row],[Qty]]*Table1[[#This Row],[Sales Price]]</f>
        <v>346500</v>
      </c>
      <c r="N6">
        <f>Table1[[#This Row],[Qty]]*Table1[[#This Row],[Cost]]</f>
        <v>311850</v>
      </c>
      <c r="O6">
        <f>Table1[[#This Row],[Revenue]]-Table1[[#This Row],[Total Cost]]</f>
        <v>34650</v>
      </c>
    </row>
    <row r="7" spans="1:21">
      <c r="A7" s="3">
        <v>6</v>
      </c>
      <c r="B7" s="4">
        <v>44671</v>
      </c>
      <c r="C7" s="4" t="str">
        <f>TEXT(Table1[[#This Row],[Date]],"YYYY")</f>
        <v>2022</v>
      </c>
      <c r="D7" s="4" t="str">
        <f>TEXT(Table1[[#This Row],[Date]],"MMM")</f>
        <v>Apr</v>
      </c>
      <c r="E7" s="5" t="s">
        <v>14</v>
      </c>
      <c r="F7" s="3" t="s">
        <v>18</v>
      </c>
      <c r="G7" s="3" t="s">
        <v>26</v>
      </c>
      <c r="H7" s="3" t="s">
        <v>17</v>
      </c>
      <c r="I7" s="3">
        <v>1</v>
      </c>
      <c r="J7" s="3">
        <v>9000</v>
      </c>
      <c r="K7" s="3">
        <v>10000</v>
      </c>
      <c r="L7" s="3">
        <v>4</v>
      </c>
      <c r="M7">
        <f>Table1[[#This Row],[Qty]]*Table1[[#This Row],[Sales Price]]</f>
        <v>40000</v>
      </c>
      <c r="N7">
        <f>Table1[[#This Row],[Qty]]*Table1[[#This Row],[Cost]]</f>
        <v>36000</v>
      </c>
      <c r="O7">
        <f>Table1[[#This Row],[Revenue]]-Table1[[#This Row],[Total Cost]]</f>
        <v>4000</v>
      </c>
    </row>
    <row r="8" spans="1:21">
      <c r="A8" s="3">
        <v>7</v>
      </c>
      <c r="B8" s="4">
        <v>44672</v>
      </c>
      <c r="C8" s="4" t="str">
        <f>TEXT(Table1[[#This Row],[Date]],"YYYY")</f>
        <v>2022</v>
      </c>
      <c r="D8" s="4" t="str">
        <f>TEXT(Table1[[#This Row],[Date]],"MMM")</f>
        <v>Apr</v>
      </c>
      <c r="E8" s="5" t="s">
        <v>20</v>
      </c>
      <c r="F8" s="3" t="s">
        <v>18</v>
      </c>
      <c r="G8" s="3" t="s">
        <v>27</v>
      </c>
      <c r="H8" s="3" t="s">
        <v>28</v>
      </c>
      <c r="I8" s="3"/>
      <c r="J8" s="3">
        <v>8640</v>
      </c>
      <c r="K8" s="3">
        <v>9600</v>
      </c>
      <c r="L8" s="3">
        <v>8</v>
      </c>
      <c r="M8">
        <f>Table1[[#This Row],[Qty]]*Table1[[#This Row],[Sales Price]]</f>
        <v>76800</v>
      </c>
      <c r="N8">
        <f>Table1[[#This Row],[Qty]]*Table1[[#This Row],[Cost]]</f>
        <v>69120</v>
      </c>
      <c r="O8">
        <f>Table1[[#This Row],[Revenue]]-Table1[[#This Row],[Total Cost]]</f>
        <v>7680</v>
      </c>
      <c r="Q8" t="s">
        <v>73</v>
      </c>
      <c r="U8" t="str">
        <f>PROPER(S8)</f>
        <v/>
      </c>
    </row>
    <row r="9" spans="1:21">
      <c r="A9" s="3">
        <v>8</v>
      </c>
      <c r="B9" s="4">
        <v>44673</v>
      </c>
      <c r="C9" s="4" t="str">
        <f>TEXT(Table1[[#This Row],[Date]],"YYYY")</f>
        <v>2022</v>
      </c>
      <c r="D9" s="4" t="str">
        <f>TEXT(Table1[[#This Row],[Date]],"MMM")</f>
        <v>Apr</v>
      </c>
      <c r="E9" s="5" t="s">
        <v>29</v>
      </c>
      <c r="F9" s="3" t="s">
        <v>18</v>
      </c>
      <c r="G9" s="3" t="s">
        <v>30</v>
      </c>
      <c r="H9" s="3" t="s">
        <v>28</v>
      </c>
      <c r="I9" s="3"/>
      <c r="J9" s="3">
        <v>9000</v>
      </c>
      <c r="K9" s="3">
        <v>10000</v>
      </c>
      <c r="L9" s="3">
        <v>8</v>
      </c>
      <c r="M9">
        <f>Table1[[#This Row],[Qty]]*Table1[[#This Row],[Sales Price]]</f>
        <v>80000</v>
      </c>
      <c r="N9">
        <f>Table1[[#This Row],[Qty]]*Table1[[#This Row],[Cost]]</f>
        <v>72000</v>
      </c>
      <c r="O9">
        <f>Table1[[#This Row],[Revenue]]-Table1[[#This Row],[Total Cost]]</f>
        <v>8000</v>
      </c>
      <c r="Q9" t="s">
        <v>74</v>
      </c>
      <c r="S9" t="str">
        <f>PROPER("sales channel")</f>
        <v>Sales Channel</v>
      </c>
    </row>
    <row r="10" spans="1:21">
      <c r="A10" s="3">
        <v>9</v>
      </c>
      <c r="B10" s="4">
        <v>44674</v>
      </c>
      <c r="C10" s="4" t="str">
        <f>TEXT(Table1[[#This Row],[Date]],"YYYY")</f>
        <v>2022</v>
      </c>
      <c r="D10" s="4" t="str">
        <f>TEXT(Table1[[#This Row],[Date]],"MMM")</f>
        <v>Apr</v>
      </c>
      <c r="E10" s="5" t="s">
        <v>31</v>
      </c>
      <c r="F10" s="3" t="s">
        <v>18</v>
      </c>
      <c r="G10" s="3" t="s">
        <v>32</v>
      </c>
      <c r="H10" s="3" t="s">
        <v>28</v>
      </c>
      <c r="I10" s="3">
        <v>1</v>
      </c>
      <c r="J10" s="3">
        <v>3870</v>
      </c>
      <c r="K10" s="3">
        <v>4300</v>
      </c>
      <c r="L10" s="3">
        <v>9</v>
      </c>
      <c r="M10">
        <f>Table1[[#This Row],[Qty]]*Table1[[#This Row],[Sales Price]]</f>
        <v>38700</v>
      </c>
      <c r="N10">
        <f>Table1[[#This Row],[Qty]]*Table1[[#This Row],[Cost]]</f>
        <v>34830</v>
      </c>
      <c r="O10">
        <f>Table1[[#This Row],[Revenue]]-Table1[[#This Row],[Total Cost]]</f>
        <v>3870</v>
      </c>
      <c r="Q10" t="s">
        <v>75</v>
      </c>
      <c r="S10" t="str">
        <f>PROPER("state")</f>
        <v>State</v>
      </c>
    </row>
    <row r="11" spans="1:21">
      <c r="A11" s="3">
        <v>10</v>
      </c>
      <c r="B11" s="4">
        <v>44675</v>
      </c>
      <c r="C11" s="4" t="str">
        <f>TEXT(Table1[[#This Row],[Date]],"YYYY")</f>
        <v>2022</v>
      </c>
      <c r="D11" s="4" t="str">
        <f>TEXT(Table1[[#This Row],[Date]],"MMM")</f>
        <v>Apr</v>
      </c>
      <c r="E11" s="5" t="s">
        <v>33</v>
      </c>
      <c r="F11" s="3" t="s">
        <v>18</v>
      </c>
      <c r="G11" s="3" t="s">
        <v>34</v>
      </c>
      <c r="H11" s="3" t="s">
        <v>28</v>
      </c>
      <c r="I11" s="3">
        <v>1</v>
      </c>
      <c r="J11" s="3">
        <v>45450</v>
      </c>
      <c r="K11" s="3">
        <v>50500</v>
      </c>
      <c r="L11" s="3">
        <v>2</v>
      </c>
      <c r="M11">
        <f>Table1[[#This Row],[Qty]]*Table1[[#This Row],[Sales Price]]</f>
        <v>101000</v>
      </c>
      <c r="N11">
        <f>Table1[[#This Row],[Qty]]*Table1[[#This Row],[Cost]]</f>
        <v>90900</v>
      </c>
      <c r="O11">
        <f>Table1[[#This Row],[Revenue]]-Table1[[#This Row],[Total Cost]]</f>
        <v>10100</v>
      </c>
      <c r="Q11" t="s">
        <v>76</v>
      </c>
      <c r="S11" t="str">
        <f>PROPER("product/cate")</f>
        <v>Product/Cate</v>
      </c>
    </row>
    <row r="12" spans="1:21">
      <c r="A12" s="3">
        <v>11</v>
      </c>
      <c r="B12" s="4">
        <v>44676</v>
      </c>
      <c r="C12" s="4" t="str">
        <f>TEXT(Table1[[#This Row],[Date]],"YYYY")</f>
        <v>2022</v>
      </c>
      <c r="D12" s="4" t="str">
        <f>TEXT(Table1[[#This Row],[Date]],"MMM")</f>
        <v>Apr</v>
      </c>
      <c r="E12" s="5" t="s">
        <v>35</v>
      </c>
      <c r="F12" s="3" t="s">
        <v>18</v>
      </c>
      <c r="G12" s="3" t="s">
        <v>36</v>
      </c>
      <c r="H12" s="3" t="s">
        <v>17</v>
      </c>
      <c r="I12" s="3">
        <v>1</v>
      </c>
      <c r="J12" s="3">
        <v>18225</v>
      </c>
      <c r="K12" s="3">
        <v>20250</v>
      </c>
      <c r="L12" s="3">
        <v>1</v>
      </c>
      <c r="M12">
        <f>Table1[[#This Row],[Qty]]*Table1[[#This Row],[Sales Price]]</f>
        <v>20250</v>
      </c>
      <c r="N12">
        <f>Table1[[#This Row],[Qty]]*Table1[[#This Row],[Cost]]</f>
        <v>18225</v>
      </c>
      <c r="O12">
        <f>Table1[[#This Row],[Revenue]]-Table1[[#This Row],[Total Cost]]</f>
        <v>2025</v>
      </c>
      <c r="Q12" t="s">
        <v>77</v>
      </c>
      <c r="S12" t="str">
        <f>PROPER("satisfaction level")</f>
        <v>Satisfaction Level</v>
      </c>
    </row>
    <row r="13" spans="1:21">
      <c r="A13" s="3">
        <v>12</v>
      </c>
      <c r="B13" s="4">
        <v>44677</v>
      </c>
      <c r="C13" s="4" t="str">
        <f>TEXT(Table1[[#This Row],[Date]],"YYYY")</f>
        <v>2022</v>
      </c>
      <c r="D13" s="4" t="str">
        <f>TEXT(Table1[[#This Row],[Date]],"MMM")</f>
        <v>Apr</v>
      </c>
      <c r="E13" s="5" t="s">
        <v>22</v>
      </c>
      <c r="F13" s="3" t="s">
        <v>18</v>
      </c>
      <c r="G13" s="3" t="s">
        <v>37</v>
      </c>
      <c r="H13" s="3" t="s">
        <v>17</v>
      </c>
      <c r="I13" s="3">
        <v>1</v>
      </c>
      <c r="J13" s="3">
        <v>1800</v>
      </c>
      <c r="K13" s="3">
        <v>2000</v>
      </c>
      <c r="L13" s="3">
        <v>22</v>
      </c>
      <c r="M13">
        <f>Table1[[#This Row],[Qty]]*Table1[[#This Row],[Sales Price]]</f>
        <v>44000</v>
      </c>
      <c r="N13">
        <f>Table1[[#This Row],[Qty]]*Table1[[#This Row],[Cost]]</f>
        <v>39600</v>
      </c>
      <c r="O13">
        <f>Table1[[#This Row],[Revenue]]-Table1[[#This Row],[Total Cost]]</f>
        <v>4400</v>
      </c>
      <c r="Q13" t="s">
        <v>78</v>
      </c>
      <c r="S13" t="s">
        <v>79</v>
      </c>
    </row>
    <row r="14" spans="1:21">
      <c r="A14" s="3">
        <v>13</v>
      </c>
      <c r="B14" s="4">
        <v>44678</v>
      </c>
      <c r="C14" s="4" t="str">
        <f>TEXT(Table1[[#This Row],[Date]],"YYYY")</f>
        <v>2022</v>
      </c>
      <c r="D14" s="4" t="str">
        <f>TEXT(Table1[[#This Row],[Date]],"MMM")</f>
        <v>Apr</v>
      </c>
      <c r="E14" s="5" t="s">
        <v>14</v>
      </c>
      <c r="F14" s="3" t="s">
        <v>18</v>
      </c>
      <c r="G14" s="3" t="s">
        <v>38</v>
      </c>
      <c r="H14" s="3" t="s">
        <v>17</v>
      </c>
      <c r="I14" s="3">
        <v>1</v>
      </c>
      <c r="J14" s="3">
        <v>48600</v>
      </c>
      <c r="K14" s="3">
        <v>54000</v>
      </c>
      <c r="L14" s="3">
        <v>8</v>
      </c>
      <c r="M14">
        <f>Table1[[#This Row],[Qty]]*Table1[[#This Row],[Sales Price]]</f>
        <v>432000</v>
      </c>
      <c r="N14">
        <f>Table1[[#This Row],[Qty]]*Table1[[#This Row],[Cost]]</f>
        <v>388800</v>
      </c>
      <c r="O14">
        <f>Table1[[#This Row],[Revenue]]-Table1[[#This Row],[Total Cost]]</f>
        <v>43200</v>
      </c>
    </row>
    <row r="15" spans="1:21">
      <c r="A15" s="3">
        <v>14</v>
      </c>
      <c r="B15" s="4">
        <v>44679</v>
      </c>
      <c r="C15" s="4" t="str">
        <f>TEXT(Table1[[#This Row],[Date]],"YYYY")</f>
        <v>2022</v>
      </c>
      <c r="D15" s="4" t="str">
        <f>TEXT(Table1[[#This Row],[Date]],"MMM")</f>
        <v>Apr</v>
      </c>
      <c r="E15" s="5" t="s">
        <v>33</v>
      </c>
      <c r="F15" s="3" t="s">
        <v>18</v>
      </c>
      <c r="G15" s="3" t="s">
        <v>19</v>
      </c>
      <c r="H15" s="3" t="s">
        <v>17</v>
      </c>
      <c r="I15" s="3">
        <v>1</v>
      </c>
      <c r="J15" s="3">
        <v>72900</v>
      </c>
      <c r="K15" s="3">
        <v>81000</v>
      </c>
      <c r="L15" s="3">
        <v>7</v>
      </c>
      <c r="M15">
        <f>Table1[[#This Row],[Qty]]*Table1[[#This Row],[Sales Price]]</f>
        <v>567000</v>
      </c>
      <c r="N15">
        <f>Table1[[#This Row],[Qty]]*Table1[[#This Row],[Cost]]</f>
        <v>510300</v>
      </c>
      <c r="O15">
        <f>Table1[[#This Row],[Revenue]]-Table1[[#This Row],[Total Cost]]</f>
        <v>56700</v>
      </c>
    </row>
    <row r="16" spans="1:21">
      <c r="A16" s="3">
        <v>15</v>
      </c>
      <c r="B16" s="4">
        <v>44680</v>
      </c>
      <c r="C16" s="4" t="str">
        <f>TEXT(Table1[[#This Row],[Date]],"YYYY")</f>
        <v>2022</v>
      </c>
      <c r="D16" s="4" t="str">
        <f>TEXT(Table1[[#This Row],[Date]],"MMM")</f>
        <v>Apr</v>
      </c>
      <c r="E16" s="5" t="s">
        <v>14</v>
      </c>
      <c r="F16" s="3" t="s">
        <v>18</v>
      </c>
      <c r="G16" s="3" t="s">
        <v>21</v>
      </c>
      <c r="H16" s="3" t="s">
        <v>17</v>
      </c>
      <c r="I16" s="3"/>
      <c r="J16" s="3">
        <v>9450</v>
      </c>
      <c r="K16" s="3">
        <v>10500</v>
      </c>
      <c r="L16" s="3">
        <v>56</v>
      </c>
      <c r="M16">
        <f>Table1[[#This Row],[Qty]]*Table1[[#This Row],[Sales Price]]</f>
        <v>588000</v>
      </c>
      <c r="N16">
        <f>Table1[[#This Row],[Qty]]*Table1[[#This Row],[Cost]]</f>
        <v>529200</v>
      </c>
      <c r="O16">
        <f>Table1[[#This Row],[Revenue]]-Table1[[#This Row],[Total Cost]]</f>
        <v>58800</v>
      </c>
    </row>
    <row r="17" spans="1:15">
      <c r="A17" s="3">
        <v>16</v>
      </c>
      <c r="B17" s="4">
        <v>44681</v>
      </c>
      <c r="C17" s="4" t="str">
        <f>TEXT(Table1[[#This Row],[Date]],"YYYY")</f>
        <v>2022</v>
      </c>
      <c r="D17" s="4" t="str">
        <f>TEXT(Table1[[#This Row],[Date]],"MMM")</f>
        <v>Apr</v>
      </c>
      <c r="E17" s="5" t="s">
        <v>39</v>
      </c>
      <c r="F17" s="3" t="s">
        <v>18</v>
      </c>
      <c r="G17" s="3" t="s">
        <v>23</v>
      </c>
      <c r="H17" s="3" t="s">
        <v>17</v>
      </c>
      <c r="I17" s="3"/>
      <c r="J17" s="3">
        <v>36000</v>
      </c>
      <c r="K17" s="3">
        <v>40000</v>
      </c>
      <c r="L17" s="3">
        <v>10</v>
      </c>
      <c r="M17">
        <f>Table1[[#This Row],[Qty]]*Table1[[#This Row],[Sales Price]]</f>
        <v>400000</v>
      </c>
      <c r="N17">
        <f>Table1[[#This Row],[Qty]]*Table1[[#This Row],[Cost]]</f>
        <v>360000</v>
      </c>
      <c r="O17">
        <f>Table1[[#This Row],[Revenue]]-Table1[[#This Row],[Total Cost]]</f>
        <v>40000</v>
      </c>
    </row>
    <row r="18" spans="1:15">
      <c r="A18" s="3">
        <v>17</v>
      </c>
      <c r="B18" s="4">
        <v>44682</v>
      </c>
      <c r="C18" s="4" t="str">
        <f>TEXT(Table1[[#This Row],[Date]],"YYYY")</f>
        <v>2022</v>
      </c>
      <c r="D18" s="4" t="str">
        <f>TEXT(Table1[[#This Row],[Date]],"MMM")</f>
        <v>May</v>
      </c>
      <c r="E18" s="5" t="s">
        <v>40</v>
      </c>
      <c r="F18" s="3" t="s">
        <v>18</v>
      </c>
      <c r="G18" s="3" t="s">
        <v>25</v>
      </c>
      <c r="H18" s="3" t="s">
        <v>17</v>
      </c>
      <c r="I18" s="3"/>
      <c r="J18" s="3">
        <v>24300</v>
      </c>
      <c r="K18" s="3">
        <v>27000</v>
      </c>
      <c r="L18" s="3">
        <v>9</v>
      </c>
      <c r="M18">
        <f>Table1[[#This Row],[Qty]]*Table1[[#This Row],[Sales Price]]</f>
        <v>243000</v>
      </c>
      <c r="N18">
        <f>Table1[[#This Row],[Qty]]*Table1[[#This Row],[Cost]]</f>
        <v>218700</v>
      </c>
      <c r="O18">
        <f>Table1[[#This Row],[Revenue]]-Table1[[#This Row],[Total Cost]]</f>
        <v>24300</v>
      </c>
    </row>
    <row r="19" spans="1:15">
      <c r="A19" s="3">
        <v>18</v>
      </c>
      <c r="B19" s="4">
        <v>44683</v>
      </c>
      <c r="C19" s="4" t="str">
        <f>TEXT(Table1[[#This Row],[Date]],"YYYY")</f>
        <v>2022</v>
      </c>
      <c r="D19" s="4" t="str">
        <f>TEXT(Table1[[#This Row],[Date]],"MMM")</f>
        <v>May</v>
      </c>
      <c r="E19" s="5" t="s">
        <v>39</v>
      </c>
      <c r="F19" s="3" t="s">
        <v>18</v>
      </c>
      <c r="G19" s="3" t="s">
        <v>26</v>
      </c>
      <c r="H19" s="3" t="s">
        <v>17</v>
      </c>
      <c r="I19" s="3">
        <v>1</v>
      </c>
      <c r="J19" s="3">
        <v>9180</v>
      </c>
      <c r="K19" s="3">
        <v>10200</v>
      </c>
      <c r="L19" s="3">
        <v>27</v>
      </c>
      <c r="M19">
        <f>Table1[[#This Row],[Qty]]*Table1[[#This Row],[Sales Price]]</f>
        <v>275400</v>
      </c>
      <c r="N19">
        <f>Table1[[#This Row],[Qty]]*Table1[[#This Row],[Cost]]</f>
        <v>247860</v>
      </c>
      <c r="O19">
        <f>Table1[[#This Row],[Revenue]]-Table1[[#This Row],[Total Cost]]</f>
        <v>27540</v>
      </c>
    </row>
    <row r="20" spans="1:15">
      <c r="A20" s="3">
        <v>19</v>
      </c>
      <c r="B20" s="4">
        <v>44684</v>
      </c>
      <c r="C20" s="4" t="str">
        <f>TEXT(Table1[[#This Row],[Date]],"YYYY")</f>
        <v>2022</v>
      </c>
      <c r="D20" s="4" t="str">
        <f>TEXT(Table1[[#This Row],[Date]],"MMM")</f>
        <v>May</v>
      </c>
      <c r="E20" s="5" t="s">
        <v>22</v>
      </c>
      <c r="F20" s="3" t="s">
        <v>18</v>
      </c>
      <c r="G20" s="3" t="s">
        <v>37</v>
      </c>
      <c r="H20" s="3" t="s">
        <v>17</v>
      </c>
      <c r="I20" s="3">
        <v>1</v>
      </c>
      <c r="J20" s="3">
        <v>8640</v>
      </c>
      <c r="K20" s="3">
        <v>9600</v>
      </c>
      <c r="L20" s="3">
        <v>15</v>
      </c>
      <c r="M20">
        <f>Table1[[#This Row],[Qty]]*Table1[[#This Row],[Sales Price]]</f>
        <v>144000</v>
      </c>
      <c r="N20">
        <f>Table1[[#This Row],[Qty]]*Table1[[#This Row],[Cost]]</f>
        <v>129600</v>
      </c>
      <c r="O20">
        <f>Table1[[#This Row],[Revenue]]-Table1[[#This Row],[Total Cost]]</f>
        <v>14400</v>
      </c>
    </row>
    <row r="21" spans="1:15">
      <c r="A21" s="3">
        <v>20</v>
      </c>
      <c r="B21" s="4">
        <v>44838</v>
      </c>
      <c r="C21" s="4" t="str">
        <f>TEXT(Table1[[#This Row],[Date]],"YYYY")</f>
        <v>2022</v>
      </c>
      <c r="D21" s="4" t="str">
        <f>TEXT(Table1[[#This Row],[Date]],"MMM")</f>
        <v>Oct</v>
      </c>
      <c r="E21" s="5" t="s">
        <v>22</v>
      </c>
      <c r="F21" s="3" t="s">
        <v>18</v>
      </c>
      <c r="G21" s="3" t="s">
        <v>41</v>
      </c>
      <c r="H21" s="3" t="s">
        <v>28</v>
      </c>
      <c r="I21" s="3">
        <v>1</v>
      </c>
      <c r="J21" s="3">
        <v>8280</v>
      </c>
      <c r="K21" s="3">
        <v>9200</v>
      </c>
      <c r="L21" s="3">
        <v>3</v>
      </c>
      <c r="M21">
        <f>Table1[[#This Row],[Qty]]*Table1[[#This Row],[Sales Price]]</f>
        <v>27600</v>
      </c>
      <c r="N21">
        <f>Table1[[#This Row],[Qty]]*Table1[[#This Row],[Cost]]</f>
        <v>24840</v>
      </c>
      <c r="O21">
        <f>Table1[[#This Row],[Revenue]]-Table1[[#This Row],[Total Cost]]</f>
        <v>2760</v>
      </c>
    </row>
    <row r="22" spans="1:15">
      <c r="A22" s="3">
        <v>21</v>
      </c>
      <c r="B22" s="4">
        <v>44686</v>
      </c>
      <c r="C22" s="4" t="str">
        <f>TEXT(Table1[[#This Row],[Date]],"YYYY")</f>
        <v>2022</v>
      </c>
      <c r="D22" s="4" t="str">
        <f>TEXT(Table1[[#This Row],[Date]],"MMM")</f>
        <v>May</v>
      </c>
      <c r="E22" s="5" t="s">
        <v>39</v>
      </c>
      <c r="F22" s="3" t="s">
        <v>18</v>
      </c>
      <c r="G22" s="3" t="s">
        <v>27</v>
      </c>
      <c r="H22" s="3" t="s">
        <v>28</v>
      </c>
      <c r="I22" s="3">
        <v>0</v>
      </c>
      <c r="J22" s="3">
        <v>4950</v>
      </c>
      <c r="K22" s="3">
        <v>5500</v>
      </c>
      <c r="L22" s="3">
        <v>9</v>
      </c>
      <c r="M22">
        <f>Table1[[#This Row],[Qty]]*Table1[[#This Row],[Sales Price]]</f>
        <v>49500</v>
      </c>
      <c r="N22">
        <f>Table1[[#This Row],[Qty]]*Table1[[#This Row],[Cost]]</f>
        <v>44550</v>
      </c>
      <c r="O22">
        <f>Table1[[#This Row],[Revenue]]-Table1[[#This Row],[Total Cost]]</f>
        <v>4950</v>
      </c>
    </row>
    <row r="23" spans="1:15">
      <c r="A23" s="3">
        <v>22</v>
      </c>
      <c r="B23" s="4">
        <v>44687</v>
      </c>
      <c r="C23" s="4" t="str">
        <f>TEXT(Table1[[#This Row],[Date]],"YYYY")</f>
        <v>2022</v>
      </c>
      <c r="D23" s="4" t="str">
        <f>TEXT(Table1[[#This Row],[Date]],"MMM")</f>
        <v>May</v>
      </c>
      <c r="E23" s="5" t="s">
        <v>39</v>
      </c>
      <c r="F23" s="3" t="s">
        <v>18</v>
      </c>
      <c r="G23" s="3" t="s">
        <v>32</v>
      </c>
      <c r="H23" s="3" t="s">
        <v>28</v>
      </c>
      <c r="I23" s="3">
        <v>0</v>
      </c>
      <c r="J23" s="3">
        <v>3150</v>
      </c>
      <c r="K23" s="3">
        <v>3500</v>
      </c>
      <c r="L23" s="3">
        <v>22</v>
      </c>
      <c r="M23">
        <f>Table1[[#This Row],[Qty]]*Table1[[#This Row],[Sales Price]]</f>
        <v>77000</v>
      </c>
      <c r="N23">
        <f>Table1[[#This Row],[Qty]]*Table1[[#This Row],[Cost]]</f>
        <v>69300</v>
      </c>
      <c r="O23">
        <f>Table1[[#This Row],[Revenue]]-Table1[[#This Row],[Total Cost]]</f>
        <v>7700</v>
      </c>
    </row>
    <row r="24" spans="1:15" ht="15.6">
      <c r="A24" s="3">
        <v>23</v>
      </c>
      <c r="B24" s="6">
        <v>44838</v>
      </c>
      <c r="C24" s="7" t="str">
        <f>TEXT(Table1[[#This Row],[Date]],"YYYY")</f>
        <v>2022</v>
      </c>
      <c r="D24" s="7" t="str">
        <f>TEXT(Table1[[#This Row],[Date]],"MMM")</f>
        <v>Oct</v>
      </c>
      <c r="E24" s="5" t="s">
        <v>31</v>
      </c>
      <c r="F24" s="3" t="s">
        <v>18</v>
      </c>
      <c r="G24" s="3" t="s">
        <v>42</v>
      </c>
      <c r="H24" s="3" t="s">
        <v>43</v>
      </c>
      <c r="I24" s="3">
        <v>0</v>
      </c>
      <c r="J24" s="3">
        <v>2700</v>
      </c>
      <c r="K24" s="3">
        <v>3000</v>
      </c>
      <c r="L24" s="3">
        <v>16</v>
      </c>
      <c r="M24">
        <f>Table1[[#This Row],[Qty]]*Table1[[#This Row],[Sales Price]]</f>
        <v>48000</v>
      </c>
      <c r="N24">
        <f>Table1[[#This Row],[Qty]]*Table1[[#This Row],[Cost]]</f>
        <v>43200</v>
      </c>
      <c r="O24">
        <f>Table1[[#This Row],[Revenue]]-Table1[[#This Row],[Total Cost]]</f>
        <v>4800</v>
      </c>
    </row>
    <row r="25" spans="1:15">
      <c r="A25" s="3">
        <v>24</v>
      </c>
      <c r="B25" s="4">
        <v>44689</v>
      </c>
      <c r="C25" s="4" t="str">
        <f>TEXT(Table1[[#This Row],[Date]],"YYYY")</f>
        <v>2022</v>
      </c>
      <c r="D25" s="4" t="str">
        <f>TEXT(Table1[[#This Row],[Date]],"MMM")</f>
        <v>May</v>
      </c>
      <c r="E25" s="5" t="s">
        <v>39</v>
      </c>
      <c r="F25" s="3" t="s">
        <v>15</v>
      </c>
      <c r="G25" s="3" t="s">
        <v>44</v>
      </c>
      <c r="H25" s="3" t="s">
        <v>43</v>
      </c>
      <c r="I25" s="3">
        <v>1</v>
      </c>
      <c r="J25" s="3">
        <v>4050</v>
      </c>
      <c r="K25" s="3">
        <v>4500</v>
      </c>
      <c r="L25" s="3">
        <v>6</v>
      </c>
      <c r="M25">
        <f>Table1[[#This Row],[Qty]]*Table1[[#This Row],[Sales Price]]</f>
        <v>27000</v>
      </c>
      <c r="N25">
        <f>Table1[[#This Row],[Qty]]*Table1[[#This Row],[Cost]]</f>
        <v>24300</v>
      </c>
      <c r="O25">
        <f>Table1[[#This Row],[Revenue]]-Table1[[#This Row],[Total Cost]]</f>
        <v>2700</v>
      </c>
    </row>
    <row r="26" spans="1:15" ht="15.6">
      <c r="A26" s="3">
        <v>25</v>
      </c>
      <c r="B26" s="6">
        <v>44838</v>
      </c>
      <c r="C26" s="7" t="str">
        <f>TEXT(Table1[[#This Row],[Date]],"YYYY")</f>
        <v>2022</v>
      </c>
      <c r="D26" s="7" t="str">
        <f>TEXT(Table1[[#This Row],[Date]],"MMM")</f>
        <v>Oct</v>
      </c>
      <c r="E26" s="5" t="s">
        <v>39</v>
      </c>
      <c r="F26" s="3" t="s">
        <v>15</v>
      </c>
      <c r="G26" s="3" t="s">
        <v>45</v>
      </c>
      <c r="H26" s="3" t="s">
        <v>43</v>
      </c>
      <c r="I26" s="3"/>
      <c r="J26" s="3">
        <v>53100</v>
      </c>
      <c r="K26" s="3">
        <v>59000</v>
      </c>
      <c r="L26" s="3">
        <v>3</v>
      </c>
      <c r="M26">
        <f>Table1[[#This Row],[Qty]]*Table1[[#This Row],[Sales Price]]</f>
        <v>177000</v>
      </c>
      <c r="N26">
        <f>Table1[[#This Row],[Qty]]*Table1[[#This Row],[Cost]]</f>
        <v>159300</v>
      </c>
      <c r="O26">
        <f>Table1[[#This Row],[Revenue]]-Table1[[#This Row],[Total Cost]]</f>
        <v>17700</v>
      </c>
    </row>
    <row r="27" spans="1:15" ht="15.6">
      <c r="A27" s="3">
        <v>26</v>
      </c>
      <c r="B27" s="6">
        <v>44838</v>
      </c>
      <c r="C27" s="7" t="str">
        <f>TEXT(Table1[[#This Row],[Date]],"YYYY")</f>
        <v>2022</v>
      </c>
      <c r="D27" s="7" t="str">
        <f>TEXT(Table1[[#This Row],[Date]],"MMM")</f>
        <v>Oct</v>
      </c>
      <c r="E27" s="5" t="s">
        <v>46</v>
      </c>
      <c r="F27" s="3" t="s">
        <v>15</v>
      </c>
      <c r="G27" s="3" t="s">
        <v>47</v>
      </c>
      <c r="H27" s="3" t="s">
        <v>43</v>
      </c>
      <c r="I27" s="3"/>
      <c r="J27" s="3">
        <v>88200</v>
      </c>
      <c r="K27" s="3">
        <v>98000</v>
      </c>
      <c r="L27" s="3">
        <v>5</v>
      </c>
      <c r="M27">
        <f>Table1[[#This Row],[Qty]]*Table1[[#This Row],[Sales Price]]</f>
        <v>490000</v>
      </c>
      <c r="N27">
        <f>Table1[[#This Row],[Qty]]*Table1[[#This Row],[Cost]]</f>
        <v>441000</v>
      </c>
      <c r="O27">
        <f>Table1[[#This Row],[Revenue]]-Table1[[#This Row],[Total Cost]]</f>
        <v>49000</v>
      </c>
    </row>
    <row r="28" spans="1:15" ht="15.6">
      <c r="A28" s="3">
        <v>27</v>
      </c>
      <c r="B28" s="6">
        <v>44838</v>
      </c>
      <c r="C28" s="7" t="str">
        <f>TEXT(Table1[[#This Row],[Date]],"YYYY")</f>
        <v>2022</v>
      </c>
      <c r="D28" s="7" t="str">
        <f>TEXT(Table1[[#This Row],[Date]],"MMM")</f>
        <v>Oct</v>
      </c>
      <c r="E28" s="5" t="s">
        <v>39</v>
      </c>
      <c r="F28" s="3" t="s">
        <v>15</v>
      </c>
      <c r="G28" s="3" t="s">
        <v>48</v>
      </c>
      <c r="H28" s="3" t="s">
        <v>43</v>
      </c>
      <c r="I28" s="3">
        <v>1</v>
      </c>
      <c r="J28" s="3">
        <v>38250</v>
      </c>
      <c r="K28" s="3">
        <v>42500</v>
      </c>
      <c r="L28" s="3">
        <v>1</v>
      </c>
      <c r="M28">
        <f>Table1[[#This Row],[Qty]]*Table1[[#This Row],[Sales Price]]</f>
        <v>42500</v>
      </c>
      <c r="N28">
        <f>Table1[[#This Row],[Qty]]*Table1[[#This Row],[Cost]]</f>
        <v>38250</v>
      </c>
      <c r="O28">
        <f>Table1[[#This Row],[Revenue]]-Table1[[#This Row],[Total Cost]]</f>
        <v>4250</v>
      </c>
    </row>
    <row r="29" spans="1:15" ht="15.6">
      <c r="A29" s="3">
        <v>28</v>
      </c>
      <c r="B29" s="6">
        <v>44838</v>
      </c>
      <c r="C29" s="7" t="str">
        <f>TEXT(Table1[[#This Row],[Date]],"YYYY")</f>
        <v>2022</v>
      </c>
      <c r="D29" s="7" t="str">
        <f>TEXT(Table1[[#This Row],[Date]],"MMM")</f>
        <v>Oct</v>
      </c>
      <c r="E29" s="5" t="s">
        <v>22</v>
      </c>
      <c r="F29" s="3" t="s">
        <v>15</v>
      </c>
      <c r="G29" s="3" t="s">
        <v>42</v>
      </c>
      <c r="H29" s="3" t="s">
        <v>43</v>
      </c>
      <c r="I29" s="3">
        <v>1</v>
      </c>
      <c r="J29" s="3">
        <v>2700</v>
      </c>
      <c r="K29" s="3">
        <v>3000</v>
      </c>
      <c r="L29" s="3">
        <v>5</v>
      </c>
      <c r="M29">
        <f>Table1[[#This Row],[Qty]]*Table1[[#This Row],[Sales Price]]</f>
        <v>15000</v>
      </c>
      <c r="N29">
        <f>Table1[[#This Row],[Qty]]*Table1[[#This Row],[Cost]]</f>
        <v>13500</v>
      </c>
      <c r="O29">
        <f>Table1[[#This Row],[Revenue]]-Table1[[#This Row],[Total Cost]]</f>
        <v>1500</v>
      </c>
    </row>
    <row r="30" spans="1:15">
      <c r="A30" s="3">
        <v>29</v>
      </c>
      <c r="B30" s="4">
        <v>44694</v>
      </c>
      <c r="C30" s="4" t="str">
        <f>TEXT(Table1[[#This Row],[Date]],"YYYY")</f>
        <v>2022</v>
      </c>
      <c r="D30" s="4" t="str">
        <f>TEXT(Table1[[#This Row],[Date]],"MMM")</f>
        <v>May</v>
      </c>
      <c r="E30" s="5" t="s">
        <v>20</v>
      </c>
      <c r="F30" s="3" t="s">
        <v>15</v>
      </c>
      <c r="G30" s="3" t="s">
        <v>44</v>
      </c>
      <c r="H30" s="3" t="s">
        <v>43</v>
      </c>
      <c r="I30" s="3">
        <v>1</v>
      </c>
      <c r="J30" s="3">
        <v>23850</v>
      </c>
      <c r="K30" s="3">
        <v>26500</v>
      </c>
      <c r="L30" s="3">
        <v>7</v>
      </c>
      <c r="M30">
        <f>Table1[[#This Row],[Qty]]*Table1[[#This Row],[Sales Price]]</f>
        <v>185500</v>
      </c>
      <c r="N30">
        <f>Table1[[#This Row],[Qty]]*Table1[[#This Row],[Cost]]</f>
        <v>166950</v>
      </c>
      <c r="O30">
        <f>Table1[[#This Row],[Revenue]]-Table1[[#This Row],[Total Cost]]</f>
        <v>18550</v>
      </c>
    </row>
    <row r="31" spans="1:15">
      <c r="A31" s="3">
        <v>30</v>
      </c>
      <c r="B31" s="4">
        <v>44695</v>
      </c>
      <c r="C31" s="4" t="str">
        <f>TEXT(Table1[[#This Row],[Date]],"YYYY")</f>
        <v>2022</v>
      </c>
      <c r="D31" s="4" t="str">
        <f>TEXT(Table1[[#This Row],[Date]],"MMM")</f>
        <v>May</v>
      </c>
      <c r="E31" s="5" t="s">
        <v>22</v>
      </c>
      <c r="F31" s="3" t="s">
        <v>15</v>
      </c>
      <c r="G31" s="3" t="s">
        <v>45</v>
      </c>
      <c r="H31" s="3" t="s">
        <v>43</v>
      </c>
      <c r="I31" s="3">
        <v>1</v>
      </c>
      <c r="J31" s="3">
        <v>24750</v>
      </c>
      <c r="K31" s="3">
        <v>27500</v>
      </c>
      <c r="L31" s="3">
        <v>4</v>
      </c>
      <c r="M31">
        <f>Table1[[#This Row],[Qty]]*Table1[[#This Row],[Sales Price]]</f>
        <v>110000</v>
      </c>
      <c r="N31">
        <f>Table1[[#This Row],[Qty]]*Table1[[#This Row],[Cost]]</f>
        <v>99000</v>
      </c>
      <c r="O31">
        <f>Table1[[#This Row],[Revenue]]-Table1[[#This Row],[Total Cost]]</f>
        <v>11000</v>
      </c>
    </row>
    <row r="32" spans="1:15">
      <c r="A32" s="3">
        <v>31</v>
      </c>
      <c r="B32" s="4">
        <v>44696</v>
      </c>
      <c r="C32" s="4" t="str">
        <f>TEXT(Table1[[#This Row],[Date]],"YYYY")</f>
        <v>2022</v>
      </c>
      <c r="D32" s="4" t="str">
        <f>TEXT(Table1[[#This Row],[Date]],"MMM")</f>
        <v>May</v>
      </c>
      <c r="E32" s="5" t="s">
        <v>39</v>
      </c>
      <c r="F32" s="3" t="s">
        <v>15</v>
      </c>
      <c r="G32" s="3" t="s">
        <v>47</v>
      </c>
      <c r="H32" s="3" t="s">
        <v>43</v>
      </c>
      <c r="I32" s="3">
        <v>1</v>
      </c>
      <c r="J32" s="3">
        <v>44550</v>
      </c>
      <c r="K32" s="3">
        <v>49500</v>
      </c>
      <c r="L32" s="3">
        <v>8</v>
      </c>
      <c r="M32">
        <f>Table1[[#This Row],[Qty]]*Table1[[#This Row],[Sales Price]]</f>
        <v>396000</v>
      </c>
      <c r="N32">
        <f>Table1[[#This Row],[Qty]]*Table1[[#This Row],[Cost]]</f>
        <v>356400</v>
      </c>
      <c r="O32">
        <f>Table1[[#This Row],[Revenue]]-Table1[[#This Row],[Total Cost]]</f>
        <v>39600</v>
      </c>
    </row>
    <row r="33" spans="1:15">
      <c r="A33" s="3">
        <v>32</v>
      </c>
      <c r="B33" s="4">
        <v>44697</v>
      </c>
      <c r="C33" s="4" t="str">
        <f>TEXT(Table1[[#This Row],[Date]],"YYYY")</f>
        <v>2022</v>
      </c>
      <c r="D33" s="4" t="str">
        <f>TEXT(Table1[[#This Row],[Date]],"MMM")</f>
        <v>May</v>
      </c>
      <c r="E33" s="5" t="s">
        <v>49</v>
      </c>
      <c r="F33" s="3" t="s">
        <v>15</v>
      </c>
      <c r="G33" s="3" t="s">
        <v>48</v>
      </c>
      <c r="H33" s="3" t="s">
        <v>43</v>
      </c>
      <c r="I33" s="3">
        <v>1</v>
      </c>
      <c r="J33" s="3">
        <v>9000</v>
      </c>
      <c r="K33" s="3">
        <v>10000</v>
      </c>
      <c r="L33" s="3">
        <v>8</v>
      </c>
      <c r="M33">
        <f>Table1[[#This Row],[Qty]]*Table1[[#This Row],[Sales Price]]</f>
        <v>80000</v>
      </c>
      <c r="N33">
        <f>Table1[[#This Row],[Qty]]*Table1[[#This Row],[Cost]]</f>
        <v>72000</v>
      </c>
      <c r="O33">
        <f>Table1[[#This Row],[Revenue]]-Table1[[#This Row],[Total Cost]]</f>
        <v>8000</v>
      </c>
    </row>
    <row r="34" spans="1:15">
      <c r="A34" s="3">
        <v>33</v>
      </c>
      <c r="B34" s="4">
        <v>44698</v>
      </c>
      <c r="C34" s="4" t="str">
        <f>TEXT(Table1[[#This Row],[Date]],"YYYY")</f>
        <v>2022</v>
      </c>
      <c r="D34" s="4" t="str">
        <f>TEXT(Table1[[#This Row],[Date]],"MMM")</f>
        <v>May</v>
      </c>
      <c r="E34" s="5" t="s">
        <v>22</v>
      </c>
      <c r="F34" s="3" t="s">
        <v>15</v>
      </c>
      <c r="G34" s="3" t="s">
        <v>48</v>
      </c>
      <c r="H34" s="3" t="s">
        <v>43</v>
      </c>
      <c r="I34" s="3"/>
      <c r="J34" s="3">
        <v>8640</v>
      </c>
      <c r="K34" s="3">
        <v>9600</v>
      </c>
      <c r="L34" s="3">
        <v>9</v>
      </c>
      <c r="M34">
        <f>Table1[[#This Row],[Qty]]*Table1[[#This Row],[Sales Price]]</f>
        <v>86400</v>
      </c>
      <c r="N34">
        <f>Table1[[#This Row],[Qty]]*Table1[[#This Row],[Cost]]</f>
        <v>77760</v>
      </c>
      <c r="O34">
        <f>Table1[[#This Row],[Revenue]]-Table1[[#This Row],[Total Cost]]</f>
        <v>8640</v>
      </c>
    </row>
    <row r="35" spans="1:15" ht="15.6">
      <c r="A35" s="3">
        <v>34</v>
      </c>
      <c r="B35" s="6">
        <v>44838</v>
      </c>
      <c r="C35" s="7" t="str">
        <f>TEXT(Table1[[#This Row],[Date]],"YYYY")</f>
        <v>2022</v>
      </c>
      <c r="D35" s="7" t="str">
        <f>TEXT(Table1[[#This Row],[Date]],"MMM")</f>
        <v>Oct</v>
      </c>
      <c r="E35" s="5" t="s">
        <v>33</v>
      </c>
      <c r="F35" s="3" t="s">
        <v>15</v>
      </c>
      <c r="G35" s="3" t="s">
        <v>42</v>
      </c>
      <c r="H35" s="3" t="s">
        <v>43</v>
      </c>
      <c r="I35" s="3"/>
      <c r="J35" s="3">
        <v>9000</v>
      </c>
      <c r="K35" s="3">
        <v>10000</v>
      </c>
      <c r="L35" s="3">
        <v>2</v>
      </c>
      <c r="M35">
        <f>Table1[[#This Row],[Qty]]*Table1[[#This Row],[Sales Price]]</f>
        <v>20000</v>
      </c>
      <c r="N35">
        <f>Table1[[#This Row],[Qty]]*Table1[[#This Row],[Cost]]</f>
        <v>18000</v>
      </c>
      <c r="O35">
        <f>Table1[[#This Row],[Revenue]]-Table1[[#This Row],[Total Cost]]</f>
        <v>2000</v>
      </c>
    </row>
    <row r="36" spans="1:15" ht="15.6">
      <c r="A36" s="3">
        <v>35</v>
      </c>
      <c r="B36" s="6">
        <v>44838</v>
      </c>
      <c r="C36" s="7" t="str">
        <f>TEXT(Table1[[#This Row],[Date]],"YYYY")</f>
        <v>2022</v>
      </c>
      <c r="D36" s="7" t="str">
        <f>TEXT(Table1[[#This Row],[Date]],"MMM")</f>
        <v>Oct</v>
      </c>
      <c r="E36" s="5" t="s">
        <v>33</v>
      </c>
      <c r="F36" s="3" t="s">
        <v>15</v>
      </c>
      <c r="G36" s="3" t="s">
        <v>16</v>
      </c>
      <c r="H36" s="3" t="s">
        <v>17</v>
      </c>
      <c r="I36" s="3"/>
      <c r="J36" s="3">
        <v>3870</v>
      </c>
      <c r="K36" s="3">
        <v>4300</v>
      </c>
      <c r="L36" s="3">
        <v>1</v>
      </c>
      <c r="M36">
        <f>Table1[[#This Row],[Qty]]*Table1[[#This Row],[Sales Price]]</f>
        <v>4300</v>
      </c>
      <c r="N36">
        <f>Table1[[#This Row],[Qty]]*Table1[[#This Row],[Cost]]</f>
        <v>3870</v>
      </c>
      <c r="O36">
        <f>Table1[[#This Row],[Revenue]]-Table1[[#This Row],[Total Cost]]</f>
        <v>430</v>
      </c>
    </row>
    <row r="37" spans="1:15" ht="15.6">
      <c r="A37" s="3">
        <v>36</v>
      </c>
      <c r="B37" s="6">
        <v>44838</v>
      </c>
      <c r="C37" s="7" t="str">
        <f>TEXT(Table1[[#This Row],[Date]],"YYYY")</f>
        <v>2022</v>
      </c>
      <c r="D37" s="7" t="str">
        <f>TEXT(Table1[[#This Row],[Date]],"MMM")</f>
        <v>Oct</v>
      </c>
      <c r="E37" s="5" t="s">
        <v>50</v>
      </c>
      <c r="F37" s="3" t="s">
        <v>15</v>
      </c>
      <c r="G37" s="3" t="s">
        <v>19</v>
      </c>
      <c r="H37" s="3" t="s">
        <v>17</v>
      </c>
      <c r="I37" s="3">
        <v>1</v>
      </c>
      <c r="J37" s="3">
        <v>45450</v>
      </c>
      <c r="K37" s="3">
        <v>50500</v>
      </c>
      <c r="L37" s="3">
        <v>22</v>
      </c>
      <c r="M37">
        <f>Table1[[#This Row],[Qty]]*Table1[[#This Row],[Sales Price]]</f>
        <v>1111000</v>
      </c>
      <c r="N37">
        <f>Table1[[#This Row],[Qty]]*Table1[[#This Row],[Cost]]</f>
        <v>999900</v>
      </c>
      <c r="O37">
        <f>Table1[[#This Row],[Revenue]]-Table1[[#This Row],[Total Cost]]</f>
        <v>111100</v>
      </c>
    </row>
    <row r="38" spans="1:15" ht="15.6">
      <c r="A38" s="3">
        <v>37</v>
      </c>
      <c r="B38" s="6">
        <v>44838</v>
      </c>
      <c r="C38" s="7" t="str">
        <f>TEXT(Table1[[#This Row],[Date]],"YYYY")</f>
        <v>2022</v>
      </c>
      <c r="D38" s="7" t="str">
        <f>TEXT(Table1[[#This Row],[Date]],"MMM")</f>
        <v>Oct</v>
      </c>
      <c r="E38" s="5" t="s">
        <v>29</v>
      </c>
      <c r="F38" s="3" t="s">
        <v>15</v>
      </c>
      <c r="G38" s="3" t="s">
        <v>21</v>
      </c>
      <c r="H38" s="3" t="s">
        <v>17</v>
      </c>
      <c r="I38" s="3">
        <v>1</v>
      </c>
      <c r="J38" s="3">
        <v>18225</v>
      </c>
      <c r="K38" s="3">
        <v>20250</v>
      </c>
      <c r="L38" s="3">
        <v>8</v>
      </c>
      <c r="M38">
        <f>Table1[[#This Row],[Qty]]*Table1[[#This Row],[Sales Price]]</f>
        <v>162000</v>
      </c>
      <c r="N38">
        <f>Table1[[#This Row],[Qty]]*Table1[[#This Row],[Cost]]</f>
        <v>145800</v>
      </c>
      <c r="O38">
        <f>Table1[[#This Row],[Revenue]]-Table1[[#This Row],[Total Cost]]</f>
        <v>16200</v>
      </c>
    </row>
    <row r="39" spans="1:15" ht="15.6">
      <c r="A39" s="3">
        <v>38</v>
      </c>
      <c r="B39" s="6">
        <v>44838</v>
      </c>
      <c r="C39" s="7" t="str">
        <f>TEXT(Table1[[#This Row],[Date]],"YYYY")</f>
        <v>2022</v>
      </c>
      <c r="D39" s="7" t="str">
        <f>TEXT(Table1[[#This Row],[Date]],"MMM")</f>
        <v>Oct</v>
      </c>
      <c r="E39" s="5" t="s">
        <v>22</v>
      </c>
      <c r="F39" s="3" t="s">
        <v>15</v>
      </c>
      <c r="G39" s="3" t="s">
        <v>23</v>
      </c>
      <c r="H39" s="3" t="s">
        <v>17</v>
      </c>
      <c r="I39" s="3">
        <v>1</v>
      </c>
      <c r="J39" s="3">
        <v>1800</v>
      </c>
      <c r="K39" s="3">
        <v>2000</v>
      </c>
      <c r="L39" s="3">
        <v>7</v>
      </c>
      <c r="M39">
        <f>Table1[[#This Row],[Qty]]*Table1[[#This Row],[Sales Price]]</f>
        <v>14000</v>
      </c>
      <c r="N39">
        <f>Table1[[#This Row],[Qty]]*Table1[[#This Row],[Cost]]</f>
        <v>12600</v>
      </c>
      <c r="O39">
        <f>Table1[[#This Row],[Revenue]]-Table1[[#This Row],[Total Cost]]</f>
        <v>1400</v>
      </c>
    </row>
    <row r="40" spans="1:15" ht="15.6">
      <c r="A40" s="3">
        <v>39</v>
      </c>
      <c r="B40" s="6">
        <v>44838</v>
      </c>
      <c r="C40" s="7" t="str">
        <f>TEXT(Table1[[#This Row],[Date]],"YYYY")</f>
        <v>2022</v>
      </c>
      <c r="D40" s="7" t="str">
        <f>TEXT(Table1[[#This Row],[Date]],"MMM")</f>
        <v>Oct</v>
      </c>
      <c r="E40" s="5" t="s">
        <v>33</v>
      </c>
      <c r="F40" s="3" t="s">
        <v>15</v>
      </c>
      <c r="G40" s="3" t="s">
        <v>25</v>
      </c>
      <c r="H40" s="3" t="s">
        <v>17</v>
      </c>
      <c r="I40" s="3">
        <v>1</v>
      </c>
      <c r="J40" s="3">
        <v>48600</v>
      </c>
      <c r="K40" s="3">
        <v>54000</v>
      </c>
      <c r="L40" s="3">
        <v>56</v>
      </c>
      <c r="M40">
        <f>Table1[[#This Row],[Qty]]*Table1[[#This Row],[Sales Price]]</f>
        <v>3024000</v>
      </c>
      <c r="N40">
        <f>Table1[[#This Row],[Qty]]*Table1[[#This Row],[Cost]]</f>
        <v>2721600</v>
      </c>
      <c r="O40">
        <f>Table1[[#This Row],[Revenue]]-Table1[[#This Row],[Total Cost]]</f>
        <v>302400</v>
      </c>
    </row>
    <row r="41" spans="1:15" ht="15.6">
      <c r="A41" s="3">
        <v>40</v>
      </c>
      <c r="B41" s="6">
        <v>44838</v>
      </c>
      <c r="C41" s="7" t="str">
        <f>TEXT(Table1[[#This Row],[Date]],"YYYY")</f>
        <v>2022</v>
      </c>
      <c r="D41" s="7" t="str">
        <f>TEXT(Table1[[#This Row],[Date]],"MMM")</f>
        <v>Oct</v>
      </c>
      <c r="E41" s="5" t="s">
        <v>31</v>
      </c>
      <c r="F41" s="3" t="s">
        <v>15</v>
      </c>
      <c r="G41" s="3" t="s">
        <v>26</v>
      </c>
      <c r="H41" s="3" t="s">
        <v>17</v>
      </c>
      <c r="I41" s="3">
        <v>1</v>
      </c>
      <c r="J41" s="3">
        <v>72900</v>
      </c>
      <c r="K41" s="3">
        <v>81000</v>
      </c>
      <c r="L41" s="3">
        <v>10</v>
      </c>
      <c r="M41">
        <f>Table1[[#This Row],[Qty]]*Table1[[#This Row],[Sales Price]]</f>
        <v>810000</v>
      </c>
      <c r="N41">
        <f>Table1[[#This Row],[Qty]]*Table1[[#This Row],[Cost]]</f>
        <v>729000</v>
      </c>
      <c r="O41">
        <f>Table1[[#This Row],[Revenue]]-Table1[[#This Row],[Total Cost]]</f>
        <v>81000</v>
      </c>
    </row>
    <row r="42" spans="1:15" ht="15.6">
      <c r="A42" s="3">
        <v>41</v>
      </c>
      <c r="B42" s="6">
        <v>44838</v>
      </c>
      <c r="C42" s="7" t="str">
        <f>TEXT(Table1[[#This Row],[Date]],"YYYY")</f>
        <v>2022</v>
      </c>
      <c r="D42" s="7" t="str">
        <f>TEXT(Table1[[#This Row],[Date]],"MMM")</f>
        <v>Oct</v>
      </c>
      <c r="E42" s="5" t="s">
        <v>22</v>
      </c>
      <c r="F42" s="3" t="s">
        <v>15</v>
      </c>
      <c r="G42" s="3" t="s">
        <v>27</v>
      </c>
      <c r="H42" s="3" t="s">
        <v>28</v>
      </c>
      <c r="I42" s="3">
        <v>1</v>
      </c>
      <c r="J42" s="3">
        <v>9450</v>
      </c>
      <c r="K42" s="3">
        <v>10500</v>
      </c>
      <c r="L42" s="3">
        <v>9</v>
      </c>
      <c r="M42">
        <f>Table1[[#This Row],[Qty]]*Table1[[#This Row],[Sales Price]]</f>
        <v>94500</v>
      </c>
      <c r="N42">
        <f>Table1[[#This Row],[Qty]]*Table1[[#This Row],[Cost]]</f>
        <v>85050</v>
      </c>
      <c r="O42">
        <f>Table1[[#This Row],[Revenue]]-Table1[[#This Row],[Total Cost]]</f>
        <v>9450</v>
      </c>
    </row>
    <row r="43" spans="1:15" ht="15.6">
      <c r="A43" s="3">
        <v>42</v>
      </c>
      <c r="B43" s="6">
        <v>44838</v>
      </c>
      <c r="C43" s="7" t="str">
        <f>TEXT(Table1[[#This Row],[Date]],"YYYY")</f>
        <v>2022</v>
      </c>
      <c r="D43" s="7" t="str">
        <f>TEXT(Table1[[#This Row],[Date]],"MMM")</f>
        <v>Oct</v>
      </c>
      <c r="E43" s="5" t="s">
        <v>24</v>
      </c>
      <c r="F43" s="3" t="s">
        <v>15</v>
      </c>
      <c r="G43" s="3" t="s">
        <v>30</v>
      </c>
      <c r="H43" s="3" t="s">
        <v>28</v>
      </c>
      <c r="I43" s="3">
        <v>1</v>
      </c>
      <c r="J43" s="3">
        <v>36000</v>
      </c>
      <c r="K43" s="3">
        <v>40000</v>
      </c>
      <c r="L43" s="3">
        <v>27</v>
      </c>
      <c r="M43">
        <f>Table1[[#This Row],[Qty]]*Table1[[#This Row],[Sales Price]]</f>
        <v>1080000</v>
      </c>
      <c r="N43">
        <f>Table1[[#This Row],[Qty]]*Table1[[#This Row],[Cost]]</f>
        <v>972000</v>
      </c>
      <c r="O43">
        <f>Table1[[#This Row],[Revenue]]-Table1[[#This Row],[Total Cost]]</f>
        <v>108000</v>
      </c>
    </row>
    <row r="44" spans="1:15" ht="15.6">
      <c r="A44" s="3">
        <v>43</v>
      </c>
      <c r="B44" s="6">
        <v>44838</v>
      </c>
      <c r="C44" s="7" t="str">
        <f>TEXT(Table1[[#This Row],[Date]],"YYYY")</f>
        <v>2022</v>
      </c>
      <c r="D44" s="7" t="str">
        <f>TEXT(Table1[[#This Row],[Date]],"MMM")</f>
        <v>Oct</v>
      </c>
      <c r="E44" s="5" t="s">
        <v>22</v>
      </c>
      <c r="F44" s="3" t="s">
        <v>15</v>
      </c>
      <c r="G44" s="3" t="s">
        <v>32</v>
      </c>
      <c r="H44" s="3" t="s">
        <v>28</v>
      </c>
      <c r="I44" s="3"/>
      <c r="J44" s="3">
        <v>24300</v>
      </c>
      <c r="K44" s="3">
        <v>27000</v>
      </c>
      <c r="L44" s="3">
        <v>15</v>
      </c>
      <c r="M44">
        <f>Table1[[#This Row],[Qty]]*Table1[[#This Row],[Sales Price]]</f>
        <v>405000</v>
      </c>
      <c r="N44">
        <f>Table1[[#This Row],[Qty]]*Table1[[#This Row],[Cost]]</f>
        <v>364500</v>
      </c>
      <c r="O44">
        <f>Table1[[#This Row],[Revenue]]-Table1[[#This Row],[Total Cost]]</f>
        <v>40500</v>
      </c>
    </row>
    <row r="45" spans="1:15">
      <c r="A45" s="3">
        <v>44</v>
      </c>
      <c r="B45" s="4">
        <v>44709</v>
      </c>
      <c r="C45" s="4" t="str">
        <f>TEXT(Table1[[#This Row],[Date]],"YYYY")</f>
        <v>2022</v>
      </c>
      <c r="D45" s="4" t="str">
        <f>TEXT(Table1[[#This Row],[Date]],"MMM")</f>
        <v>May</v>
      </c>
      <c r="E45" s="5" t="s">
        <v>51</v>
      </c>
      <c r="F45" s="3" t="s">
        <v>15</v>
      </c>
      <c r="G45" s="3" t="s">
        <v>34</v>
      </c>
      <c r="H45" s="3" t="s">
        <v>28</v>
      </c>
      <c r="I45" s="3"/>
      <c r="J45" s="3">
        <v>9180</v>
      </c>
      <c r="K45" s="3">
        <v>10200</v>
      </c>
      <c r="L45" s="3">
        <v>3</v>
      </c>
      <c r="M45">
        <f>Table1[[#This Row],[Qty]]*Table1[[#This Row],[Sales Price]]</f>
        <v>30600</v>
      </c>
      <c r="N45">
        <f>Table1[[#This Row],[Qty]]*Table1[[#This Row],[Cost]]</f>
        <v>27540</v>
      </c>
      <c r="O45">
        <f>Table1[[#This Row],[Revenue]]-Table1[[#This Row],[Total Cost]]</f>
        <v>3060</v>
      </c>
    </row>
    <row r="46" spans="1:15">
      <c r="A46" s="3">
        <v>45</v>
      </c>
      <c r="B46" s="4">
        <v>44710</v>
      </c>
      <c r="C46" s="4" t="str">
        <f>TEXT(Table1[[#This Row],[Date]],"YYYY")</f>
        <v>2022</v>
      </c>
      <c r="D46" s="4" t="str">
        <f>TEXT(Table1[[#This Row],[Date]],"MMM")</f>
        <v>May</v>
      </c>
      <c r="E46" s="5" t="s">
        <v>39</v>
      </c>
      <c r="F46" s="3" t="s">
        <v>15</v>
      </c>
      <c r="G46" s="3" t="s">
        <v>36</v>
      </c>
      <c r="H46" s="3" t="s">
        <v>17</v>
      </c>
      <c r="I46" s="3">
        <v>1</v>
      </c>
      <c r="J46" s="3">
        <v>8640</v>
      </c>
      <c r="K46" s="3">
        <v>9600</v>
      </c>
      <c r="L46" s="3">
        <v>9</v>
      </c>
      <c r="M46">
        <f>Table1[[#This Row],[Qty]]*Table1[[#This Row],[Sales Price]]</f>
        <v>86400</v>
      </c>
      <c r="N46">
        <f>Table1[[#This Row],[Qty]]*Table1[[#This Row],[Cost]]</f>
        <v>77760</v>
      </c>
      <c r="O46">
        <f>Table1[[#This Row],[Revenue]]-Table1[[#This Row],[Total Cost]]</f>
        <v>8640</v>
      </c>
    </row>
    <row r="47" spans="1:15">
      <c r="A47" s="3">
        <v>46</v>
      </c>
      <c r="B47" s="4">
        <v>44711</v>
      </c>
      <c r="C47" s="4" t="str">
        <f>TEXT(Table1[[#This Row],[Date]],"YYYY")</f>
        <v>2022</v>
      </c>
      <c r="D47" s="4" t="str">
        <f>TEXT(Table1[[#This Row],[Date]],"MMM")</f>
        <v>May</v>
      </c>
      <c r="E47" s="5" t="s">
        <v>52</v>
      </c>
      <c r="F47" s="3" t="s">
        <v>15</v>
      </c>
      <c r="G47" s="3" t="s">
        <v>37</v>
      </c>
      <c r="H47" s="3" t="s">
        <v>17</v>
      </c>
      <c r="I47" s="3">
        <v>1</v>
      </c>
      <c r="J47" s="3">
        <v>8280</v>
      </c>
      <c r="K47" s="3">
        <v>9200</v>
      </c>
      <c r="L47" s="3">
        <v>22</v>
      </c>
      <c r="M47">
        <f>Table1[[#This Row],[Qty]]*Table1[[#This Row],[Sales Price]]</f>
        <v>202400</v>
      </c>
      <c r="N47">
        <f>Table1[[#This Row],[Qty]]*Table1[[#This Row],[Cost]]</f>
        <v>182160</v>
      </c>
      <c r="O47">
        <f>Table1[[#This Row],[Revenue]]-Table1[[#This Row],[Total Cost]]</f>
        <v>20240</v>
      </c>
    </row>
    <row r="48" spans="1:15">
      <c r="A48" s="3">
        <v>47</v>
      </c>
      <c r="B48" s="4">
        <v>44712</v>
      </c>
      <c r="C48" s="4" t="str">
        <f>TEXT(Table1[[#This Row],[Date]],"YYYY")</f>
        <v>2022</v>
      </c>
      <c r="D48" s="4" t="str">
        <f>TEXT(Table1[[#This Row],[Date]],"MMM")</f>
        <v>May</v>
      </c>
      <c r="E48" s="5" t="s">
        <v>53</v>
      </c>
      <c r="F48" s="3" t="s">
        <v>15</v>
      </c>
      <c r="G48" s="3" t="s">
        <v>38</v>
      </c>
      <c r="H48" s="3" t="s">
        <v>17</v>
      </c>
      <c r="I48" s="3">
        <v>1</v>
      </c>
      <c r="J48" s="3">
        <v>4950</v>
      </c>
      <c r="K48" s="3">
        <v>5500</v>
      </c>
      <c r="L48" s="3">
        <v>16</v>
      </c>
      <c r="M48">
        <f>Table1[[#This Row],[Qty]]*Table1[[#This Row],[Sales Price]]</f>
        <v>88000</v>
      </c>
      <c r="N48">
        <f>Table1[[#This Row],[Qty]]*Table1[[#This Row],[Cost]]</f>
        <v>79200</v>
      </c>
      <c r="O48">
        <f>Table1[[#This Row],[Revenue]]-Table1[[#This Row],[Total Cost]]</f>
        <v>8800</v>
      </c>
    </row>
    <row r="49" spans="1:15">
      <c r="A49" s="3">
        <v>48</v>
      </c>
      <c r="B49" s="4">
        <v>44713</v>
      </c>
      <c r="C49" s="4" t="str">
        <f>TEXT(Table1[[#This Row],[Date]],"YYYY")</f>
        <v>2022</v>
      </c>
      <c r="D49" s="4" t="str">
        <f>TEXT(Table1[[#This Row],[Date]],"MMM")</f>
        <v>Jun</v>
      </c>
      <c r="E49" s="5" t="s">
        <v>24</v>
      </c>
      <c r="F49" s="3" t="s">
        <v>18</v>
      </c>
      <c r="G49" s="3" t="s">
        <v>19</v>
      </c>
      <c r="H49" s="3" t="s">
        <v>17</v>
      </c>
      <c r="I49" s="3">
        <v>0</v>
      </c>
      <c r="J49" s="3">
        <v>3150</v>
      </c>
      <c r="K49" s="3">
        <v>3500</v>
      </c>
      <c r="L49" s="3">
        <v>6</v>
      </c>
      <c r="M49">
        <f>Table1[[#This Row],[Qty]]*Table1[[#This Row],[Sales Price]]</f>
        <v>21000</v>
      </c>
      <c r="N49">
        <f>Table1[[#This Row],[Qty]]*Table1[[#This Row],[Cost]]</f>
        <v>18900</v>
      </c>
      <c r="O49">
        <f>Table1[[#This Row],[Revenue]]-Table1[[#This Row],[Total Cost]]</f>
        <v>2100</v>
      </c>
    </row>
    <row r="50" spans="1:15">
      <c r="A50" s="3">
        <v>49</v>
      </c>
      <c r="B50" s="4">
        <v>44714</v>
      </c>
      <c r="C50" s="4" t="str">
        <f>TEXT(Table1[[#This Row],[Date]],"YYYY")</f>
        <v>2022</v>
      </c>
      <c r="D50" s="4" t="str">
        <f>TEXT(Table1[[#This Row],[Date]],"MMM")</f>
        <v>Jun</v>
      </c>
      <c r="E50" s="5" t="s">
        <v>54</v>
      </c>
      <c r="F50" s="3" t="s">
        <v>15</v>
      </c>
      <c r="G50" s="3" t="s">
        <v>21</v>
      </c>
      <c r="H50" s="3" t="s">
        <v>17</v>
      </c>
      <c r="I50" s="3">
        <v>1</v>
      </c>
      <c r="J50" s="3">
        <v>2700</v>
      </c>
      <c r="K50" s="3">
        <v>3000</v>
      </c>
      <c r="L50" s="3">
        <v>3</v>
      </c>
      <c r="M50">
        <f>Table1[[#This Row],[Qty]]*Table1[[#This Row],[Sales Price]]</f>
        <v>9000</v>
      </c>
      <c r="N50">
        <f>Table1[[#This Row],[Qty]]*Table1[[#This Row],[Cost]]</f>
        <v>8100</v>
      </c>
      <c r="O50">
        <f>Table1[[#This Row],[Revenue]]-Table1[[#This Row],[Total Cost]]</f>
        <v>900</v>
      </c>
    </row>
    <row r="51" spans="1:15">
      <c r="A51" s="3">
        <v>50</v>
      </c>
      <c r="B51" s="4">
        <v>44715</v>
      </c>
      <c r="C51" s="4" t="str">
        <f>TEXT(Table1[[#This Row],[Date]],"YYYY")</f>
        <v>2022</v>
      </c>
      <c r="D51" s="4" t="str">
        <f>TEXT(Table1[[#This Row],[Date]],"MMM")</f>
        <v>Jun</v>
      </c>
      <c r="E51" s="5" t="s">
        <v>22</v>
      </c>
      <c r="F51" s="3" t="s">
        <v>18</v>
      </c>
      <c r="G51" s="3" t="s">
        <v>23</v>
      </c>
      <c r="H51" s="3" t="s">
        <v>17</v>
      </c>
      <c r="I51" s="3">
        <v>0</v>
      </c>
      <c r="J51" s="3">
        <v>4050</v>
      </c>
      <c r="K51" s="3">
        <v>4500</v>
      </c>
      <c r="L51" s="3">
        <v>5</v>
      </c>
      <c r="M51">
        <f>Table1[[#This Row],[Qty]]*Table1[[#This Row],[Sales Price]]</f>
        <v>22500</v>
      </c>
      <c r="N51">
        <f>Table1[[#This Row],[Qty]]*Table1[[#This Row],[Cost]]</f>
        <v>20250</v>
      </c>
      <c r="O51">
        <f>Table1[[#This Row],[Revenue]]-Table1[[#This Row],[Total Cost]]</f>
        <v>2250</v>
      </c>
    </row>
    <row r="52" spans="1:15">
      <c r="A52" s="3">
        <v>51</v>
      </c>
      <c r="B52" s="4">
        <v>44716</v>
      </c>
      <c r="C52" s="4" t="str">
        <f>TEXT(Table1[[#This Row],[Date]],"YYYY")</f>
        <v>2022</v>
      </c>
      <c r="D52" s="4" t="str">
        <f>TEXT(Table1[[#This Row],[Date]],"MMM")</f>
        <v>Jun</v>
      </c>
      <c r="E52" s="5" t="s">
        <v>55</v>
      </c>
      <c r="F52" s="3" t="s">
        <v>15</v>
      </c>
      <c r="G52" s="3" t="s">
        <v>25</v>
      </c>
      <c r="H52" s="3" t="s">
        <v>17</v>
      </c>
      <c r="I52" s="3"/>
      <c r="J52" s="3">
        <v>53100</v>
      </c>
      <c r="K52" s="3">
        <v>59000</v>
      </c>
      <c r="L52" s="3">
        <v>1</v>
      </c>
      <c r="M52">
        <f>Table1[[#This Row],[Qty]]*Table1[[#This Row],[Sales Price]]</f>
        <v>59000</v>
      </c>
      <c r="N52">
        <f>Table1[[#This Row],[Qty]]*Table1[[#This Row],[Cost]]</f>
        <v>53100</v>
      </c>
      <c r="O52">
        <f>Table1[[#This Row],[Revenue]]-Table1[[#This Row],[Total Cost]]</f>
        <v>5900</v>
      </c>
    </row>
    <row r="53" spans="1:15">
      <c r="A53" s="3">
        <v>52</v>
      </c>
      <c r="B53" s="4">
        <v>44717</v>
      </c>
      <c r="C53" s="4" t="str">
        <f>TEXT(Table1[[#This Row],[Date]],"YYYY")</f>
        <v>2022</v>
      </c>
      <c r="D53" s="4" t="str">
        <f>TEXT(Table1[[#This Row],[Date]],"MMM")</f>
        <v>Jun</v>
      </c>
      <c r="E53" s="5" t="s">
        <v>39</v>
      </c>
      <c r="F53" s="3" t="s">
        <v>18</v>
      </c>
      <c r="G53" s="3" t="s">
        <v>26</v>
      </c>
      <c r="H53" s="3" t="s">
        <v>17</v>
      </c>
      <c r="I53" s="3"/>
      <c r="J53" s="3">
        <v>88200</v>
      </c>
      <c r="K53" s="3">
        <v>98000</v>
      </c>
      <c r="L53" s="3">
        <v>5</v>
      </c>
      <c r="M53">
        <f>Table1[[#This Row],[Qty]]*Table1[[#This Row],[Sales Price]]</f>
        <v>490000</v>
      </c>
      <c r="N53">
        <f>Table1[[#This Row],[Qty]]*Table1[[#This Row],[Cost]]</f>
        <v>441000</v>
      </c>
      <c r="O53">
        <f>Table1[[#This Row],[Revenue]]-Table1[[#This Row],[Total Cost]]</f>
        <v>49000</v>
      </c>
    </row>
    <row r="54" spans="1:15">
      <c r="A54" s="3">
        <v>53</v>
      </c>
      <c r="B54" s="4">
        <v>44718</v>
      </c>
      <c r="C54" s="4" t="str">
        <f>TEXT(Table1[[#This Row],[Date]],"YYYY")</f>
        <v>2022</v>
      </c>
      <c r="D54" s="4" t="str">
        <f>TEXT(Table1[[#This Row],[Date]],"MMM")</f>
        <v>Jun</v>
      </c>
      <c r="E54" s="5" t="s">
        <v>39</v>
      </c>
      <c r="F54" s="3" t="s">
        <v>15</v>
      </c>
      <c r="G54" s="3" t="s">
        <v>37</v>
      </c>
      <c r="H54" s="3" t="s">
        <v>17</v>
      </c>
      <c r="I54" s="3"/>
      <c r="J54" s="3">
        <v>8640</v>
      </c>
      <c r="K54" s="3">
        <v>9600</v>
      </c>
      <c r="L54" s="3">
        <v>7</v>
      </c>
      <c r="M54">
        <f>Table1[[#This Row],[Qty]]*Table1[[#This Row],[Sales Price]]</f>
        <v>67200</v>
      </c>
      <c r="N54">
        <f>Table1[[#This Row],[Qty]]*Table1[[#This Row],[Cost]]</f>
        <v>60480</v>
      </c>
      <c r="O54">
        <f>Table1[[#This Row],[Revenue]]-Table1[[#This Row],[Total Cost]]</f>
        <v>6720</v>
      </c>
    </row>
    <row r="55" spans="1:15">
      <c r="A55" s="3">
        <v>54</v>
      </c>
      <c r="B55" s="4">
        <v>44719</v>
      </c>
      <c r="C55" s="4" t="str">
        <f>TEXT(Table1[[#This Row],[Date]],"YYYY")</f>
        <v>2022</v>
      </c>
      <c r="D55" s="4" t="str">
        <f>TEXT(Table1[[#This Row],[Date]],"MMM")</f>
        <v>Jun</v>
      </c>
      <c r="E55" s="5" t="s">
        <v>31</v>
      </c>
      <c r="F55" s="3" t="s">
        <v>18</v>
      </c>
      <c r="G55" s="3" t="s">
        <v>41</v>
      </c>
      <c r="H55" s="3" t="s">
        <v>28</v>
      </c>
      <c r="I55" s="3">
        <v>1</v>
      </c>
      <c r="J55" s="3">
        <v>8280</v>
      </c>
      <c r="K55" s="3">
        <v>9200</v>
      </c>
      <c r="L55" s="3">
        <v>4</v>
      </c>
      <c r="M55">
        <f>Table1[[#This Row],[Qty]]*Table1[[#This Row],[Sales Price]]</f>
        <v>36800</v>
      </c>
      <c r="N55">
        <f>Table1[[#This Row],[Qty]]*Table1[[#This Row],[Cost]]</f>
        <v>33120</v>
      </c>
      <c r="O55">
        <f>Table1[[#This Row],[Revenue]]-Table1[[#This Row],[Total Cost]]</f>
        <v>3680</v>
      </c>
    </row>
    <row r="56" spans="1:15">
      <c r="A56" s="3">
        <v>55</v>
      </c>
      <c r="B56" s="4">
        <v>44720</v>
      </c>
      <c r="C56" s="4" t="str">
        <f>TEXT(Table1[[#This Row],[Date]],"YYYY")</f>
        <v>2022</v>
      </c>
      <c r="D56" s="4" t="str">
        <f>TEXT(Table1[[#This Row],[Date]],"MMM")</f>
        <v>Jun</v>
      </c>
      <c r="E56" s="5" t="s">
        <v>39</v>
      </c>
      <c r="F56" s="3" t="s">
        <v>15</v>
      </c>
      <c r="G56" s="3" t="s">
        <v>27</v>
      </c>
      <c r="H56" s="3" t="s">
        <v>28</v>
      </c>
      <c r="I56" s="3">
        <v>1</v>
      </c>
      <c r="J56" s="3">
        <v>4950</v>
      </c>
      <c r="K56" s="3">
        <v>5500</v>
      </c>
      <c r="L56" s="3">
        <v>8</v>
      </c>
      <c r="M56">
        <f>Table1[[#This Row],[Qty]]*Table1[[#This Row],[Sales Price]]</f>
        <v>44000</v>
      </c>
      <c r="N56">
        <f>Table1[[#This Row],[Qty]]*Table1[[#This Row],[Cost]]</f>
        <v>39600</v>
      </c>
      <c r="O56">
        <f>Table1[[#This Row],[Revenue]]-Table1[[#This Row],[Total Cost]]</f>
        <v>4400</v>
      </c>
    </row>
    <row r="57" spans="1:15">
      <c r="A57" s="3">
        <v>56</v>
      </c>
      <c r="B57" s="4">
        <v>44721</v>
      </c>
      <c r="C57" s="4" t="str">
        <f>TEXT(Table1[[#This Row],[Date]],"YYYY")</f>
        <v>2022</v>
      </c>
      <c r="D57" s="4" t="str">
        <f>TEXT(Table1[[#This Row],[Date]],"MMM")</f>
        <v>Jun</v>
      </c>
      <c r="E57" s="5" t="s">
        <v>56</v>
      </c>
      <c r="F57" s="3" t="s">
        <v>18</v>
      </c>
      <c r="G57" s="3" t="s">
        <v>32</v>
      </c>
      <c r="H57" s="3" t="s">
        <v>28</v>
      </c>
      <c r="I57" s="3">
        <v>0</v>
      </c>
      <c r="J57" s="3">
        <v>3150</v>
      </c>
      <c r="K57" s="3">
        <v>3500</v>
      </c>
      <c r="L57" s="3">
        <v>8</v>
      </c>
      <c r="M57">
        <f>Table1[[#This Row],[Qty]]*Table1[[#This Row],[Sales Price]]</f>
        <v>28000</v>
      </c>
      <c r="N57">
        <f>Table1[[#This Row],[Qty]]*Table1[[#This Row],[Cost]]</f>
        <v>25200</v>
      </c>
      <c r="O57">
        <f>Table1[[#This Row],[Revenue]]-Table1[[#This Row],[Total Cost]]</f>
        <v>2800</v>
      </c>
    </row>
    <row r="58" spans="1:15">
      <c r="A58" s="3">
        <v>57</v>
      </c>
      <c r="B58" s="4">
        <v>44722</v>
      </c>
      <c r="C58" s="4" t="str">
        <f>TEXT(Table1[[#This Row],[Date]],"YYYY")</f>
        <v>2022</v>
      </c>
      <c r="D58" s="4" t="str">
        <f>TEXT(Table1[[#This Row],[Date]],"MMM")</f>
        <v>Jun</v>
      </c>
      <c r="E58" s="5" t="s">
        <v>22</v>
      </c>
      <c r="F58" s="3" t="s">
        <v>15</v>
      </c>
      <c r="G58" s="3" t="s">
        <v>42</v>
      </c>
      <c r="H58" s="3" t="s">
        <v>43</v>
      </c>
      <c r="I58" s="3">
        <v>1</v>
      </c>
      <c r="J58" s="3">
        <v>2700</v>
      </c>
      <c r="K58" s="3">
        <v>3000</v>
      </c>
      <c r="L58" s="3">
        <v>9</v>
      </c>
      <c r="M58">
        <f>Table1[[#This Row],[Qty]]*Table1[[#This Row],[Sales Price]]</f>
        <v>27000</v>
      </c>
      <c r="N58">
        <f>Table1[[#This Row],[Qty]]*Table1[[#This Row],[Cost]]</f>
        <v>24300</v>
      </c>
      <c r="O58">
        <f>Table1[[#This Row],[Revenue]]-Table1[[#This Row],[Total Cost]]</f>
        <v>2700</v>
      </c>
    </row>
    <row r="59" spans="1:15">
      <c r="A59" s="3">
        <v>58</v>
      </c>
      <c r="B59" s="4">
        <v>44723</v>
      </c>
      <c r="C59" s="4" t="str">
        <f>TEXT(Table1[[#This Row],[Date]],"YYYY")</f>
        <v>2022</v>
      </c>
      <c r="D59" s="4" t="str">
        <f>TEXT(Table1[[#This Row],[Date]],"MMM")</f>
        <v>Jun</v>
      </c>
      <c r="E59" s="5" t="s">
        <v>55</v>
      </c>
      <c r="F59" s="3" t="s">
        <v>18</v>
      </c>
      <c r="G59" s="3" t="s">
        <v>44</v>
      </c>
      <c r="H59" s="3" t="s">
        <v>43</v>
      </c>
      <c r="I59" s="3">
        <v>1</v>
      </c>
      <c r="J59" s="3">
        <v>4050</v>
      </c>
      <c r="K59" s="3">
        <v>4500</v>
      </c>
      <c r="L59" s="3">
        <v>2</v>
      </c>
      <c r="M59">
        <f>Table1[[#This Row],[Qty]]*Table1[[#This Row],[Sales Price]]</f>
        <v>9000</v>
      </c>
      <c r="N59">
        <f>Table1[[#This Row],[Qty]]*Table1[[#This Row],[Cost]]</f>
        <v>8100</v>
      </c>
      <c r="O59">
        <f>Table1[[#This Row],[Revenue]]-Table1[[#This Row],[Total Cost]]</f>
        <v>900</v>
      </c>
    </row>
    <row r="60" spans="1:15">
      <c r="A60" s="3">
        <v>59</v>
      </c>
      <c r="B60" s="4">
        <v>44724</v>
      </c>
      <c r="C60" s="4" t="str">
        <f>TEXT(Table1[[#This Row],[Date]],"YYYY")</f>
        <v>2022</v>
      </c>
      <c r="D60" s="4" t="str">
        <f>TEXT(Table1[[#This Row],[Date]],"MMM")</f>
        <v>Jun</v>
      </c>
      <c r="E60" s="5" t="s">
        <v>54</v>
      </c>
      <c r="F60" s="3" t="s">
        <v>15</v>
      </c>
      <c r="G60" s="3" t="s">
        <v>45</v>
      </c>
      <c r="H60" s="3" t="s">
        <v>43</v>
      </c>
      <c r="I60" s="3">
        <v>1</v>
      </c>
      <c r="J60" s="3">
        <v>53100</v>
      </c>
      <c r="K60" s="3">
        <v>59000</v>
      </c>
      <c r="L60" s="3">
        <v>1</v>
      </c>
      <c r="M60">
        <f>Table1[[#This Row],[Qty]]*Table1[[#This Row],[Sales Price]]</f>
        <v>59000</v>
      </c>
      <c r="N60">
        <f>Table1[[#This Row],[Qty]]*Table1[[#This Row],[Cost]]</f>
        <v>53100</v>
      </c>
      <c r="O60">
        <f>Table1[[#This Row],[Revenue]]-Table1[[#This Row],[Total Cost]]</f>
        <v>5900</v>
      </c>
    </row>
    <row r="61" spans="1:15">
      <c r="A61" s="3">
        <v>60</v>
      </c>
      <c r="B61" s="4">
        <v>44725</v>
      </c>
      <c r="C61" s="4" t="str">
        <f>TEXT(Table1[[#This Row],[Date]],"YYYY")</f>
        <v>2022</v>
      </c>
      <c r="D61" s="4" t="str">
        <f>TEXT(Table1[[#This Row],[Date]],"MMM")</f>
        <v>Jun</v>
      </c>
      <c r="E61" s="5" t="s">
        <v>14</v>
      </c>
      <c r="F61" s="3" t="s">
        <v>18</v>
      </c>
      <c r="G61" s="3" t="s">
        <v>47</v>
      </c>
      <c r="H61" s="3" t="s">
        <v>43</v>
      </c>
      <c r="I61" s="3">
        <v>1</v>
      </c>
      <c r="J61" s="3">
        <v>88200</v>
      </c>
      <c r="K61" s="3">
        <v>98000</v>
      </c>
      <c r="L61" s="3">
        <v>22</v>
      </c>
      <c r="M61">
        <f>Table1[[#This Row],[Qty]]*Table1[[#This Row],[Sales Price]]</f>
        <v>2156000</v>
      </c>
      <c r="N61">
        <f>Table1[[#This Row],[Qty]]*Table1[[#This Row],[Cost]]</f>
        <v>1940400</v>
      </c>
      <c r="O61">
        <f>Table1[[#This Row],[Revenue]]-Table1[[#This Row],[Total Cost]]</f>
        <v>215600</v>
      </c>
    </row>
    <row r="62" spans="1:15">
      <c r="A62" s="3">
        <v>61</v>
      </c>
      <c r="B62" s="4">
        <v>44726</v>
      </c>
      <c r="C62" s="4" t="str">
        <f>TEXT(Table1[[#This Row],[Date]],"YYYY")</f>
        <v>2022</v>
      </c>
      <c r="D62" s="4" t="str">
        <f>TEXT(Table1[[#This Row],[Date]],"MMM")</f>
        <v>Jun</v>
      </c>
      <c r="E62" s="5" t="s">
        <v>31</v>
      </c>
      <c r="F62" s="3" t="s">
        <v>15</v>
      </c>
      <c r="G62" s="3" t="s">
        <v>48</v>
      </c>
      <c r="H62" s="3" t="s">
        <v>43</v>
      </c>
      <c r="I62" s="3"/>
      <c r="J62" s="3">
        <v>38250</v>
      </c>
      <c r="K62" s="3">
        <v>42500</v>
      </c>
      <c r="L62" s="3">
        <v>8</v>
      </c>
      <c r="M62">
        <f>Table1[[#This Row],[Qty]]*Table1[[#This Row],[Sales Price]]</f>
        <v>340000</v>
      </c>
      <c r="N62">
        <f>Table1[[#This Row],[Qty]]*Table1[[#This Row],[Cost]]</f>
        <v>306000</v>
      </c>
      <c r="O62">
        <f>Table1[[#This Row],[Revenue]]-Table1[[#This Row],[Total Cost]]</f>
        <v>34000</v>
      </c>
    </row>
    <row r="63" spans="1:15">
      <c r="A63" s="3">
        <v>62</v>
      </c>
      <c r="B63" s="4">
        <v>44727</v>
      </c>
      <c r="C63" s="4" t="str">
        <f>TEXT(Table1[[#This Row],[Date]],"YYYY")</f>
        <v>2022</v>
      </c>
      <c r="D63" s="4" t="str">
        <f>TEXT(Table1[[#This Row],[Date]],"MMM")</f>
        <v>Jun</v>
      </c>
      <c r="E63" s="5" t="s">
        <v>24</v>
      </c>
      <c r="F63" s="3" t="s">
        <v>18</v>
      </c>
      <c r="G63" s="3" t="s">
        <v>42</v>
      </c>
      <c r="H63" s="3" t="s">
        <v>43</v>
      </c>
      <c r="I63" s="3"/>
      <c r="J63" s="3">
        <v>2700</v>
      </c>
      <c r="K63" s="3">
        <v>3000</v>
      </c>
      <c r="L63" s="3">
        <v>7</v>
      </c>
      <c r="M63">
        <f>Table1[[#This Row],[Qty]]*Table1[[#This Row],[Sales Price]]</f>
        <v>21000</v>
      </c>
      <c r="N63">
        <f>Table1[[#This Row],[Qty]]*Table1[[#This Row],[Cost]]</f>
        <v>18900</v>
      </c>
      <c r="O63">
        <f>Table1[[#This Row],[Revenue]]-Table1[[#This Row],[Total Cost]]</f>
        <v>2100</v>
      </c>
    </row>
    <row r="64" spans="1:15">
      <c r="A64" s="3">
        <v>63</v>
      </c>
      <c r="B64" s="4">
        <v>44728</v>
      </c>
      <c r="C64" s="4" t="str">
        <f>TEXT(Table1[[#This Row],[Date]],"YYYY")</f>
        <v>2022</v>
      </c>
      <c r="D64" s="4" t="str">
        <f>TEXT(Table1[[#This Row],[Date]],"MMM")</f>
        <v>Jun</v>
      </c>
      <c r="E64" s="5" t="s">
        <v>57</v>
      </c>
      <c r="F64" s="3" t="s">
        <v>15</v>
      </c>
      <c r="G64" s="3" t="s">
        <v>44</v>
      </c>
      <c r="H64" s="3" t="s">
        <v>43</v>
      </c>
      <c r="I64" s="3">
        <v>1</v>
      </c>
      <c r="J64" s="3">
        <v>23850</v>
      </c>
      <c r="K64" s="3">
        <v>26500</v>
      </c>
      <c r="L64" s="3">
        <v>56</v>
      </c>
      <c r="M64">
        <f>Table1[[#This Row],[Qty]]*Table1[[#This Row],[Sales Price]]</f>
        <v>1484000</v>
      </c>
      <c r="N64">
        <f>Table1[[#This Row],[Qty]]*Table1[[#This Row],[Cost]]</f>
        <v>1335600</v>
      </c>
      <c r="O64">
        <f>Table1[[#This Row],[Revenue]]-Table1[[#This Row],[Total Cost]]</f>
        <v>148400</v>
      </c>
    </row>
    <row r="65" spans="1:15">
      <c r="A65" s="3">
        <v>64</v>
      </c>
      <c r="B65" s="4">
        <v>44729</v>
      </c>
      <c r="C65" s="4" t="str">
        <f>TEXT(Table1[[#This Row],[Date]],"YYYY")</f>
        <v>2022</v>
      </c>
      <c r="D65" s="4" t="str">
        <f>TEXT(Table1[[#This Row],[Date]],"MMM")</f>
        <v>Jun</v>
      </c>
      <c r="E65" s="5" t="s">
        <v>53</v>
      </c>
      <c r="F65" s="3" t="s">
        <v>18</v>
      </c>
      <c r="G65" s="3" t="s">
        <v>45</v>
      </c>
      <c r="H65" s="3" t="s">
        <v>43</v>
      </c>
      <c r="I65" s="3">
        <v>1</v>
      </c>
      <c r="J65" s="3">
        <v>24750</v>
      </c>
      <c r="K65" s="3">
        <v>27500</v>
      </c>
      <c r="L65" s="3">
        <v>10</v>
      </c>
      <c r="M65">
        <f>Table1[[#This Row],[Qty]]*Table1[[#This Row],[Sales Price]]</f>
        <v>275000</v>
      </c>
      <c r="N65">
        <f>Table1[[#This Row],[Qty]]*Table1[[#This Row],[Cost]]</f>
        <v>247500</v>
      </c>
      <c r="O65">
        <f>Table1[[#This Row],[Revenue]]-Table1[[#This Row],[Total Cost]]</f>
        <v>27500</v>
      </c>
    </row>
    <row r="66" spans="1:15">
      <c r="A66" s="3">
        <v>65</v>
      </c>
      <c r="B66" s="4">
        <v>44730</v>
      </c>
      <c r="C66" s="4" t="str">
        <f>TEXT(Table1[[#This Row],[Date]],"YYYY")</f>
        <v>2022</v>
      </c>
      <c r="D66" s="4" t="str">
        <f>TEXT(Table1[[#This Row],[Date]],"MMM")</f>
        <v>Jun</v>
      </c>
      <c r="E66" s="5" t="s">
        <v>58</v>
      </c>
      <c r="F66" s="3" t="s">
        <v>15</v>
      </c>
      <c r="G66" s="3" t="s">
        <v>47</v>
      </c>
      <c r="H66" s="3" t="s">
        <v>43</v>
      </c>
      <c r="I66" s="3">
        <v>1</v>
      </c>
      <c r="J66" s="3">
        <v>44550</v>
      </c>
      <c r="K66" s="3">
        <v>49500</v>
      </c>
      <c r="L66" s="3">
        <v>9</v>
      </c>
      <c r="M66">
        <f>Table1[[#This Row],[Qty]]*Table1[[#This Row],[Sales Price]]</f>
        <v>445500</v>
      </c>
      <c r="N66">
        <f>Table1[[#This Row],[Qty]]*Table1[[#This Row],[Cost]]</f>
        <v>400950</v>
      </c>
      <c r="O66">
        <f>Table1[[#This Row],[Revenue]]-Table1[[#This Row],[Total Cost]]</f>
        <v>44550</v>
      </c>
    </row>
    <row r="67" spans="1:15">
      <c r="A67" s="3">
        <v>66</v>
      </c>
      <c r="B67" s="4">
        <v>44731</v>
      </c>
      <c r="C67" s="4" t="str">
        <f>TEXT(Table1[[#This Row],[Date]],"YYYY")</f>
        <v>2022</v>
      </c>
      <c r="D67" s="4" t="str">
        <f>TEXT(Table1[[#This Row],[Date]],"MMM")</f>
        <v>Jun</v>
      </c>
      <c r="E67" s="5" t="s">
        <v>22</v>
      </c>
      <c r="F67" s="3" t="s">
        <v>18</v>
      </c>
      <c r="G67" s="3" t="s">
        <v>48</v>
      </c>
      <c r="H67" s="3" t="s">
        <v>43</v>
      </c>
      <c r="I67" s="3">
        <v>1</v>
      </c>
      <c r="J67" s="3">
        <v>9000</v>
      </c>
      <c r="K67" s="3">
        <v>10000</v>
      </c>
      <c r="L67" s="3">
        <v>27</v>
      </c>
      <c r="M67">
        <f>Table1[[#This Row],[Qty]]*Table1[[#This Row],[Sales Price]]</f>
        <v>270000</v>
      </c>
      <c r="N67">
        <f>Table1[[#This Row],[Qty]]*Table1[[#This Row],[Cost]]</f>
        <v>243000</v>
      </c>
      <c r="O67">
        <f>Table1[[#This Row],[Revenue]]-Table1[[#This Row],[Total Cost]]</f>
        <v>27000</v>
      </c>
    </row>
    <row r="68" spans="1:15">
      <c r="A68" s="3">
        <v>67</v>
      </c>
      <c r="B68" s="4">
        <v>44732</v>
      </c>
      <c r="C68" s="4" t="str">
        <f>TEXT(Table1[[#This Row],[Date]],"YYYY")</f>
        <v>2022</v>
      </c>
      <c r="D68" s="4" t="str">
        <f>TEXT(Table1[[#This Row],[Date]],"MMM")</f>
        <v>Jun</v>
      </c>
      <c r="E68" s="5" t="s">
        <v>22</v>
      </c>
      <c r="F68" s="3" t="s">
        <v>15</v>
      </c>
      <c r="G68" s="3" t="s">
        <v>48</v>
      </c>
      <c r="H68" s="3" t="s">
        <v>43</v>
      </c>
      <c r="I68" s="3">
        <v>1</v>
      </c>
      <c r="J68" s="3">
        <v>8640</v>
      </c>
      <c r="K68" s="3">
        <v>9600</v>
      </c>
      <c r="L68" s="3">
        <v>15</v>
      </c>
      <c r="M68">
        <f>Table1[[#This Row],[Qty]]*Table1[[#This Row],[Sales Price]]</f>
        <v>144000</v>
      </c>
      <c r="N68">
        <f>Table1[[#This Row],[Qty]]*Table1[[#This Row],[Cost]]</f>
        <v>129600</v>
      </c>
      <c r="O68">
        <f>Table1[[#This Row],[Revenue]]-Table1[[#This Row],[Total Cost]]</f>
        <v>14400</v>
      </c>
    </row>
    <row r="69" spans="1:15">
      <c r="A69" s="3">
        <v>68</v>
      </c>
      <c r="B69" s="4">
        <v>44733</v>
      </c>
      <c r="C69" s="4" t="str">
        <f>TEXT(Table1[[#This Row],[Date]],"YYYY")</f>
        <v>2022</v>
      </c>
      <c r="D69" s="4" t="str">
        <f>TEXT(Table1[[#This Row],[Date]],"MMM")</f>
        <v>Jun</v>
      </c>
      <c r="E69" s="5" t="s">
        <v>40</v>
      </c>
      <c r="F69" s="3" t="s">
        <v>18</v>
      </c>
      <c r="G69" s="3" t="s">
        <v>42</v>
      </c>
      <c r="H69" s="3" t="s">
        <v>43</v>
      </c>
      <c r="I69" s="3">
        <v>1</v>
      </c>
      <c r="J69" s="3">
        <v>9000</v>
      </c>
      <c r="K69" s="3">
        <v>10000</v>
      </c>
      <c r="L69" s="3">
        <v>3</v>
      </c>
      <c r="M69">
        <f>Table1[[#This Row],[Qty]]*Table1[[#This Row],[Sales Price]]</f>
        <v>30000</v>
      </c>
      <c r="N69">
        <f>Table1[[#This Row],[Qty]]*Table1[[#This Row],[Cost]]</f>
        <v>27000</v>
      </c>
      <c r="O69">
        <f>Table1[[#This Row],[Revenue]]-Table1[[#This Row],[Total Cost]]</f>
        <v>3000</v>
      </c>
    </row>
    <row r="70" spans="1:15">
      <c r="A70" s="3">
        <v>69</v>
      </c>
      <c r="B70" s="4">
        <v>44734</v>
      </c>
      <c r="C70" s="4" t="str">
        <f>TEXT(Table1[[#This Row],[Date]],"YYYY")</f>
        <v>2022</v>
      </c>
      <c r="D70" s="4" t="str">
        <f>TEXT(Table1[[#This Row],[Date]],"MMM")</f>
        <v>Jun</v>
      </c>
      <c r="E70" s="5" t="s">
        <v>40</v>
      </c>
      <c r="F70" s="3" t="s">
        <v>15</v>
      </c>
      <c r="G70" s="3" t="s">
        <v>16</v>
      </c>
      <c r="H70" s="3" t="s">
        <v>17</v>
      </c>
      <c r="I70" s="3"/>
      <c r="J70" s="3">
        <v>3870</v>
      </c>
      <c r="K70" s="3">
        <v>4300</v>
      </c>
      <c r="L70" s="3">
        <v>9</v>
      </c>
      <c r="M70">
        <f>Table1[[#This Row],[Qty]]*Table1[[#This Row],[Sales Price]]</f>
        <v>38700</v>
      </c>
      <c r="N70">
        <f>Table1[[#This Row],[Qty]]*Table1[[#This Row],[Cost]]</f>
        <v>34830</v>
      </c>
      <c r="O70">
        <f>Table1[[#This Row],[Revenue]]-Table1[[#This Row],[Total Cost]]</f>
        <v>3870</v>
      </c>
    </row>
    <row r="71" spans="1:15">
      <c r="A71" s="3">
        <v>70</v>
      </c>
      <c r="B71" s="4">
        <v>44735</v>
      </c>
      <c r="C71" s="4" t="str">
        <f>TEXT(Table1[[#This Row],[Date]],"YYYY")</f>
        <v>2022</v>
      </c>
      <c r="D71" s="4" t="str">
        <f>TEXT(Table1[[#This Row],[Date]],"MMM")</f>
        <v>Jun</v>
      </c>
      <c r="E71" s="5" t="s">
        <v>39</v>
      </c>
      <c r="F71" s="3" t="s">
        <v>18</v>
      </c>
      <c r="G71" s="3" t="s">
        <v>19</v>
      </c>
      <c r="H71" s="3" t="s">
        <v>17</v>
      </c>
      <c r="I71" s="3"/>
      <c r="J71" s="3">
        <v>8640</v>
      </c>
      <c r="K71" s="3">
        <v>9600</v>
      </c>
      <c r="L71" s="3">
        <v>22</v>
      </c>
      <c r="M71">
        <f>Table1[[#This Row],[Qty]]*Table1[[#This Row],[Sales Price]]</f>
        <v>211200</v>
      </c>
      <c r="N71">
        <f>Table1[[#This Row],[Qty]]*Table1[[#This Row],[Cost]]</f>
        <v>190080</v>
      </c>
      <c r="O71">
        <f>Table1[[#This Row],[Revenue]]-Table1[[#This Row],[Total Cost]]</f>
        <v>21120</v>
      </c>
    </row>
    <row r="72" spans="1:15">
      <c r="A72" s="3">
        <v>71</v>
      </c>
      <c r="B72" s="4">
        <v>44736</v>
      </c>
      <c r="C72" s="4" t="str">
        <f>TEXT(Table1[[#This Row],[Date]],"YYYY")</f>
        <v>2022</v>
      </c>
      <c r="D72" s="4" t="str">
        <f>TEXT(Table1[[#This Row],[Date]],"MMM")</f>
        <v>Jun</v>
      </c>
      <c r="E72" s="5" t="s">
        <v>20</v>
      </c>
      <c r="F72" s="3" t="s">
        <v>15</v>
      </c>
      <c r="G72" s="3" t="s">
        <v>21</v>
      </c>
      <c r="H72" s="3" t="s">
        <v>17</v>
      </c>
      <c r="I72" s="3"/>
      <c r="J72" s="3">
        <v>8280</v>
      </c>
      <c r="K72" s="3">
        <v>9200</v>
      </c>
      <c r="L72" s="3">
        <v>16</v>
      </c>
      <c r="M72">
        <f>Table1[[#This Row],[Qty]]*Table1[[#This Row],[Sales Price]]</f>
        <v>147200</v>
      </c>
      <c r="N72">
        <f>Table1[[#This Row],[Qty]]*Table1[[#This Row],[Cost]]</f>
        <v>132480</v>
      </c>
      <c r="O72">
        <f>Table1[[#This Row],[Revenue]]-Table1[[#This Row],[Total Cost]]</f>
        <v>14720</v>
      </c>
    </row>
    <row r="73" spans="1:15">
      <c r="A73" s="3">
        <v>72</v>
      </c>
      <c r="B73" s="4">
        <v>44737</v>
      </c>
      <c r="C73" s="4" t="str">
        <f>TEXT(Table1[[#This Row],[Date]],"YYYY")</f>
        <v>2022</v>
      </c>
      <c r="D73" s="4" t="str">
        <f>TEXT(Table1[[#This Row],[Date]],"MMM")</f>
        <v>Jun</v>
      </c>
      <c r="E73" s="5" t="s">
        <v>22</v>
      </c>
      <c r="F73" s="3" t="s">
        <v>18</v>
      </c>
      <c r="G73" s="3" t="s">
        <v>23</v>
      </c>
      <c r="H73" s="3" t="s">
        <v>17</v>
      </c>
      <c r="I73" s="3">
        <v>1</v>
      </c>
      <c r="J73" s="3">
        <v>4950</v>
      </c>
      <c r="K73" s="3">
        <v>5500</v>
      </c>
      <c r="L73" s="3">
        <v>6</v>
      </c>
      <c r="M73">
        <f>Table1[[#This Row],[Qty]]*Table1[[#This Row],[Sales Price]]</f>
        <v>33000</v>
      </c>
      <c r="N73">
        <f>Table1[[#This Row],[Qty]]*Table1[[#This Row],[Cost]]</f>
        <v>29700</v>
      </c>
      <c r="O73">
        <f>Table1[[#This Row],[Revenue]]-Table1[[#This Row],[Total Cost]]</f>
        <v>3300</v>
      </c>
    </row>
    <row r="74" spans="1:15">
      <c r="A74" s="3">
        <v>73</v>
      </c>
      <c r="B74" s="4">
        <v>44738</v>
      </c>
      <c r="C74" s="4" t="str">
        <f>TEXT(Table1[[#This Row],[Date]],"YYYY")</f>
        <v>2022</v>
      </c>
      <c r="D74" s="4" t="str">
        <f>TEXT(Table1[[#This Row],[Date]],"MMM")</f>
        <v>Jun</v>
      </c>
      <c r="E74" s="5" t="s">
        <v>14</v>
      </c>
      <c r="F74" s="3" t="s">
        <v>15</v>
      </c>
      <c r="G74" s="3" t="s">
        <v>25</v>
      </c>
      <c r="H74" s="3" t="s">
        <v>17</v>
      </c>
      <c r="I74" s="3">
        <v>1</v>
      </c>
      <c r="J74" s="3">
        <v>3150</v>
      </c>
      <c r="K74" s="3">
        <v>3500</v>
      </c>
      <c r="L74" s="3">
        <v>3</v>
      </c>
      <c r="M74">
        <f>Table1[[#This Row],[Qty]]*Table1[[#This Row],[Sales Price]]</f>
        <v>10500</v>
      </c>
      <c r="N74">
        <f>Table1[[#This Row],[Qty]]*Table1[[#This Row],[Cost]]</f>
        <v>9450</v>
      </c>
      <c r="O74">
        <f>Table1[[#This Row],[Revenue]]-Table1[[#This Row],[Total Cost]]</f>
        <v>1050</v>
      </c>
    </row>
    <row r="75" spans="1:15">
      <c r="A75" s="3">
        <v>74</v>
      </c>
      <c r="B75" s="4">
        <v>44739</v>
      </c>
      <c r="C75" s="4" t="str">
        <f>TEXT(Table1[[#This Row],[Date]],"YYYY")</f>
        <v>2022</v>
      </c>
      <c r="D75" s="4" t="str">
        <f>TEXT(Table1[[#This Row],[Date]],"MMM")</f>
        <v>Jun</v>
      </c>
      <c r="E75" s="5" t="s">
        <v>22</v>
      </c>
      <c r="F75" s="3" t="s">
        <v>18</v>
      </c>
      <c r="G75" s="3" t="s">
        <v>26</v>
      </c>
      <c r="H75" s="3" t="s">
        <v>17</v>
      </c>
      <c r="I75" s="3">
        <v>1</v>
      </c>
      <c r="J75" s="3">
        <v>2700</v>
      </c>
      <c r="K75" s="3">
        <v>3000</v>
      </c>
      <c r="L75" s="3">
        <v>5</v>
      </c>
      <c r="M75">
        <f>Table1[[#This Row],[Qty]]*Table1[[#This Row],[Sales Price]]</f>
        <v>15000</v>
      </c>
      <c r="N75">
        <f>Table1[[#This Row],[Qty]]*Table1[[#This Row],[Cost]]</f>
        <v>13500</v>
      </c>
      <c r="O75">
        <f>Table1[[#This Row],[Revenue]]-Table1[[#This Row],[Total Cost]]</f>
        <v>1500</v>
      </c>
    </row>
    <row r="76" spans="1:15">
      <c r="A76" s="3">
        <v>75</v>
      </c>
      <c r="B76" s="4">
        <v>44740</v>
      </c>
      <c r="C76" s="4" t="str">
        <f>TEXT(Table1[[#This Row],[Date]],"YYYY")</f>
        <v>2022</v>
      </c>
      <c r="D76" s="4" t="str">
        <f>TEXT(Table1[[#This Row],[Date]],"MMM")</f>
        <v>Jun</v>
      </c>
      <c r="E76" s="5" t="s">
        <v>40</v>
      </c>
      <c r="F76" s="3" t="s">
        <v>15</v>
      </c>
      <c r="G76" s="3" t="s">
        <v>27</v>
      </c>
      <c r="H76" s="3" t="s">
        <v>28</v>
      </c>
      <c r="I76" s="3">
        <v>1</v>
      </c>
      <c r="J76" s="3">
        <v>4050</v>
      </c>
      <c r="K76" s="3">
        <v>4500</v>
      </c>
      <c r="L76" s="3">
        <v>1</v>
      </c>
      <c r="M76">
        <f>Table1[[#This Row],[Qty]]*Table1[[#This Row],[Sales Price]]</f>
        <v>4500</v>
      </c>
      <c r="N76">
        <f>Table1[[#This Row],[Qty]]*Table1[[#This Row],[Cost]]</f>
        <v>4050</v>
      </c>
      <c r="O76">
        <f>Table1[[#This Row],[Revenue]]-Table1[[#This Row],[Total Cost]]</f>
        <v>450</v>
      </c>
    </row>
    <row r="77" spans="1:15">
      <c r="A77" s="3">
        <v>76</v>
      </c>
      <c r="B77" s="4">
        <v>44741</v>
      </c>
      <c r="C77" s="4" t="str">
        <f>TEXT(Table1[[#This Row],[Date]],"YYYY")</f>
        <v>2022</v>
      </c>
      <c r="D77" s="4" t="str">
        <f>TEXT(Table1[[#This Row],[Date]],"MMM")</f>
        <v>Jun</v>
      </c>
      <c r="E77" s="5" t="s">
        <v>14</v>
      </c>
      <c r="F77" s="3" t="s">
        <v>18</v>
      </c>
      <c r="G77" s="3" t="s">
        <v>30</v>
      </c>
      <c r="H77" s="3" t="s">
        <v>28</v>
      </c>
      <c r="I77" s="3">
        <v>1</v>
      </c>
      <c r="J77" s="3">
        <v>53100</v>
      </c>
      <c r="K77" s="3">
        <v>59000</v>
      </c>
      <c r="L77" s="3">
        <v>5</v>
      </c>
      <c r="M77">
        <f>Table1[[#This Row],[Qty]]*Table1[[#This Row],[Sales Price]]</f>
        <v>295000</v>
      </c>
      <c r="N77">
        <f>Table1[[#This Row],[Qty]]*Table1[[#This Row],[Cost]]</f>
        <v>265500</v>
      </c>
      <c r="O77">
        <f>Table1[[#This Row],[Revenue]]-Table1[[#This Row],[Total Cost]]</f>
        <v>29500</v>
      </c>
    </row>
    <row r="78" spans="1:15">
      <c r="A78" s="3">
        <v>77</v>
      </c>
      <c r="B78" s="4">
        <v>44742</v>
      </c>
      <c r="C78" s="4" t="str">
        <f>TEXT(Table1[[#This Row],[Date]],"YYYY")</f>
        <v>2022</v>
      </c>
      <c r="D78" s="4" t="str">
        <f>TEXT(Table1[[#This Row],[Date]],"MMM")</f>
        <v>Jun</v>
      </c>
      <c r="E78" s="5" t="s">
        <v>40</v>
      </c>
      <c r="F78" s="3" t="s">
        <v>15</v>
      </c>
      <c r="G78" s="3" t="s">
        <v>32</v>
      </c>
      <c r="H78" s="3" t="s">
        <v>28</v>
      </c>
      <c r="I78" s="3">
        <v>1</v>
      </c>
      <c r="J78" s="3">
        <v>88200</v>
      </c>
      <c r="K78" s="3">
        <v>98000</v>
      </c>
      <c r="L78" s="3">
        <v>7</v>
      </c>
      <c r="M78">
        <f>Table1[[#This Row],[Qty]]*Table1[[#This Row],[Sales Price]]</f>
        <v>686000</v>
      </c>
      <c r="N78">
        <f>Table1[[#This Row],[Qty]]*Table1[[#This Row],[Cost]]</f>
        <v>617400</v>
      </c>
      <c r="O78">
        <f>Table1[[#This Row],[Revenue]]-Table1[[#This Row],[Total Cost]]</f>
        <v>68600</v>
      </c>
    </row>
    <row r="79" spans="1:15">
      <c r="A79" s="3">
        <v>78</v>
      </c>
      <c r="B79" s="4">
        <v>44743</v>
      </c>
      <c r="C79" s="4" t="str">
        <f>TEXT(Table1[[#This Row],[Date]],"YYYY")</f>
        <v>2022</v>
      </c>
      <c r="D79" s="4" t="str">
        <f>TEXT(Table1[[#This Row],[Date]],"MMM")</f>
        <v>Jul</v>
      </c>
      <c r="E79" s="5" t="s">
        <v>31</v>
      </c>
      <c r="F79" s="3" t="s">
        <v>18</v>
      </c>
      <c r="G79" s="3" t="s">
        <v>34</v>
      </c>
      <c r="H79" s="3" t="s">
        <v>28</v>
      </c>
      <c r="I79" s="3">
        <v>1</v>
      </c>
      <c r="J79" s="3">
        <v>38250</v>
      </c>
      <c r="K79" s="3">
        <v>42500</v>
      </c>
      <c r="L79" s="3">
        <v>4</v>
      </c>
      <c r="M79">
        <f>Table1[[#This Row],[Qty]]*Table1[[#This Row],[Sales Price]]</f>
        <v>170000</v>
      </c>
      <c r="N79">
        <f>Table1[[#This Row],[Qty]]*Table1[[#This Row],[Cost]]</f>
        <v>153000</v>
      </c>
      <c r="O79">
        <f>Table1[[#This Row],[Revenue]]-Table1[[#This Row],[Total Cost]]</f>
        <v>17000</v>
      </c>
    </row>
    <row r="80" spans="1:15">
      <c r="A80" s="3">
        <v>79</v>
      </c>
      <c r="B80" s="4">
        <v>44744</v>
      </c>
      <c r="C80" s="4" t="str">
        <f>TEXT(Table1[[#This Row],[Date]],"YYYY")</f>
        <v>2022</v>
      </c>
      <c r="D80" s="4" t="str">
        <f>TEXT(Table1[[#This Row],[Date]],"MMM")</f>
        <v>Jul</v>
      </c>
      <c r="E80" s="5" t="s">
        <v>50</v>
      </c>
      <c r="F80" s="3" t="s">
        <v>15</v>
      </c>
      <c r="G80" s="3" t="s">
        <v>36</v>
      </c>
      <c r="H80" s="3" t="s">
        <v>17</v>
      </c>
      <c r="I80" s="3"/>
      <c r="J80" s="3">
        <v>2700</v>
      </c>
      <c r="K80" s="3">
        <v>3000</v>
      </c>
      <c r="L80" s="3">
        <v>8</v>
      </c>
      <c r="M80">
        <f>Table1[[#This Row],[Qty]]*Table1[[#This Row],[Sales Price]]</f>
        <v>24000</v>
      </c>
      <c r="N80">
        <f>Table1[[#This Row],[Qty]]*Table1[[#This Row],[Cost]]</f>
        <v>21600</v>
      </c>
      <c r="O80">
        <f>Table1[[#This Row],[Revenue]]-Table1[[#This Row],[Total Cost]]</f>
        <v>2400</v>
      </c>
    </row>
    <row r="81" spans="1:15">
      <c r="A81" s="3">
        <v>80</v>
      </c>
      <c r="B81" s="4">
        <v>44745</v>
      </c>
      <c r="C81" s="4" t="str">
        <f>TEXT(Table1[[#This Row],[Date]],"YYYY")</f>
        <v>2022</v>
      </c>
      <c r="D81" s="4" t="str">
        <f>TEXT(Table1[[#This Row],[Date]],"MMM")</f>
        <v>Jul</v>
      </c>
      <c r="E81" s="5" t="s">
        <v>33</v>
      </c>
      <c r="F81" s="3" t="s">
        <v>18</v>
      </c>
      <c r="G81" s="3" t="s">
        <v>37</v>
      </c>
      <c r="H81" s="3" t="s">
        <v>17</v>
      </c>
      <c r="I81" s="3"/>
      <c r="J81" s="3">
        <v>23850</v>
      </c>
      <c r="K81" s="3">
        <v>26500</v>
      </c>
      <c r="L81" s="3">
        <v>8</v>
      </c>
      <c r="M81">
        <f>Table1[[#This Row],[Qty]]*Table1[[#This Row],[Sales Price]]</f>
        <v>212000</v>
      </c>
      <c r="N81">
        <f>Table1[[#This Row],[Qty]]*Table1[[#This Row],[Cost]]</f>
        <v>190800</v>
      </c>
      <c r="O81">
        <f>Table1[[#This Row],[Revenue]]-Table1[[#This Row],[Total Cost]]</f>
        <v>21200</v>
      </c>
    </row>
    <row r="82" spans="1:15">
      <c r="A82" s="3">
        <v>81</v>
      </c>
      <c r="B82" s="4">
        <v>44746</v>
      </c>
      <c r="C82" s="4" t="str">
        <f>TEXT(Table1[[#This Row],[Date]],"YYYY")</f>
        <v>2022</v>
      </c>
      <c r="D82" s="4" t="str">
        <f>TEXT(Table1[[#This Row],[Date]],"MMM")</f>
        <v>Jul</v>
      </c>
      <c r="E82" s="5" t="s">
        <v>39</v>
      </c>
      <c r="F82" s="3" t="s">
        <v>15</v>
      </c>
      <c r="G82" s="3" t="s">
        <v>38</v>
      </c>
      <c r="H82" s="3" t="s">
        <v>17</v>
      </c>
      <c r="I82" s="3">
        <v>1</v>
      </c>
      <c r="J82" s="3">
        <v>24750</v>
      </c>
      <c r="K82" s="3">
        <v>27500</v>
      </c>
      <c r="L82" s="3">
        <v>9</v>
      </c>
      <c r="M82">
        <f>Table1[[#This Row],[Qty]]*Table1[[#This Row],[Sales Price]]</f>
        <v>247500</v>
      </c>
      <c r="N82">
        <f>Table1[[#This Row],[Qty]]*Table1[[#This Row],[Cost]]</f>
        <v>222750</v>
      </c>
      <c r="O82">
        <f>Table1[[#This Row],[Revenue]]-Table1[[#This Row],[Total Cost]]</f>
        <v>24750</v>
      </c>
    </row>
    <row r="83" spans="1:15">
      <c r="A83" s="3">
        <v>82</v>
      </c>
      <c r="B83" s="4">
        <v>44747</v>
      </c>
      <c r="C83" s="4" t="str">
        <f>TEXT(Table1[[#This Row],[Date]],"YYYY")</f>
        <v>2022</v>
      </c>
      <c r="D83" s="4" t="str">
        <f>TEXT(Table1[[#This Row],[Date]],"MMM")</f>
        <v>Jul</v>
      </c>
      <c r="E83" s="5" t="s">
        <v>40</v>
      </c>
      <c r="F83" s="3" t="s">
        <v>15</v>
      </c>
      <c r="G83" s="3" t="s">
        <v>19</v>
      </c>
      <c r="H83" s="3" t="s">
        <v>17</v>
      </c>
      <c r="I83" s="3">
        <v>1</v>
      </c>
      <c r="J83" s="3">
        <v>44550</v>
      </c>
      <c r="K83" s="3">
        <v>49500</v>
      </c>
      <c r="L83" s="3">
        <v>2</v>
      </c>
      <c r="M83">
        <f>Table1[[#This Row],[Qty]]*Table1[[#This Row],[Sales Price]]</f>
        <v>99000</v>
      </c>
      <c r="N83">
        <f>Table1[[#This Row],[Qty]]*Table1[[#This Row],[Cost]]</f>
        <v>89100</v>
      </c>
      <c r="O83">
        <f>Table1[[#This Row],[Revenue]]-Table1[[#This Row],[Total Cost]]</f>
        <v>9900</v>
      </c>
    </row>
    <row r="84" spans="1:15">
      <c r="A84" s="3">
        <v>83</v>
      </c>
      <c r="B84" s="4">
        <v>44748</v>
      </c>
      <c r="C84" s="4" t="str">
        <f>TEXT(Table1[[#This Row],[Date]],"YYYY")</f>
        <v>2022</v>
      </c>
      <c r="D84" s="4" t="str">
        <f>TEXT(Table1[[#This Row],[Date]],"MMM")</f>
        <v>Jul</v>
      </c>
      <c r="E84" s="5" t="s">
        <v>35</v>
      </c>
      <c r="F84" s="3" t="s">
        <v>18</v>
      </c>
      <c r="G84" s="3" t="s">
        <v>21</v>
      </c>
      <c r="H84" s="3" t="s">
        <v>17</v>
      </c>
      <c r="I84" s="3">
        <v>1</v>
      </c>
      <c r="J84" s="3">
        <v>9000</v>
      </c>
      <c r="K84" s="3">
        <v>10000</v>
      </c>
      <c r="L84" s="3">
        <v>1</v>
      </c>
      <c r="M84">
        <f>Table1[[#This Row],[Qty]]*Table1[[#This Row],[Sales Price]]</f>
        <v>10000</v>
      </c>
      <c r="N84">
        <f>Table1[[#This Row],[Qty]]*Table1[[#This Row],[Cost]]</f>
        <v>9000</v>
      </c>
      <c r="O84">
        <f>Table1[[#This Row],[Revenue]]-Table1[[#This Row],[Total Cost]]</f>
        <v>1000</v>
      </c>
    </row>
    <row r="85" spans="1:15">
      <c r="A85" s="3">
        <v>84</v>
      </c>
      <c r="B85" s="4">
        <v>44749</v>
      </c>
      <c r="C85" s="4" t="str">
        <f>TEXT(Table1[[#This Row],[Date]],"YYYY")</f>
        <v>2022</v>
      </c>
      <c r="D85" s="4" t="str">
        <f>TEXT(Table1[[#This Row],[Date]],"MMM")</f>
        <v>Jul</v>
      </c>
      <c r="E85" s="5" t="s">
        <v>31</v>
      </c>
      <c r="F85" s="3" t="s">
        <v>15</v>
      </c>
      <c r="G85" s="3" t="s">
        <v>23</v>
      </c>
      <c r="H85" s="3" t="s">
        <v>17</v>
      </c>
      <c r="I85" s="3">
        <v>1</v>
      </c>
      <c r="J85" s="3">
        <v>8640</v>
      </c>
      <c r="K85" s="3">
        <v>9600</v>
      </c>
      <c r="L85" s="3">
        <v>22</v>
      </c>
      <c r="M85">
        <f>Table1[[#This Row],[Qty]]*Table1[[#This Row],[Sales Price]]</f>
        <v>211200</v>
      </c>
      <c r="N85">
        <f>Table1[[#This Row],[Qty]]*Table1[[#This Row],[Cost]]</f>
        <v>190080</v>
      </c>
      <c r="O85">
        <f>Table1[[#This Row],[Revenue]]-Table1[[#This Row],[Total Cost]]</f>
        <v>21120</v>
      </c>
    </row>
    <row r="86" spans="1:15">
      <c r="A86" s="3">
        <v>85</v>
      </c>
      <c r="B86" s="4">
        <v>44750</v>
      </c>
      <c r="C86" s="4" t="str">
        <f>TEXT(Table1[[#This Row],[Date]],"YYYY")</f>
        <v>2022</v>
      </c>
      <c r="D86" s="4" t="str">
        <f>TEXT(Table1[[#This Row],[Date]],"MMM")</f>
        <v>Jul</v>
      </c>
      <c r="E86" s="5" t="s">
        <v>33</v>
      </c>
      <c r="F86" s="3" t="s">
        <v>18</v>
      </c>
      <c r="G86" s="3" t="s">
        <v>25</v>
      </c>
      <c r="H86" s="3" t="s">
        <v>17</v>
      </c>
      <c r="I86" s="3">
        <v>1</v>
      </c>
      <c r="J86" s="3">
        <v>9000</v>
      </c>
      <c r="K86" s="3">
        <v>10000</v>
      </c>
      <c r="L86" s="3">
        <v>8</v>
      </c>
      <c r="M86">
        <f>Table1[[#This Row],[Qty]]*Table1[[#This Row],[Sales Price]]</f>
        <v>80000</v>
      </c>
      <c r="N86">
        <f>Table1[[#This Row],[Qty]]*Table1[[#This Row],[Cost]]</f>
        <v>72000</v>
      </c>
      <c r="O86">
        <f>Table1[[#This Row],[Revenue]]-Table1[[#This Row],[Total Cost]]</f>
        <v>8000</v>
      </c>
    </row>
    <row r="87" spans="1:15">
      <c r="A87" s="3">
        <v>86</v>
      </c>
      <c r="B87" s="4">
        <v>44751</v>
      </c>
      <c r="C87" s="4" t="str">
        <f>TEXT(Table1[[#This Row],[Date]],"YYYY")</f>
        <v>2022</v>
      </c>
      <c r="D87" s="4" t="str">
        <f>TEXT(Table1[[#This Row],[Date]],"MMM")</f>
        <v>Jul</v>
      </c>
      <c r="E87" s="5" t="s">
        <v>22</v>
      </c>
      <c r="F87" s="3" t="s">
        <v>15</v>
      </c>
      <c r="G87" s="3" t="s">
        <v>26</v>
      </c>
      <c r="H87" s="3" t="s">
        <v>17</v>
      </c>
      <c r="I87" s="3">
        <v>1</v>
      </c>
      <c r="J87" s="3">
        <v>3870</v>
      </c>
      <c r="K87" s="3">
        <v>4300</v>
      </c>
      <c r="L87" s="3">
        <v>7</v>
      </c>
      <c r="M87">
        <f>Table1[[#This Row],[Qty]]*Table1[[#This Row],[Sales Price]]</f>
        <v>30100</v>
      </c>
      <c r="N87">
        <f>Table1[[#This Row],[Qty]]*Table1[[#This Row],[Cost]]</f>
        <v>27090</v>
      </c>
      <c r="O87">
        <f>Table1[[#This Row],[Revenue]]-Table1[[#This Row],[Total Cost]]</f>
        <v>3010</v>
      </c>
    </row>
    <row r="88" spans="1:15">
      <c r="A88" s="3">
        <v>87</v>
      </c>
      <c r="B88" s="4">
        <v>44752</v>
      </c>
      <c r="C88" s="4" t="str">
        <f>TEXT(Table1[[#This Row],[Date]],"YYYY")</f>
        <v>2022</v>
      </c>
      <c r="D88" s="4" t="str">
        <f>TEXT(Table1[[#This Row],[Date]],"MMM")</f>
        <v>Jul</v>
      </c>
      <c r="E88" s="5" t="s">
        <v>33</v>
      </c>
      <c r="F88" s="3" t="s">
        <v>18</v>
      </c>
      <c r="G88" s="3" t="s">
        <v>37</v>
      </c>
      <c r="H88" s="3" t="s">
        <v>17</v>
      </c>
      <c r="I88" s="3"/>
      <c r="J88" s="3">
        <v>8280</v>
      </c>
      <c r="K88" s="3">
        <v>9200</v>
      </c>
      <c r="L88" s="3">
        <v>56</v>
      </c>
      <c r="M88">
        <f>Table1[[#This Row],[Qty]]*Table1[[#This Row],[Sales Price]]</f>
        <v>515200</v>
      </c>
      <c r="N88">
        <f>Table1[[#This Row],[Qty]]*Table1[[#This Row],[Cost]]</f>
        <v>463680</v>
      </c>
      <c r="O88">
        <f>Table1[[#This Row],[Revenue]]-Table1[[#This Row],[Total Cost]]</f>
        <v>51520</v>
      </c>
    </row>
    <row r="89" spans="1:15">
      <c r="A89" s="3">
        <v>88</v>
      </c>
      <c r="B89" s="4">
        <v>44753</v>
      </c>
      <c r="C89" s="4" t="str">
        <f>TEXT(Table1[[#This Row],[Date]],"YYYY")</f>
        <v>2022</v>
      </c>
      <c r="D89" s="4" t="str">
        <f>TEXT(Table1[[#This Row],[Date]],"MMM")</f>
        <v>Jul</v>
      </c>
      <c r="E89" s="5" t="s">
        <v>22</v>
      </c>
      <c r="F89" s="3" t="s">
        <v>15</v>
      </c>
      <c r="G89" s="3" t="s">
        <v>41</v>
      </c>
      <c r="H89" s="3" t="s">
        <v>28</v>
      </c>
      <c r="I89" s="3"/>
      <c r="J89" s="3">
        <v>4950</v>
      </c>
      <c r="K89" s="3">
        <v>5500</v>
      </c>
      <c r="L89" s="3">
        <v>10</v>
      </c>
      <c r="M89">
        <f>Table1[[#This Row],[Qty]]*Table1[[#This Row],[Sales Price]]</f>
        <v>55000</v>
      </c>
      <c r="N89">
        <f>Table1[[#This Row],[Qty]]*Table1[[#This Row],[Cost]]</f>
        <v>49500</v>
      </c>
      <c r="O89">
        <f>Table1[[#This Row],[Revenue]]-Table1[[#This Row],[Total Cost]]</f>
        <v>5500</v>
      </c>
    </row>
    <row r="90" spans="1:15">
      <c r="A90" s="3">
        <v>89</v>
      </c>
      <c r="B90" s="4">
        <v>44754</v>
      </c>
      <c r="C90" s="4" t="str">
        <f>TEXT(Table1[[#This Row],[Date]],"YYYY")</f>
        <v>2022</v>
      </c>
      <c r="D90" s="4" t="str">
        <f>TEXT(Table1[[#This Row],[Date]],"MMM")</f>
        <v>Jul</v>
      </c>
      <c r="E90" s="5" t="s">
        <v>50</v>
      </c>
      <c r="F90" s="3" t="s">
        <v>18</v>
      </c>
      <c r="G90" s="3" t="s">
        <v>27</v>
      </c>
      <c r="H90" s="3" t="s">
        <v>28</v>
      </c>
      <c r="I90" s="3"/>
      <c r="J90" s="3">
        <v>3150</v>
      </c>
      <c r="K90" s="3">
        <v>3500</v>
      </c>
      <c r="L90" s="3">
        <v>9</v>
      </c>
      <c r="M90">
        <f>Table1[[#This Row],[Qty]]*Table1[[#This Row],[Sales Price]]</f>
        <v>31500</v>
      </c>
      <c r="N90">
        <f>Table1[[#This Row],[Qty]]*Table1[[#This Row],[Cost]]</f>
        <v>28350</v>
      </c>
      <c r="O90">
        <f>Table1[[#This Row],[Revenue]]-Table1[[#This Row],[Total Cost]]</f>
        <v>3150</v>
      </c>
    </row>
    <row r="91" spans="1:15">
      <c r="A91" s="3">
        <v>90</v>
      </c>
      <c r="B91" s="4">
        <v>44755</v>
      </c>
      <c r="C91" s="4" t="str">
        <f>TEXT(Table1[[#This Row],[Date]],"YYYY")</f>
        <v>2022</v>
      </c>
      <c r="D91" s="4" t="str">
        <f>TEXT(Table1[[#This Row],[Date]],"MMM")</f>
        <v>Jul</v>
      </c>
      <c r="E91" s="5" t="s">
        <v>22</v>
      </c>
      <c r="F91" s="3" t="s">
        <v>15</v>
      </c>
      <c r="G91" s="3" t="s">
        <v>32</v>
      </c>
      <c r="H91" s="3" t="s">
        <v>28</v>
      </c>
      <c r="I91" s="3">
        <v>1</v>
      </c>
      <c r="J91" s="3">
        <v>2700</v>
      </c>
      <c r="K91" s="3">
        <v>3000</v>
      </c>
      <c r="L91" s="3">
        <v>27</v>
      </c>
      <c r="M91">
        <f>Table1[[#This Row],[Qty]]*Table1[[#This Row],[Sales Price]]</f>
        <v>81000</v>
      </c>
      <c r="N91">
        <f>Table1[[#This Row],[Qty]]*Table1[[#This Row],[Cost]]</f>
        <v>72900</v>
      </c>
      <c r="O91">
        <f>Table1[[#This Row],[Revenue]]-Table1[[#This Row],[Total Cost]]</f>
        <v>8100</v>
      </c>
    </row>
    <row r="92" spans="1:15">
      <c r="A92" s="3">
        <v>91</v>
      </c>
      <c r="B92" s="4">
        <v>44756</v>
      </c>
      <c r="C92" s="4" t="str">
        <f>TEXT(Table1[[#This Row],[Date]],"YYYY")</f>
        <v>2022</v>
      </c>
      <c r="D92" s="4" t="str">
        <f>TEXT(Table1[[#This Row],[Date]],"MMM")</f>
        <v>Jul</v>
      </c>
      <c r="E92" s="5" t="s">
        <v>59</v>
      </c>
      <c r="F92" s="3" t="s">
        <v>18</v>
      </c>
      <c r="G92" s="3" t="s">
        <v>42</v>
      </c>
      <c r="H92" s="3" t="s">
        <v>43</v>
      </c>
      <c r="I92" s="3">
        <v>1</v>
      </c>
      <c r="J92" s="3">
        <v>4050</v>
      </c>
      <c r="K92" s="3">
        <v>4500</v>
      </c>
      <c r="L92" s="3">
        <v>15</v>
      </c>
      <c r="M92">
        <f>Table1[[#This Row],[Qty]]*Table1[[#This Row],[Sales Price]]</f>
        <v>67500</v>
      </c>
      <c r="N92">
        <f>Table1[[#This Row],[Qty]]*Table1[[#This Row],[Cost]]</f>
        <v>60750</v>
      </c>
      <c r="O92">
        <f>Table1[[#This Row],[Revenue]]-Table1[[#This Row],[Total Cost]]</f>
        <v>6750</v>
      </c>
    </row>
    <row r="93" spans="1:15">
      <c r="A93" s="3">
        <v>92</v>
      </c>
      <c r="B93" s="4">
        <v>44757</v>
      </c>
      <c r="C93" s="4" t="str">
        <f>TEXT(Table1[[#This Row],[Date]],"YYYY")</f>
        <v>2022</v>
      </c>
      <c r="D93" s="4" t="str">
        <f>TEXT(Table1[[#This Row],[Date]],"MMM")</f>
        <v>Jul</v>
      </c>
      <c r="E93" s="5" t="s">
        <v>39</v>
      </c>
      <c r="F93" s="3" t="s">
        <v>15</v>
      </c>
      <c r="G93" s="3" t="s">
        <v>44</v>
      </c>
      <c r="H93" s="3" t="s">
        <v>43</v>
      </c>
      <c r="I93" s="3">
        <v>1</v>
      </c>
      <c r="J93" s="3">
        <v>8280</v>
      </c>
      <c r="K93" s="3">
        <v>9200</v>
      </c>
      <c r="L93" s="3">
        <v>3</v>
      </c>
      <c r="M93">
        <f>Table1[[#This Row],[Qty]]*Table1[[#This Row],[Sales Price]]</f>
        <v>27600</v>
      </c>
      <c r="N93">
        <f>Table1[[#This Row],[Qty]]*Table1[[#This Row],[Cost]]</f>
        <v>24840</v>
      </c>
      <c r="O93">
        <f>Table1[[#This Row],[Revenue]]-Table1[[#This Row],[Total Cost]]</f>
        <v>2760</v>
      </c>
    </row>
    <row r="94" spans="1:15">
      <c r="A94" s="3">
        <v>93</v>
      </c>
      <c r="B94" s="4">
        <v>44758</v>
      </c>
      <c r="C94" s="4" t="str">
        <f>TEXT(Table1[[#This Row],[Date]],"YYYY")</f>
        <v>2022</v>
      </c>
      <c r="D94" s="4" t="str">
        <f>TEXT(Table1[[#This Row],[Date]],"MMM")</f>
        <v>Jul</v>
      </c>
      <c r="E94" s="5" t="s">
        <v>24</v>
      </c>
      <c r="F94" s="3" t="s">
        <v>18</v>
      </c>
      <c r="G94" s="3" t="s">
        <v>45</v>
      </c>
      <c r="H94" s="3" t="s">
        <v>43</v>
      </c>
      <c r="I94" s="3">
        <v>1</v>
      </c>
      <c r="J94" s="3">
        <v>4950</v>
      </c>
      <c r="K94" s="3">
        <v>5500</v>
      </c>
      <c r="L94" s="3">
        <v>9</v>
      </c>
      <c r="M94">
        <f>Table1[[#This Row],[Qty]]*Table1[[#This Row],[Sales Price]]</f>
        <v>49500</v>
      </c>
      <c r="N94">
        <f>Table1[[#This Row],[Qty]]*Table1[[#This Row],[Cost]]</f>
        <v>44550</v>
      </c>
      <c r="O94">
        <f>Table1[[#This Row],[Revenue]]-Table1[[#This Row],[Total Cost]]</f>
        <v>4950</v>
      </c>
    </row>
    <row r="95" spans="1:15">
      <c r="A95" s="3">
        <v>94</v>
      </c>
      <c r="B95" s="4">
        <v>44759</v>
      </c>
      <c r="C95" s="4" t="str">
        <f>TEXT(Table1[[#This Row],[Date]],"YYYY")</f>
        <v>2022</v>
      </c>
      <c r="D95" s="4" t="str">
        <f>TEXT(Table1[[#This Row],[Date]],"MMM")</f>
        <v>Jul</v>
      </c>
      <c r="E95" s="5" t="s">
        <v>24</v>
      </c>
      <c r="F95" s="3" t="s">
        <v>15</v>
      </c>
      <c r="G95" s="3" t="s">
        <v>47</v>
      </c>
      <c r="H95" s="3" t="s">
        <v>43</v>
      </c>
      <c r="I95" s="3">
        <v>1</v>
      </c>
      <c r="J95" s="3">
        <v>3150</v>
      </c>
      <c r="K95" s="3">
        <v>3500</v>
      </c>
      <c r="L95" s="3">
        <v>22</v>
      </c>
      <c r="M95">
        <f>Table1[[#This Row],[Qty]]*Table1[[#This Row],[Sales Price]]</f>
        <v>77000</v>
      </c>
      <c r="N95">
        <f>Table1[[#This Row],[Qty]]*Table1[[#This Row],[Cost]]</f>
        <v>69300</v>
      </c>
      <c r="O95">
        <f>Table1[[#This Row],[Revenue]]-Table1[[#This Row],[Total Cost]]</f>
        <v>7700</v>
      </c>
    </row>
    <row r="96" spans="1:15">
      <c r="A96" s="3">
        <v>95</v>
      </c>
      <c r="B96" s="4">
        <v>44760</v>
      </c>
      <c r="C96" s="4" t="str">
        <f>TEXT(Table1[[#This Row],[Date]],"YYYY")</f>
        <v>2022</v>
      </c>
      <c r="D96" s="4" t="str">
        <f>TEXT(Table1[[#This Row],[Date]],"MMM")</f>
        <v>Jul</v>
      </c>
      <c r="E96" s="5" t="s">
        <v>31</v>
      </c>
      <c r="F96" s="3" t="s">
        <v>18</v>
      </c>
      <c r="G96" s="3" t="s">
        <v>48</v>
      </c>
      <c r="H96" s="3" t="s">
        <v>43</v>
      </c>
      <c r="I96" s="3">
        <v>1</v>
      </c>
      <c r="J96" s="3">
        <v>2700</v>
      </c>
      <c r="K96" s="3">
        <v>3000</v>
      </c>
      <c r="L96" s="3">
        <v>16</v>
      </c>
      <c r="M96">
        <f>Table1[[#This Row],[Qty]]*Table1[[#This Row],[Sales Price]]</f>
        <v>48000</v>
      </c>
      <c r="N96">
        <f>Table1[[#This Row],[Qty]]*Table1[[#This Row],[Cost]]</f>
        <v>43200</v>
      </c>
      <c r="O96">
        <f>Table1[[#This Row],[Revenue]]-Table1[[#This Row],[Total Cost]]</f>
        <v>4800</v>
      </c>
    </row>
    <row r="97" spans="1:15">
      <c r="A97" s="3">
        <v>96</v>
      </c>
      <c r="B97" s="4">
        <v>44761</v>
      </c>
      <c r="C97" s="4" t="str">
        <f>TEXT(Table1[[#This Row],[Date]],"YYYY")</f>
        <v>2022</v>
      </c>
      <c r="D97" s="4" t="str">
        <f>TEXT(Table1[[#This Row],[Date]],"MMM")</f>
        <v>Jul</v>
      </c>
      <c r="E97" s="5" t="s">
        <v>39</v>
      </c>
      <c r="F97" s="3" t="s">
        <v>15</v>
      </c>
      <c r="G97" s="3" t="s">
        <v>42</v>
      </c>
      <c r="H97" s="3" t="s">
        <v>43</v>
      </c>
      <c r="I97" s="3">
        <v>1</v>
      </c>
      <c r="J97" s="3">
        <v>4050</v>
      </c>
      <c r="K97" s="3">
        <v>4500</v>
      </c>
      <c r="L97" s="3">
        <v>6</v>
      </c>
      <c r="M97">
        <f>Table1[[#This Row],[Qty]]*Table1[[#This Row],[Sales Price]]</f>
        <v>27000</v>
      </c>
      <c r="N97">
        <f>Table1[[#This Row],[Qty]]*Table1[[#This Row],[Cost]]</f>
        <v>24300</v>
      </c>
      <c r="O97">
        <f>Table1[[#This Row],[Revenue]]-Table1[[#This Row],[Total Cost]]</f>
        <v>2700</v>
      </c>
    </row>
    <row r="98" spans="1:15">
      <c r="A98" s="3">
        <v>97</v>
      </c>
      <c r="B98" s="4">
        <v>44762</v>
      </c>
      <c r="C98" s="4" t="str">
        <f>TEXT(Table1[[#This Row],[Date]],"YYYY")</f>
        <v>2022</v>
      </c>
      <c r="D98" s="4" t="str">
        <f>TEXT(Table1[[#This Row],[Date]],"MMM")</f>
        <v>Jul</v>
      </c>
      <c r="E98" s="5" t="s">
        <v>50</v>
      </c>
      <c r="F98" s="3" t="s">
        <v>18</v>
      </c>
      <c r="G98" s="3" t="s">
        <v>44</v>
      </c>
      <c r="H98" s="3" t="s">
        <v>43</v>
      </c>
      <c r="I98" s="3"/>
      <c r="J98" s="3">
        <v>8280</v>
      </c>
      <c r="K98" s="3">
        <v>9200</v>
      </c>
      <c r="L98" s="3">
        <v>3</v>
      </c>
      <c r="M98">
        <f>Table1[[#This Row],[Qty]]*Table1[[#This Row],[Sales Price]]</f>
        <v>27600</v>
      </c>
      <c r="N98">
        <f>Table1[[#This Row],[Qty]]*Table1[[#This Row],[Cost]]</f>
        <v>24840</v>
      </c>
      <c r="O98">
        <f>Table1[[#This Row],[Revenue]]-Table1[[#This Row],[Total Cost]]</f>
        <v>2760</v>
      </c>
    </row>
    <row r="99" spans="1:15">
      <c r="A99" s="3">
        <v>98</v>
      </c>
      <c r="B99" s="4">
        <v>44763</v>
      </c>
      <c r="C99" s="4" t="str">
        <f>TEXT(Table1[[#This Row],[Date]],"YYYY")</f>
        <v>2022</v>
      </c>
      <c r="D99" s="4" t="str">
        <f>TEXT(Table1[[#This Row],[Date]],"MMM")</f>
        <v>Jul</v>
      </c>
      <c r="E99" s="5" t="s">
        <v>50</v>
      </c>
      <c r="F99" s="3" t="s">
        <v>15</v>
      </c>
      <c r="G99" s="3" t="s">
        <v>45</v>
      </c>
      <c r="H99" s="3" t="s">
        <v>43</v>
      </c>
      <c r="I99" s="3"/>
      <c r="J99" s="3">
        <v>4950</v>
      </c>
      <c r="K99" s="3">
        <v>5500</v>
      </c>
      <c r="L99" s="3">
        <v>5</v>
      </c>
      <c r="M99">
        <f>Table1[[#This Row],[Qty]]*Table1[[#This Row],[Sales Price]]</f>
        <v>27500</v>
      </c>
      <c r="N99">
        <f>Table1[[#This Row],[Qty]]*Table1[[#This Row],[Cost]]</f>
        <v>24750</v>
      </c>
      <c r="O99">
        <f>Table1[[#This Row],[Revenue]]-Table1[[#This Row],[Total Cost]]</f>
        <v>2750</v>
      </c>
    </row>
    <row r="100" spans="1:15">
      <c r="A100" s="3">
        <v>99</v>
      </c>
      <c r="B100" s="4">
        <v>44764</v>
      </c>
      <c r="C100" s="4" t="str">
        <f>TEXT(Table1[[#This Row],[Date]],"YYYY")</f>
        <v>2022</v>
      </c>
      <c r="D100" s="4" t="str">
        <f>TEXT(Table1[[#This Row],[Date]],"MMM")</f>
        <v>Jul</v>
      </c>
      <c r="E100" s="5" t="s">
        <v>40</v>
      </c>
      <c r="F100" s="3" t="s">
        <v>18</v>
      </c>
      <c r="G100" s="3" t="s">
        <v>47</v>
      </c>
      <c r="H100" s="3" t="s">
        <v>43</v>
      </c>
      <c r="I100" s="3">
        <v>1</v>
      </c>
      <c r="J100" s="3">
        <v>3150</v>
      </c>
      <c r="K100" s="3">
        <v>3500</v>
      </c>
      <c r="L100" s="3">
        <v>1</v>
      </c>
      <c r="M100">
        <f>Table1[[#This Row],[Qty]]*Table1[[#This Row],[Sales Price]]</f>
        <v>3500</v>
      </c>
      <c r="N100">
        <f>Table1[[#This Row],[Qty]]*Table1[[#This Row],[Cost]]</f>
        <v>3150</v>
      </c>
      <c r="O100">
        <f>Table1[[#This Row],[Revenue]]-Table1[[#This Row],[Total Cost]]</f>
        <v>350</v>
      </c>
    </row>
    <row r="101" spans="1:15">
      <c r="A101" s="3">
        <v>100</v>
      </c>
      <c r="B101" s="4">
        <v>44765</v>
      </c>
      <c r="C101" s="4" t="str">
        <f>TEXT(Table1[[#This Row],[Date]],"YYYY")</f>
        <v>2022</v>
      </c>
      <c r="D101" s="4" t="str">
        <f>TEXT(Table1[[#This Row],[Date]],"MMM")</f>
        <v>Jul</v>
      </c>
      <c r="E101" s="5" t="s">
        <v>46</v>
      </c>
      <c r="F101" s="3" t="s">
        <v>15</v>
      </c>
      <c r="G101" s="3" t="s">
        <v>48</v>
      </c>
      <c r="H101" s="3" t="s">
        <v>43</v>
      </c>
      <c r="I101" s="3">
        <v>1</v>
      </c>
      <c r="J101" s="3">
        <v>2700</v>
      </c>
      <c r="K101" s="3">
        <v>3000</v>
      </c>
      <c r="L101" s="3">
        <v>5</v>
      </c>
      <c r="M101">
        <f>Table1[[#This Row],[Qty]]*Table1[[#This Row],[Sales Price]]</f>
        <v>15000</v>
      </c>
      <c r="N101">
        <f>Table1[[#This Row],[Qty]]*Table1[[#This Row],[Cost]]</f>
        <v>13500</v>
      </c>
      <c r="O101">
        <f>Table1[[#This Row],[Revenue]]-Table1[[#This Row],[Total Cost]]</f>
        <v>1500</v>
      </c>
    </row>
    <row r="102" spans="1:15">
      <c r="A102" s="3">
        <v>101</v>
      </c>
      <c r="B102" s="4">
        <v>44766</v>
      </c>
      <c r="C102" s="4" t="str">
        <f>TEXT(Table1[[#This Row],[Date]],"YYYY")</f>
        <v>2022</v>
      </c>
      <c r="D102" s="4" t="str">
        <f>TEXT(Table1[[#This Row],[Date]],"MMM")</f>
        <v>Jul</v>
      </c>
      <c r="E102" s="5" t="s">
        <v>56</v>
      </c>
      <c r="F102" s="3" t="s">
        <v>18</v>
      </c>
      <c r="G102" s="3" t="s">
        <v>48</v>
      </c>
      <c r="H102" s="3" t="s">
        <v>43</v>
      </c>
      <c r="I102" s="3">
        <v>1</v>
      </c>
      <c r="J102" s="3">
        <v>4050</v>
      </c>
      <c r="K102" s="3">
        <v>4500</v>
      </c>
      <c r="L102" s="3">
        <v>7</v>
      </c>
      <c r="M102">
        <f>Table1[[#This Row],[Qty]]*Table1[[#This Row],[Sales Price]]</f>
        <v>31500</v>
      </c>
      <c r="N102">
        <f>Table1[[#This Row],[Qty]]*Table1[[#This Row],[Cost]]</f>
        <v>28350</v>
      </c>
      <c r="O102">
        <f>Table1[[#This Row],[Revenue]]-Table1[[#This Row],[Total Cost]]</f>
        <v>3150</v>
      </c>
    </row>
    <row r="103" spans="1:15">
      <c r="A103" s="3">
        <v>102</v>
      </c>
      <c r="B103" s="4">
        <v>44767</v>
      </c>
      <c r="C103" s="4" t="str">
        <f>TEXT(Table1[[#This Row],[Date]],"YYYY")</f>
        <v>2022</v>
      </c>
      <c r="D103" s="4" t="str">
        <f>TEXT(Table1[[#This Row],[Date]],"MMM")</f>
        <v>Jul</v>
      </c>
      <c r="E103" s="5" t="s">
        <v>24</v>
      </c>
      <c r="F103" s="3" t="s">
        <v>15</v>
      </c>
      <c r="G103" s="3" t="s">
        <v>42</v>
      </c>
      <c r="H103" s="3" t="s">
        <v>43</v>
      </c>
      <c r="I103" s="3">
        <v>1</v>
      </c>
      <c r="J103" s="3">
        <v>8280</v>
      </c>
      <c r="K103" s="3">
        <v>9200</v>
      </c>
      <c r="L103" s="3">
        <v>4</v>
      </c>
      <c r="M103">
        <f>Table1[[#This Row],[Qty]]*Table1[[#This Row],[Sales Price]]</f>
        <v>36800</v>
      </c>
      <c r="N103">
        <f>Table1[[#This Row],[Qty]]*Table1[[#This Row],[Cost]]</f>
        <v>33120</v>
      </c>
      <c r="O103">
        <f>Table1[[#This Row],[Revenue]]-Table1[[#This Row],[Total Cost]]</f>
        <v>3680</v>
      </c>
    </row>
    <row r="104" spans="1:15">
      <c r="A104" s="3">
        <v>103</v>
      </c>
      <c r="B104" s="4">
        <v>44768</v>
      </c>
      <c r="C104" s="4" t="str">
        <f>TEXT(Table1[[#This Row],[Date]],"YYYY")</f>
        <v>2022</v>
      </c>
      <c r="D104" s="4" t="str">
        <f>TEXT(Table1[[#This Row],[Date]],"MMM")</f>
        <v>Jul</v>
      </c>
      <c r="E104" s="5" t="s">
        <v>14</v>
      </c>
      <c r="F104" s="3" t="s">
        <v>18</v>
      </c>
      <c r="G104" s="3" t="s">
        <v>45</v>
      </c>
      <c r="H104" s="3" t="s">
        <v>43</v>
      </c>
      <c r="I104" s="3">
        <v>1</v>
      </c>
      <c r="J104" s="3">
        <v>4950</v>
      </c>
      <c r="K104" s="3">
        <v>5500</v>
      </c>
      <c r="L104" s="3">
        <v>8</v>
      </c>
      <c r="M104">
        <f>Table1[[#This Row],[Qty]]*Table1[[#This Row],[Sales Price]]</f>
        <v>44000</v>
      </c>
      <c r="N104">
        <f>Table1[[#This Row],[Qty]]*Table1[[#This Row],[Cost]]</f>
        <v>39600</v>
      </c>
      <c r="O104">
        <f>Table1[[#This Row],[Revenue]]-Table1[[#This Row],[Total Cost]]</f>
        <v>4400</v>
      </c>
    </row>
    <row r="105" spans="1:15">
      <c r="A105" s="3">
        <v>104</v>
      </c>
      <c r="B105" s="4">
        <v>44769</v>
      </c>
      <c r="C105" s="4" t="str">
        <f>TEXT(Table1[[#This Row],[Date]],"YYYY")</f>
        <v>2022</v>
      </c>
      <c r="D105" s="4" t="str">
        <f>TEXT(Table1[[#This Row],[Date]],"MMM")</f>
        <v>Jul</v>
      </c>
      <c r="E105" s="5" t="s">
        <v>40</v>
      </c>
      <c r="F105" s="3" t="s">
        <v>15</v>
      </c>
      <c r="G105" s="3" t="s">
        <v>47</v>
      </c>
      <c r="H105" s="3" t="s">
        <v>43</v>
      </c>
      <c r="I105" s="3">
        <v>1</v>
      </c>
      <c r="J105" s="3">
        <v>3150</v>
      </c>
      <c r="K105" s="3">
        <v>3500</v>
      </c>
      <c r="L105" s="3">
        <v>8</v>
      </c>
      <c r="M105">
        <f>Table1[[#This Row],[Qty]]*Table1[[#This Row],[Sales Price]]</f>
        <v>28000</v>
      </c>
      <c r="N105">
        <f>Table1[[#This Row],[Qty]]*Table1[[#This Row],[Cost]]</f>
        <v>25200</v>
      </c>
      <c r="O105">
        <f>Table1[[#This Row],[Revenue]]-Table1[[#This Row],[Total Cost]]</f>
        <v>2800</v>
      </c>
    </row>
    <row r="106" spans="1:15">
      <c r="A106" s="3">
        <v>105</v>
      </c>
      <c r="B106" s="4">
        <v>44770</v>
      </c>
      <c r="C106" s="4" t="str">
        <f>TEXT(Table1[[#This Row],[Date]],"YYYY")</f>
        <v>2022</v>
      </c>
      <c r="D106" s="4" t="str">
        <f>TEXT(Table1[[#This Row],[Date]],"MMM")</f>
        <v>Jul</v>
      </c>
      <c r="E106" s="5" t="s">
        <v>50</v>
      </c>
      <c r="F106" s="3" t="s">
        <v>18</v>
      </c>
      <c r="G106" s="3" t="s">
        <v>48</v>
      </c>
      <c r="H106" s="3" t="s">
        <v>43</v>
      </c>
      <c r="I106" s="3"/>
      <c r="J106" s="3">
        <v>2700</v>
      </c>
      <c r="K106" s="3">
        <v>3000</v>
      </c>
      <c r="L106" s="3">
        <v>9</v>
      </c>
      <c r="M106">
        <f>Table1[[#This Row],[Qty]]*Table1[[#This Row],[Sales Price]]</f>
        <v>27000</v>
      </c>
      <c r="N106">
        <f>Table1[[#This Row],[Qty]]*Table1[[#This Row],[Cost]]</f>
        <v>24300</v>
      </c>
      <c r="O106">
        <f>Table1[[#This Row],[Revenue]]-Table1[[#This Row],[Total Cost]]</f>
        <v>2700</v>
      </c>
    </row>
    <row r="107" spans="1:15">
      <c r="A107" s="3">
        <v>106</v>
      </c>
      <c r="B107" s="4">
        <v>44771</v>
      </c>
      <c r="C107" s="4" t="str">
        <f>TEXT(Table1[[#This Row],[Date]],"YYYY")</f>
        <v>2022</v>
      </c>
      <c r="D107" s="4" t="str">
        <f>TEXT(Table1[[#This Row],[Date]],"MMM")</f>
        <v>Jul</v>
      </c>
      <c r="E107" s="5" t="s">
        <v>35</v>
      </c>
      <c r="F107" s="3" t="s">
        <v>15</v>
      </c>
      <c r="G107" s="3" t="s">
        <v>42</v>
      </c>
      <c r="H107" s="3" t="s">
        <v>43</v>
      </c>
      <c r="I107" s="3"/>
      <c r="J107" s="3">
        <v>4050</v>
      </c>
      <c r="K107" s="3">
        <v>4500</v>
      </c>
      <c r="L107" s="3">
        <v>2</v>
      </c>
      <c r="M107">
        <f>Table1[[#This Row],[Qty]]*Table1[[#This Row],[Sales Price]]</f>
        <v>9000</v>
      </c>
      <c r="N107">
        <f>Table1[[#This Row],[Qty]]*Table1[[#This Row],[Cost]]</f>
        <v>8100</v>
      </c>
      <c r="O107">
        <f>Table1[[#This Row],[Revenue]]-Table1[[#This Row],[Total Cost]]</f>
        <v>900</v>
      </c>
    </row>
    <row r="108" spans="1:15">
      <c r="A108" s="3">
        <v>107</v>
      </c>
      <c r="B108" s="4">
        <v>44772</v>
      </c>
      <c r="C108" s="4" t="str">
        <f>TEXT(Table1[[#This Row],[Date]],"YYYY")</f>
        <v>2022</v>
      </c>
      <c r="D108" s="4" t="str">
        <f>TEXT(Table1[[#This Row],[Date]],"MMM")</f>
        <v>Jul</v>
      </c>
      <c r="E108" s="5" t="s">
        <v>58</v>
      </c>
      <c r="F108" s="3" t="s">
        <v>18</v>
      </c>
      <c r="G108" s="3" t="s">
        <v>44</v>
      </c>
      <c r="H108" s="3" t="s">
        <v>43</v>
      </c>
      <c r="I108" s="3">
        <v>1</v>
      </c>
      <c r="J108" s="3">
        <v>24750</v>
      </c>
      <c r="K108" s="3">
        <v>27500</v>
      </c>
      <c r="L108" s="3">
        <v>1</v>
      </c>
      <c r="M108">
        <f>Table1[[#This Row],[Qty]]*Table1[[#This Row],[Sales Price]]</f>
        <v>27500</v>
      </c>
      <c r="N108">
        <f>Table1[[#This Row],[Qty]]*Table1[[#This Row],[Cost]]</f>
        <v>24750</v>
      </c>
      <c r="O108">
        <f>Table1[[#This Row],[Revenue]]-Table1[[#This Row],[Total Cost]]</f>
        <v>2750</v>
      </c>
    </row>
    <row r="109" spans="1:15">
      <c r="A109" s="3">
        <v>108</v>
      </c>
      <c r="B109" s="4">
        <v>44773</v>
      </c>
      <c r="C109" s="4" t="str">
        <f>TEXT(Table1[[#This Row],[Date]],"YYYY")</f>
        <v>2022</v>
      </c>
      <c r="D109" s="4" t="str">
        <f>TEXT(Table1[[#This Row],[Date]],"MMM")</f>
        <v>Jul</v>
      </c>
      <c r="E109" s="5" t="s">
        <v>39</v>
      </c>
      <c r="F109" s="3" t="s">
        <v>15</v>
      </c>
      <c r="G109" s="3" t="s">
        <v>45</v>
      </c>
      <c r="H109" s="3" t="s">
        <v>43</v>
      </c>
      <c r="I109" s="3">
        <v>0</v>
      </c>
      <c r="J109" s="3">
        <v>44550</v>
      </c>
      <c r="K109" s="3">
        <v>49500</v>
      </c>
      <c r="L109" s="3">
        <v>22</v>
      </c>
      <c r="M109">
        <f>Table1[[#This Row],[Qty]]*Table1[[#This Row],[Sales Price]]</f>
        <v>1089000</v>
      </c>
      <c r="N109">
        <f>Table1[[#This Row],[Qty]]*Table1[[#This Row],[Cost]]</f>
        <v>980100</v>
      </c>
      <c r="O109">
        <f>Table1[[#This Row],[Revenue]]-Table1[[#This Row],[Total Cost]]</f>
        <v>108900</v>
      </c>
    </row>
    <row r="110" spans="1:15">
      <c r="A110" s="3">
        <v>109</v>
      </c>
      <c r="B110" s="4">
        <v>44774</v>
      </c>
      <c r="C110" s="4" t="str">
        <f>TEXT(Table1[[#This Row],[Date]],"YYYY")</f>
        <v>2022</v>
      </c>
      <c r="D110" s="4" t="str">
        <f>TEXT(Table1[[#This Row],[Date]],"MMM")</f>
        <v>Aug</v>
      </c>
      <c r="E110" s="5" t="s">
        <v>20</v>
      </c>
      <c r="F110" s="3" t="s">
        <v>18</v>
      </c>
      <c r="G110" s="3" t="s">
        <v>47</v>
      </c>
      <c r="H110" s="3" t="s">
        <v>43</v>
      </c>
      <c r="I110" s="3">
        <v>1</v>
      </c>
      <c r="J110" s="3">
        <v>9000</v>
      </c>
      <c r="K110" s="3">
        <v>10000</v>
      </c>
      <c r="L110" s="3">
        <v>8</v>
      </c>
      <c r="M110">
        <f>Table1[[#This Row],[Qty]]*Table1[[#This Row],[Sales Price]]</f>
        <v>80000</v>
      </c>
      <c r="N110">
        <f>Table1[[#This Row],[Qty]]*Table1[[#This Row],[Cost]]</f>
        <v>72000</v>
      </c>
      <c r="O110">
        <f>Table1[[#This Row],[Revenue]]-Table1[[#This Row],[Total Cost]]</f>
        <v>8000</v>
      </c>
    </row>
    <row r="111" spans="1:15">
      <c r="A111" s="3">
        <v>110</v>
      </c>
      <c r="B111" s="4">
        <v>44775</v>
      </c>
      <c r="C111" s="4" t="str">
        <f>TEXT(Table1[[#This Row],[Date]],"YYYY")</f>
        <v>2022</v>
      </c>
      <c r="D111" s="4" t="str">
        <f>TEXT(Table1[[#This Row],[Date]],"MMM")</f>
        <v>Aug</v>
      </c>
      <c r="E111" s="5" t="s">
        <v>40</v>
      </c>
      <c r="F111" s="3" t="s">
        <v>15</v>
      </c>
      <c r="G111" s="3" t="s">
        <v>48</v>
      </c>
      <c r="H111" s="3" t="s">
        <v>43</v>
      </c>
      <c r="I111" s="3">
        <v>1</v>
      </c>
      <c r="J111" s="3">
        <v>8640</v>
      </c>
      <c r="K111" s="3">
        <v>9600</v>
      </c>
      <c r="L111" s="3">
        <v>7</v>
      </c>
      <c r="M111">
        <f>Table1[[#This Row],[Qty]]*Table1[[#This Row],[Sales Price]]</f>
        <v>67200</v>
      </c>
      <c r="N111">
        <f>Table1[[#This Row],[Qty]]*Table1[[#This Row],[Cost]]</f>
        <v>60480</v>
      </c>
      <c r="O111">
        <f>Table1[[#This Row],[Revenue]]-Table1[[#This Row],[Total Cost]]</f>
        <v>6720</v>
      </c>
    </row>
    <row r="112" spans="1:15">
      <c r="A112" s="3">
        <v>111</v>
      </c>
      <c r="B112" s="4">
        <v>44776</v>
      </c>
      <c r="C112" s="4" t="str">
        <f>TEXT(Table1[[#This Row],[Date]],"YYYY")</f>
        <v>2022</v>
      </c>
      <c r="D112" s="4" t="str">
        <f>TEXT(Table1[[#This Row],[Date]],"MMM")</f>
        <v>Aug</v>
      </c>
      <c r="E112" s="5" t="s">
        <v>58</v>
      </c>
      <c r="F112" s="3" t="s">
        <v>18</v>
      </c>
      <c r="G112" s="3" t="s">
        <v>48</v>
      </c>
      <c r="H112" s="3" t="s">
        <v>43</v>
      </c>
      <c r="I112" s="3">
        <v>1</v>
      </c>
      <c r="J112" s="3">
        <v>9000</v>
      </c>
      <c r="K112" s="3">
        <v>10000</v>
      </c>
      <c r="L112" s="3">
        <v>56</v>
      </c>
      <c r="M112">
        <f>Table1[[#This Row],[Qty]]*Table1[[#This Row],[Sales Price]]</f>
        <v>560000</v>
      </c>
      <c r="N112">
        <f>Table1[[#This Row],[Qty]]*Table1[[#This Row],[Cost]]</f>
        <v>504000</v>
      </c>
      <c r="O112">
        <f>Table1[[#This Row],[Revenue]]-Table1[[#This Row],[Total Cost]]</f>
        <v>56000</v>
      </c>
    </row>
    <row r="113" spans="1:15">
      <c r="A113" s="3">
        <v>112</v>
      </c>
      <c r="B113" s="4">
        <v>44777</v>
      </c>
      <c r="C113" s="4" t="str">
        <f>TEXT(Table1[[#This Row],[Date]],"YYYY")</f>
        <v>2022</v>
      </c>
      <c r="D113" s="4" t="str">
        <f>TEXT(Table1[[#This Row],[Date]],"MMM")</f>
        <v>Aug</v>
      </c>
      <c r="E113" s="5" t="s">
        <v>56</v>
      </c>
      <c r="F113" s="3" t="s">
        <v>15</v>
      </c>
      <c r="G113" s="3" t="s">
        <v>42</v>
      </c>
      <c r="H113" s="3" t="s">
        <v>43</v>
      </c>
      <c r="I113" s="3">
        <v>1</v>
      </c>
      <c r="J113" s="3">
        <v>3870</v>
      </c>
      <c r="K113" s="3">
        <v>4300</v>
      </c>
      <c r="L113" s="3">
        <v>10</v>
      </c>
      <c r="M113">
        <f>Table1[[#This Row],[Qty]]*Table1[[#This Row],[Sales Price]]</f>
        <v>43000</v>
      </c>
      <c r="N113">
        <f>Table1[[#This Row],[Qty]]*Table1[[#This Row],[Cost]]</f>
        <v>38700</v>
      </c>
      <c r="O113">
        <f>Table1[[#This Row],[Revenue]]-Table1[[#This Row],[Total Cost]]</f>
        <v>4300</v>
      </c>
    </row>
    <row r="114" spans="1:15">
      <c r="A114" s="3">
        <v>113</v>
      </c>
      <c r="B114" s="4">
        <v>44778</v>
      </c>
      <c r="C114" s="4" t="str">
        <f>TEXT(Table1[[#This Row],[Date]],"YYYY")</f>
        <v>2022</v>
      </c>
      <c r="D114" s="4" t="str">
        <f>TEXT(Table1[[#This Row],[Date]],"MMM")</f>
        <v>Aug</v>
      </c>
      <c r="E114" s="5" t="s">
        <v>22</v>
      </c>
      <c r="F114" s="3" t="s">
        <v>18</v>
      </c>
      <c r="G114" s="3" t="s">
        <v>16</v>
      </c>
      <c r="H114" s="3" t="s">
        <v>17</v>
      </c>
      <c r="I114" s="3"/>
      <c r="J114" s="3">
        <v>45450</v>
      </c>
      <c r="K114" s="3">
        <v>50500</v>
      </c>
      <c r="L114" s="3">
        <v>9</v>
      </c>
      <c r="M114">
        <f>Table1[[#This Row],[Qty]]*Table1[[#This Row],[Sales Price]]</f>
        <v>454500</v>
      </c>
      <c r="N114">
        <f>Table1[[#This Row],[Qty]]*Table1[[#This Row],[Cost]]</f>
        <v>409050</v>
      </c>
      <c r="O114">
        <f>Table1[[#This Row],[Revenue]]-Table1[[#This Row],[Total Cost]]</f>
        <v>45450</v>
      </c>
    </row>
    <row r="115" spans="1:15">
      <c r="A115" s="3">
        <v>114</v>
      </c>
      <c r="B115" s="4">
        <v>44779</v>
      </c>
      <c r="C115" s="4" t="str">
        <f>TEXT(Table1[[#This Row],[Date]],"YYYY")</f>
        <v>2022</v>
      </c>
      <c r="D115" s="4" t="str">
        <f>TEXT(Table1[[#This Row],[Date]],"MMM")</f>
        <v>Aug</v>
      </c>
      <c r="E115" s="5" t="s">
        <v>22</v>
      </c>
      <c r="F115" s="3" t="s">
        <v>15</v>
      </c>
      <c r="G115" s="3" t="s">
        <v>41</v>
      </c>
      <c r="H115" s="3" t="s">
        <v>28</v>
      </c>
      <c r="I115" s="3"/>
      <c r="J115" s="3">
        <v>18225</v>
      </c>
      <c r="K115" s="3">
        <v>20250</v>
      </c>
      <c r="L115" s="3">
        <v>27</v>
      </c>
      <c r="M115">
        <f>Table1[[#This Row],[Qty]]*Table1[[#This Row],[Sales Price]]</f>
        <v>546750</v>
      </c>
      <c r="N115">
        <f>Table1[[#This Row],[Qty]]*Table1[[#This Row],[Cost]]</f>
        <v>492075</v>
      </c>
      <c r="O115">
        <f>Table1[[#This Row],[Revenue]]-Table1[[#This Row],[Total Cost]]</f>
        <v>54675</v>
      </c>
    </row>
    <row r="116" spans="1:15">
      <c r="A116" s="3">
        <v>115</v>
      </c>
      <c r="B116" s="4">
        <v>44780</v>
      </c>
      <c r="C116" s="4" t="str">
        <f>TEXT(Table1[[#This Row],[Date]],"YYYY")</f>
        <v>2022</v>
      </c>
      <c r="D116" s="4" t="str">
        <f>TEXT(Table1[[#This Row],[Date]],"MMM")</f>
        <v>Aug</v>
      </c>
      <c r="E116" s="5" t="s">
        <v>22</v>
      </c>
      <c r="F116" s="3" t="s">
        <v>18</v>
      </c>
      <c r="G116" s="3" t="s">
        <v>27</v>
      </c>
      <c r="H116" s="3" t="s">
        <v>28</v>
      </c>
      <c r="I116" s="3">
        <v>1</v>
      </c>
      <c r="J116" s="3">
        <v>1800</v>
      </c>
      <c r="K116" s="3">
        <v>2000</v>
      </c>
      <c r="L116" s="3">
        <v>15</v>
      </c>
      <c r="M116">
        <f>Table1[[#This Row],[Qty]]*Table1[[#This Row],[Sales Price]]</f>
        <v>30000</v>
      </c>
      <c r="N116">
        <f>Table1[[#This Row],[Qty]]*Table1[[#This Row],[Cost]]</f>
        <v>27000</v>
      </c>
      <c r="O116">
        <f>Table1[[#This Row],[Revenue]]-Table1[[#This Row],[Total Cost]]</f>
        <v>3000</v>
      </c>
    </row>
    <row r="117" spans="1:15">
      <c r="A117" s="3">
        <v>116</v>
      </c>
      <c r="B117" s="4">
        <v>44781</v>
      </c>
      <c r="C117" s="4" t="str">
        <f>TEXT(Table1[[#This Row],[Date]],"YYYY")</f>
        <v>2022</v>
      </c>
      <c r="D117" s="4" t="str">
        <f>TEXT(Table1[[#This Row],[Date]],"MMM")</f>
        <v>Aug</v>
      </c>
      <c r="E117" s="5" t="s">
        <v>40</v>
      </c>
      <c r="F117" s="3" t="s">
        <v>15</v>
      </c>
      <c r="G117" s="3" t="s">
        <v>32</v>
      </c>
      <c r="H117" s="3" t="s">
        <v>28</v>
      </c>
      <c r="I117" s="3">
        <v>1</v>
      </c>
      <c r="J117" s="3">
        <v>48600</v>
      </c>
      <c r="K117" s="3">
        <v>54000</v>
      </c>
      <c r="L117" s="3">
        <v>3</v>
      </c>
      <c r="M117">
        <f>Table1[[#This Row],[Qty]]*Table1[[#This Row],[Sales Price]]</f>
        <v>162000</v>
      </c>
      <c r="N117">
        <f>Table1[[#This Row],[Qty]]*Table1[[#This Row],[Cost]]</f>
        <v>145800</v>
      </c>
      <c r="O117">
        <f>Table1[[#This Row],[Revenue]]-Table1[[#This Row],[Total Cost]]</f>
        <v>16200</v>
      </c>
    </row>
    <row r="118" spans="1:15">
      <c r="A118" s="3">
        <v>117</v>
      </c>
      <c r="B118" s="4">
        <v>44782</v>
      </c>
      <c r="C118" s="4" t="str">
        <f>TEXT(Table1[[#This Row],[Date]],"YYYY")</f>
        <v>2022</v>
      </c>
      <c r="D118" s="4" t="str">
        <f>TEXT(Table1[[#This Row],[Date]],"MMM")</f>
        <v>Aug</v>
      </c>
      <c r="E118" s="5" t="s">
        <v>33</v>
      </c>
      <c r="F118" s="3" t="s">
        <v>18</v>
      </c>
      <c r="G118" s="3" t="s">
        <v>42</v>
      </c>
      <c r="H118" s="3" t="s">
        <v>43</v>
      </c>
      <c r="I118" s="3">
        <v>1</v>
      </c>
      <c r="J118" s="3">
        <v>72900</v>
      </c>
      <c r="K118" s="3">
        <v>81000</v>
      </c>
      <c r="L118" s="3">
        <v>9</v>
      </c>
      <c r="M118">
        <f>Table1[[#This Row],[Qty]]*Table1[[#This Row],[Sales Price]]</f>
        <v>729000</v>
      </c>
      <c r="N118">
        <f>Table1[[#This Row],[Qty]]*Table1[[#This Row],[Cost]]</f>
        <v>656100</v>
      </c>
      <c r="O118">
        <f>Table1[[#This Row],[Revenue]]-Table1[[#This Row],[Total Cost]]</f>
        <v>72900</v>
      </c>
    </row>
    <row r="119" spans="1:15">
      <c r="A119" s="3">
        <v>118</v>
      </c>
      <c r="B119" s="4">
        <v>44783</v>
      </c>
      <c r="C119" s="4" t="str">
        <f>TEXT(Table1[[#This Row],[Date]],"YYYY")</f>
        <v>2022</v>
      </c>
      <c r="D119" s="4" t="str">
        <f>TEXT(Table1[[#This Row],[Date]],"MMM")</f>
        <v>Aug</v>
      </c>
      <c r="E119" s="5" t="s">
        <v>60</v>
      </c>
      <c r="F119" s="3" t="s">
        <v>15</v>
      </c>
      <c r="G119" s="3" t="s">
        <v>44</v>
      </c>
      <c r="H119" s="3" t="s">
        <v>43</v>
      </c>
      <c r="I119" s="3">
        <v>1</v>
      </c>
      <c r="J119" s="3">
        <v>9450</v>
      </c>
      <c r="K119" s="3">
        <v>10500</v>
      </c>
      <c r="L119" s="3">
        <v>22</v>
      </c>
      <c r="M119">
        <f>Table1[[#This Row],[Qty]]*Table1[[#This Row],[Sales Price]]</f>
        <v>231000</v>
      </c>
      <c r="N119">
        <f>Table1[[#This Row],[Qty]]*Table1[[#This Row],[Cost]]</f>
        <v>207900</v>
      </c>
      <c r="O119">
        <f>Table1[[#This Row],[Revenue]]-Table1[[#This Row],[Total Cost]]</f>
        <v>23100</v>
      </c>
    </row>
    <row r="120" spans="1:15">
      <c r="A120" s="3">
        <v>119</v>
      </c>
      <c r="B120" s="4">
        <v>44784</v>
      </c>
      <c r="C120" s="4" t="str">
        <f>TEXT(Table1[[#This Row],[Date]],"YYYY")</f>
        <v>2022</v>
      </c>
      <c r="D120" s="4" t="str">
        <f>TEXT(Table1[[#This Row],[Date]],"MMM")</f>
        <v>Aug</v>
      </c>
      <c r="E120" s="5" t="s">
        <v>14</v>
      </c>
      <c r="F120" s="3" t="s">
        <v>18</v>
      </c>
      <c r="G120" s="3" t="s">
        <v>45</v>
      </c>
      <c r="H120" s="3" t="s">
        <v>43</v>
      </c>
      <c r="I120" s="3">
        <v>1</v>
      </c>
      <c r="J120" s="3">
        <v>36000</v>
      </c>
      <c r="K120" s="3">
        <v>40000</v>
      </c>
      <c r="L120" s="3">
        <v>16</v>
      </c>
      <c r="M120">
        <f>Table1[[#This Row],[Qty]]*Table1[[#This Row],[Sales Price]]</f>
        <v>640000</v>
      </c>
      <c r="N120">
        <f>Table1[[#This Row],[Qty]]*Table1[[#This Row],[Cost]]</f>
        <v>576000</v>
      </c>
      <c r="O120">
        <f>Table1[[#This Row],[Revenue]]-Table1[[#This Row],[Total Cost]]</f>
        <v>64000</v>
      </c>
    </row>
    <row r="121" spans="1:15">
      <c r="A121" s="3">
        <v>120</v>
      </c>
      <c r="B121" s="4">
        <v>44785</v>
      </c>
      <c r="C121" s="4" t="str">
        <f>TEXT(Table1[[#This Row],[Date]],"YYYY")</f>
        <v>2022</v>
      </c>
      <c r="D121" s="4" t="str">
        <f>TEXT(Table1[[#This Row],[Date]],"MMM")</f>
        <v>Aug</v>
      </c>
      <c r="E121" s="5" t="s">
        <v>22</v>
      </c>
      <c r="F121" s="3" t="s">
        <v>15</v>
      </c>
      <c r="G121" s="3" t="s">
        <v>47</v>
      </c>
      <c r="H121" s="3" t="s">
        <v>43</v>
      </c>
      <c r="I121" s="3">
        <v>1</v>
      </c>
      <c r="J121" s="3">
        <v>24300</v>
      </c>
      <c r="K121" s="3">
        <v>27000</v>
      </c>
      <c r="L121" s="3">
        <v>6</v>
      </c>
      <c r="M121">
        <f>Table1[[#This Row],[Qty]]*Table1[[#This Row],[Sales Price]]</f>
        <v>162000</v>
      </c>
      <c r="N121">
        <f>Table1[[#This Row],[Qty]]*Table1[[#This Row],[Cost]]</f>
        <v>145800</v>
      </c>
      <c r="O121">
        <f>Table1[[#This Row],[Revenue]]-Table1[[#This Row],[Total Cost]]</f>
        <v>16200</v>
      </c>
    </row>
    <row r="122" spans="1:15">
      <c r="A122" s="3">
        <v>121</v>
      </c>
      <c r="B122" s="4">
        <v>44786</v>
      </c>
      <c r="C122" s="4" t="str">
        <f>TEXT(Table1[[#This Row],[Date]],"YYYY")</f>
        <v>2022</v>
      </c>
      <c r="D122" s="4" t="str">
        <f>TEXT(Table1[[#This Row],[Date]],"MMM")</f>
        <v>Aug</v>
      </c>
      <c r="E122" s="5" t="s">
        <v>39</v>
      </c>
      <c r="F122" s="3" t="s">
        <v>18</v>
      </c>
      <c r="G122" s="3" t="s">
        <v>48</v>
      </c>
      <c r="H122" s="3" t="s">
        <v>43</v>
      </c>
      <c r="I122" s="3"/>
      <c r="J122" s="3">
        <v>9180</v>
      </c>
      <c r="K122" s="3">
        <v>10200</v>
      </c>
      <c r="L122" s="3">
        <v>3</v>
      </c>
      <c r="M122">
        <f>Table1[[#This Row],[Qty]]*Table1[[#This Row],[Sales Price]]</f>
        <v>30600</v>
      </c>
      <c r="N122">
        <f>Table1[[#This Row],[Qty]]*Table1[[#This Row],[Cost]]</f>
        <v>27540</v>
      </c>
      <c r="O122">
        <f>Table1[[#This Row],[Revenue]]-Table1[[#This Row],[Total Cost]]</f>
        <v>3060</v>
      </c>
    </row>
    <row r="123" spans="1:15">
      <c r="A123" s="3">
        <v>122</v>
      </c>
      <c r="B123" s="4">
        <v>44787</v>
      </c>
      <c r="C123" s="4" t="str">
        <f>TEXT(Table1[[#This Row],[Date]],"YYYY")</f>
        <v>2022</v>
      </c>
      <c r="D123" s="4" t="str">
        <f>TEXT(Table1[[#This Row],[Date]],"MMM")</f>
        <v>Aug</v>
      </c>
      <c r="E123" s="5" t="s">
        <v>54</v>
      </c>
      <c r="F123" s="3" t="s">
        <v>61</v>
      </c>
      <c r="G123" s="3" t="s">
        <v>42</v>
      </c>
      <c r="H123" s="3" t="s">
        <v>43</v>
      </c>
      <c r="I123" s="3"/>
      <c r="J123" s="3">
        <v>8640</v>
      </c>
      <c r="K123" s="3">
        <v>9600</v>
      </c>
      <c r="L123" s="3">
        <v>5</v>
      </c>
      <c r="M123">
        <f>Table1[[#This Row],[Qty]]*Table1[[#This Row],[Sales Price]]</f>
        <v>48000</v>
      </c>
      <c r="N123">
        <f>Table1[[#This Row],[Qty]]*Table1[[#This Row],[Cost]]</f>
        <v>43200</v>
      </c>
      <c r="O123">
        <f>Table1[[#This Row],[Revenue]]-Table1[[#This Row],[Total Cost]]</f>
        <v>4800</v>
      </c>
    </row>
    <row r="124" spans="1:15">
      <c r="A124" s="3">
        <v>123</v>
      </c>
      <c r="B124" s="4">
        <v>44788</v>
      </c>
      <c r="C124" s="4" t="str">
        <f>TEXT(Table1[[#This Row],[Date]],"YYYY")</f>
        <v>2022</v>
      </c>
      <c r="D124" s="4" t="str">
        <f>TEXT(Table1[[#This Row],[Date]],"MMM")</f>
        <v>Aug</v>
      </c>
      <c r="E124" s="5" t="s">
        <v>39</v>
      </c>
      <c r="F124" s="3" t="s">
        <v>18</v>
      </c>
      <c r="G124" s="3" t="s">
        <v>44</v>
      </c>
      <c r="H124" s="3" t="s">
        <v>43</v>
      </c>
      <c r="I124" s="3"/>
      <c r="J124" s="3">
        <v>8280</v>
      </c>
      <c r="K124" s="3">
        <v>9200</v>
      </c>
      <c r="L124" s="3">
        <v>1</v>
      </c>
      <c r="M124">
        <f>Table1[[#This Row],[Qty]]*Table1[[#This Row],[Sales Price]]</f>
        <v>9200</v>
      </c>
      <c r="N124">
        <f>Table1[[#This Row],[Qty]]*Table1[[#This Row],[Cost]]</f>
        <v>8280</v>
      </c>
      <c r="O124">
        <f>Table1[[#This Row],[Revenue]]-Table1[[#This Row],[Total Cost]]</f>
        <v>920</v>
      </c>
    </row>
    <row r="125" spans="1:15">
      <c r="A125" s="3">
        <v>124</v>
      </c>
      <c r="B125" s="4">
        <v>44789</v>
      </c>
      <c r="C125" s="4" t="str">
        <f>TEXT(Table1[[#This Row],[Date]],"YYYY")</f>
        <v>2022</v>
      </c>
      <c r="D125" s="4" t="str">
        <f>TEXT(Table1[[#This Row],[Date]],"MMM")</f>
        <v>Aug</v>
      </c>
      <c r="E125" s="5" t="s">
        <v>39</v>
      </c>
      <c r="F125" s="3" t="s">
        <v>61</v>
      </c>
      <c r="G125" s="3" t="s">
        <v>45</v>
      </c>
      <c r="H125" s="3" t="s">
        <v>43</v>
      </c>
      <c r="I125" s="3">
        <v>1</v>
      </c>
      <c r="J125" s="3">
        <v>4950</v>
      </c>
      <c r="K125" s="3">
        <v>5500</v>
      </c>
      <c r="L125" s="3">
        <v>5</v>
      </c>
      <c r="M125">
        <f>Table1[[#This Row],[Qty]]*Table1[[#This Row],[Sales Price]]</f>
        <v>27500</v>
      </c>
      <c r="N125">
        <f>Table1[[#This Row],[Qty]]*Table1[[#This Row],[Cost]]</f>
        <v>24750</v>
      </c>
      <c r="O125">
        <f>Table1[[#This Row],[Revenue]]-Table1[[#This Row],[Total Cost]]</f>
        <v>2750</v>
      </c>
    </row>
    <row r="126" spans="1:15">
      <c r="A126" s="3">
        <v>125</v>
      </c>
      <c r="B126" s="4">
        <v>44790</v>
      </c>
      <c r="C126" s="4" t="str">
        <f>TEXT(Table1[[#This Row],[Date]],"YYYY")</f>
        <v>2022</v>
      </c>
      <c r="D126" s="4" t="str">
        <f>TEXT(Table1[[#This Row],[Date]],"MMM")</f>
        <v>Aug</v>
      </c>
      <c r="E126" s="5" t="s">
        <v>22</v>
      </c>
      <c r="F126" s="3" t="s">
        <v>18</v>
      </c>
      <c r="G126" s="3" t="s">
        <v>47</v>
      </c>
      <c r="H126" s="3" t="s">
        <v>43</v>
      </c>
      <c r="I126" s="3">
        <v>1</v>
      </c>
      <c r="J126" s="3">
        <v>3150</v>
      </c>
      <c r="K126" s="3">
        <v>3500</v>
      </c>
      <c r="L126" s="3">
        <v>7</v>
      </c>
      <c r="M126">
        <f>Table1[[#This Row],[Qty]]*Table1[[#This Row],[Sales Price]]</f>
        <v>24500</v>
      </c>
      <c r="N126">
        <f>Table1[[#This Row],[Qty]]*Table1[[#This Row],[Cost]]</f>
        <v>22050</v>
      </c>
      <c r="O126">
        <f>Table1[[#This Row],[Revenue]]-Table1[[#This Row],[Total Cost]]</f>
        <v>2450</v>
      </c>
    </row>
    <row r="127" spans="1:15">
      <c r="A127" s="3">
        <v>126</v>
      </c>
      <c r="B127" s="4">
        <v>44791</v>
      </c>
      <c r="C127" s="4" t="str">
        <f>TEXT(Table1[[#This Row],[Date]],"YYYY")</f>
        <v>2022</v>
      </c>
      <c r="D127" s="4" t="str">
        <f>TEXT(Table1[[#This Row],[Date]],"MMM")</f>
        <v>Aug</v>
      </c>
      <c r="E127" s="5" t="s">
        <v>35</v>
      </c>
      <c r="F127" s="3" t="s">
        <v>61</v>
      </c>
      <c r="G127" s="3" t="s">
        <v>48</v>
      </c>
      <c r="H127" s="3" t="s">
        <v>43</v>
      </c>
      <c r="I127" s="3">
        <v>1</v>
      </c>
      <c r="J127" s="3">
        <v>2700</v>
      </c>
      <c r="K127" s="3">
        <v>3000</v>
      </c>
      <c r="L127" s="3">
        <v>4</v>
      </c>
      <c r="M127">
        <f>Table1[[#This Row],[Qty]]*Table1[[#This Row],[Sales Price]]</f>
        <v>12000</v>
      </c>
      <c r="N127">
        <f>Table1[[#This Row],[Qty]]*Table1[[#This Row],[Cost]]</f>
        <v>10800</v>
      </c>
      <c r="O127">
        <f>Table1[[#This Row],[Revenue]]-Table1[[#This Row],[Total Cost]]</f>
        <v>1200</v>
      </c>
    </row>
    <row r="128" spans="1:15">
      <c r="A128" s="3">
        <v>127</v>
      </c>
      <c r="B128" s="4">
        <v>44792</v>
      </c>
      <c r="C128" s="4" t="str">
        <f>TEXT(Table1[[#This Row],[Date]],"YYYY")</f>
        <v>2022</v>
      </c>
      <c r="D128" s="4" t="str">
        <f>TEXT(Table1[[#This Row],[Date]],"MMM")</f>
        <v>Aug</v>
      </c>
      <c r="E128" s="5" t="s">
        <v>31</v>
      </c>
      <c r="F128" s="3" t="s">
        <v>18</v>
      </c>
      <c r="G128" s="3" t="s">
        <v>48</v>
      </c>
      <c r="H128" s="3" t="s">
        <v>43</v>
      </c>
      <c r="I128" s="3">
        <v>0</v>
      </c>
      <c r="J128" s="3">
        <v>4050</v>
      </c>
      <c r="K128" s="3">
        <v>4500</v>
      </c>
      <c r="L128" s="3">
        <v>8</v>
      </c>
      <c r="M128">
        <f>Table1[[#This Row],[Qty]]*Table1[[#This Row],[Sales Price]]</f>
        <v>36000</v>
      </c>
      <c r="N128">
        <f>Table1[[#This Row],[Qty]]*Table1[[#This Row],[Cost]]</f>
        <v>32400</v>
      </c>
      <c r="O128">
        <f>Table1[[#This Row],[Revenue]]-Table1[[#This Row],[Total Cost]]</f>
        <v>3600</v>
      </c>
    </row>
    <row r="129" spans="1:15">
      <c r="A129" s="3">
        <v>128</v>
      </c>
      <c r="B129" s="4">
        <v>44793</v>
      </c>
      <c r="C129" s="4" t="str">
        <f>TEXT(Table1[[#This Row],[Date]],"YYYY")</f>
        <v>2022</v>
      </c>
      <c r="D129" s="4" t="str">
        <f>TEXT(Table1[[#This Row],[Date]],"MMM")</f>
        <v>Aug</v>
      </c>
      <c r="E129" s="5" t="s">
        <v>53</v>
      </c>
      <c r="F129" s="3" t="s">
        <v>61</v>
      </c>
      <c r="G129" s="3" t="s">
        <v>42</v>
      </c>
      <c r="H129" s="3" t="s">
        <v>43</v>
      </c>
      <c r="I129" s="3">
        <v>0</v>
      </c>
      <c r="J129" s="3">
        <v>53100</v>
      </c>
      <c r="K129" s="3">
        <v>59000</v>
      </c>
      <c r="L129" s="3">
        <v>8</v>
      </c>
      <c r="M129">
        <f>Table1[[#This Row],[Qty]]*Table1[[#This Row],[Sales Price]]</f>
        <v>472000</v>
      </c>
      <c r="N129">
        <f>Table1[[#This Row],[Qty]]*Table1[[#This Row],[Cost]]</f>
        <v>424800</v>
      </c>
      <c r="O129">
        <f>Table1[[#This Row],[Revenue]]-Table1[[#This Row],[Total Cost]]</f>
        <v>47200</v>
      </c>
    </row>
    <row r="130" spans="1:15">
      <c r="A130" s="3">
        <v>129</v>
      </c>
      <c r="B130" s="4">
        <v>44794</v>
      </c>
      <c r="C130" s="4" t="str">
        <f>TEXT(Table1[[#This Row],[Date]],"YYYY")</f>
        <v>2022</v>
      </c>
      <c r="D130" s="4" t="str">
        <f>TEXT(Table1[[#This Row],[Date]],"MMM")</f>
        <v>Aug</v>
      </c>
      <c r="E130" s="5" t="s">
        <v>14</v>
      </c>
      <c r="F130" s="3" t="s">
        <v>18</v>
      </c>
      <c r="G130" s="3" t="s">
        <v>27</v>
      </c>
      <c r="H130" s="3" t="s">
        <v>28</v>
      </c>
      <c r="I130" s="3">
        <v>0</v>
      </c>
      <c r="J130" s="3">
        <v>88200</v>
      </c>
      <c r="K130" s="3">
        <v>98000</v>
      </c>
      <c r="L130" s="3">
        <v>9</v>
      </c>
      <c r="M130">
        <f>Table1[[#This Row],[Qty]]*Table1[[#This Row],[Sales Price]]</f>
        <v>882000</v>
      </c>
      <c r="N130">
        <f>Table1[[#This Row],[Qty]]*Table1[[#This Row],[Cost]]</f>
        <v>793800</v>
      </c>
      <c r="O130">
        <f>Table1[[#This Row],[Revenue]]-Table1[[#This Row],[Total Cost]]</f>
        <v>88200</v>
      </c>
    </row>
    <row r="131" spans="1:15">
      <c r="A131" s="3">
        <v>130</v>
      </c>
      <c r="B131" s="4">
        <v>44795</v>
      </c>
      <c r="C131" s="4" t="str">
        <f>TEXT(Table1[[#This Row],[Date]],"YYYY")</f>
        <v>2022</v>
      </c>
      <c r="D131" s="4" t="str">
        <f>TEXT(Table1[[#This Row],[Date]],"MMM")</f>
        <v>Aug</v>
      </c>
      <c r="E131" s="5" t="s">
        <v>50</v>
      </c>
      <c r="F131" s="3" t="s">
        <v>61</v>
      </c>
      <c r="G131" s="3" t="s">
        <v>30</v>
      </c>
      <c r="H131" s="3" t="s">
        <v>28</v>
      </c>
      <c r="I131" s="3">
        <v>1</v>
      </c>
      <c r="J131" s="3">
        <v>38250</v>
      </c>
      <c r="K131" s="3">
        <v>42500</v>
      </c>
      <c r="L131" s="3">
        <v>2</v>
      </c>
      <c r="M131">
        <f>Table1[[#This Row],[Qty]]*Table1[[#This Row],[Sales Price]]</f>
        <v>85000</v>
      </c>
      <c r="N131">
        <f>Table1[[#This Row],[Qty]]*Table1[[#This Row],[Cost]]</f>
        <v>76500</v>
      </c>
      <c r="O131">
        <f>Table1[[#This Row],[Revenue]]-Table1[[#This Row],[Total Cost]]</f>
        <v>8500</v>
      </c>
    </row>
    <row r="132" spans="1:15">
      <c r="A132" s="3">
        <v>131</v>
      </c>
      <c r="B132" s="4">
        <v>44796</v>
      </c>
      <c r="C132" s="4" t="str">
        <f>TEXT(Table1[[#This Row],[Date]],"YYYY")</f>
        <v>2022</v>
      </c>
      <c r="D132" s="4" t="str">
        <f>TEXT(Table1[[#This Row],[Date]],"MMM")</f>
        <v>Aug</v>
      </c>
      <c r="E132" s="5" t="s">
        <v>56</v>
      </c>
      <c r="F132" s="3" t="s">
        <v>18</v>
      </c>
      <c r="G132" s="3" t="s">
        <v>32</v>
      </c>
      <c r="H132" s="3" t="s">
        <v>28</v>
      </c>
      <c r="I132" s="3"/>
      <c r="J132" s="3">
        <v>2700</v>
      </c>
      <c r="K132" s="3">
        <v>3000</v>
      </c>
      <c r="L132" s="3">
        <v>1</v>
      </c>
      <c r="M132">
        <f>Table1[[#This Row],[Qty]]*Table1[[#This Row],[Sales Price]]</f>
        <v>3000</v>
      </c>
      <c r="N132">
        <f>Table1[[#This Row],[Qty]]*Table1[[#This Row],[Cost]]</f>
        <v>2700</v>
      </c>
      <c r="O132">
        <f>Table1[[#This Row],[Revenue]]-Table1[[#This Row],[Total Cost]]</f>
        <v>300</v>
      </c>
    </row>
    <row r="133" spans="1:15">
      <c r="A133" s="3">
        <v>132</v>
      </c>
      <c r="B133" s="4">
        <v>44797</v>
      </c>
      <c r="C133" s="4" t="str">
        <f>TEXT(Table1[[#This Row],[Date]],"YYYY")</f>
        <v>2022</v>
      </c>
      <c r="D133" s="4" t="str">
        <f>TEXT(Table1[[#This Row],[Date]],"MMM")</f>
        <v>Aug</v>
      </c>
      <c r="E133" s="5" t="s">
        <v>22</v>
      </c>
      <c r="F133" s="3" t="s">
        <v>61</v>
      </c>
      <c r="G133" s="3" t="s">
        <v>34</v>
      </c>
      <c r="H133" s="3" t="s">
        <v>28</v>
      </c>
      <c r="I133" s="3"/>
      <c r="J133" s="3">
        <v>23850</v>
      </c>
      <c r="K133" s="3">
        <v>26500</v>
      </c>
      <c r="L133" s="3">
        <v>22</v>
      </c>
      <c r="M133">
        <f>Table1[[#This Row],[Qty]]*Table1[[#This Row],[Sales Price]]</f>
        <v>583000</v>
      </c>
      <c r="N133">
        <f>Table1[[#This Row],[Qty]]*Table1[[#This Row],[Cost]]</f>
        <v>524700</v>
      </c>
      <c r="O133">
        <f>Table1[[#This Row],[Revenue]]-Table1[[#This Row],[Total Cost]]</f>
        <v>58300</v>
      </c>
    </row>
    <row r="134" spans="1:15">
      <c r="A134" s="3">
        <v>133</v>
      </c>
      <c r="B134" s="4">
        <v>44798</v>
      </c>
      <c r="C134" s="4" t="str">
        <f>TEXT(Table1[[#This Row],[Date]],"YYYY")</f>
        <v>2022</v>
      </c>
      <c r="D134" s="4" t="str">
        <f>TEXT(Table1[[#This Row],[Date]],"MMM")</f>
        <v>Aug</v>
      </c>
      <c r="E134" s="5" t="s">
        <v>62</v>
      </c>
      <c r="F134" s="3" t="s">
        <v>15</v>
      </c>
      <c r="G134" s="3" t="s">
        <v>41</v>
      </c>
      <c r="H134" s="3" t="s">
        <v>28</v>
      </c>
      <c r="I134" s="3">
        <v>1</v>
      </c>
      <c r="J134" s="3">
        <v>24750</v>
      </c>
      <c r="K134" s="3">
        <v>27500</v>
      </c>
      <c r="L134" s="3">
        <v>8</v>
      </c>
      <c r="M134">
        <f>Table1[[#This Row],[Qty]]*Table1[[#This Row],[Sales Price]]</f>
        <v>220000</v>
      </c>
      <c r="N134">
        <f>Table1[[#This Row],[Qty]]*Table1[[#This Row],[Cost]]</f>
        <v>198000</v>
      </c>
      <c r="O134">
        <f>Table1[[#This Row],[Revenue]]-Table1[[#This Row],[Total Cost]]</f>
        <v>22000</v>
      </c>
    </row>
    <row r="135" spans="1:15">
      <c r="A135" s="3">
        <v>134</v>
      </c>
      <c r="B135" s="4">
        <v>44799</v>
      </c>
      <c r="C135" s="4" t="str">
        <f>TEXT(Table1[[#This Row],[Date]],"YYYY")</f>
        <v>2022</v>
      </c>
      <c r="D135" s="4" t="str">
        <f>TEXT(Table1[[#This Row],[Date]],"MMM")</f>
        <v>Aug</v>
      </c>
      <c r="E135" s="5" t="s">
        <v>40</v>
      </c>
      <c r="F135" s="3" t="s">
        <v>61</v>
      </c>
      <c r="G135" s="3" t="s">
        <v>27</v>
      </c>
      <c r="H135" s="3" t="s">
        <v>28</v>
      </c>
      <c r="I135" s="3">
        <v>1</v>
      </c>
      <c r="J135" s="3">
        <v>44550</v>
      </c>
      <c r="K135" s="3">
        <v>49500</v>
      </c>
      <c r="L135" s="3">
        <v>7</v>
      </c>
      <c r="M135">
        <f>Table1[[#This Row],[Qty]]*Table1[[#This Row],[Sales Price]]</f>
        <v>346500</v>
      </c>
      <c r="N135">
        <f>Table1[[#This Row],[Qty]]*Table1[[#This Row],[Cost]]</f>
        <v>311850</v>
      </c>
      <c r="O135">
        <f>Table1[[#This Row],[Revenue]]-Table1[[#This Row],[Total Cost]]</f>
        <v>34650</v>
      </c>
    </row>
    <row r="136" spans="1:15">
      <c r="A136" s="3">
        <v>135</v>
      </c>
      <c r="B136" s="4">
        <v>44800</v>
      </c>
      <c r="C136" s="4" t="str">
        <f>TEXT(Table1[[#This Row],[Date]],"YYYY")</f>
        <v>2022</v>
      </c>
      <c r="D136" s="4" t="str">
        <f>TEXT(Table1[[#This Row],[Date]],"MMM")</f>
        <v>Aug</v>
      </c>
      <c r="E136" s="5" t="s">
        <v>40</v>
      </c>
      <c r="F136" s="3" t="s">
        <v>18</v>
      </c>
      <c r="G136" s="3" t="s">
        <v>32</v>
      </c>
      <c r="H136" s="3" t="s">
        <v>28</v>
      </c>
      <c r="I136" s="3">
        <v>1</v>
      </c>
      <c r="J136" s="3">
        <v>9000</v>
      </c>
      <c r="K136" s="3">
        <v>10000</v>
      </c>
      <c r="L136" s="3">
        <v>56</v>
      </c>
      <c r="M136">
        <f>Table1[[#This Row],[Qty]]*Table1[[#This Row],[Sales Price]]</f>
        <v>560000</v>
      </c>
      <c r="N136">
        <f>Table1[[#This Row],[Qty]]*Table1[[#This Row],[Cost]]</f>
        <v>504000</v>
      </c>
      <c r="O136">
        <f>Table1[[#This Row],[Revenue]]-Table1[[#This Row],[Total Cost]]</f>
        <v>56000</v>
      </c>
    </row>
    <row r="137" spans="1:15">
      <c r="A137" s="3">
        <v>136</v>
      </c>
      <c r="B137" s="4">
        <v>44801</v>
      </c>
      <c r="C137" s="4" t="str">
        <f>TEXT(Table1[[#This Row],[Date]],"YYYY")</f>
        <v>2022</v>
      </c>
      <c r="D137" s="4" t="str">
        <f>TEXT(Table1[[#This Row],[Date]],"MMM")</f>
        <v>Aug</v>
      </c>
      <c r="E137" s="5" t="s">
        <v>40</v>
      </c>
      <c r="F137" s="3" t="s">
        <v>15</v>
      </c>
      <c r="G137" s="3" t="s">
        <v>27</v>
      </c>
      <c r="H137" s="3" t="s">
        <v>28</v>
      </c>
      <c r="I137" s="3">
        <v>1</v>
      </c>
      <c r="J137" s="3">
        <v>8640</v>
      </c>
      <c r="K137" s="3">
        <v>9600</v>
      </c>
      <c r="L137" s="3">
        <v>10</v>
      </c>
      <c r="M137">
        <f>Table1[[#This Row],[Qty]]*Table1[[#This Row],[Sales Price]]</f>
        <v>96000</v>
      </c>
      <c r="N137">
        <f>Table1[[#This Row],[Qty]]*Table1[[#This Row],[Cost]]</f>
        <v>86400</v>
      </c>
      <c r="O137">
        <f>Table1[[#This Row],[Revenue]]-Table1[[#This Row],[Total Cost]]</f>
        <v>9600</v>
      </c>
    </row>
    <row r="138" spans="1:15">
      <c r="A138" s="3">
        <v>137</v>
      </c>
      <c r="B138" s="4">
        <v>44802</v>
      </c>
      <c r="C138" s="4" t="str">
        <f>TEXT(Table1[[#This Row],[Date]],"YYYY")</f>
        <v>2022</v>
      </c>
      <c r="D138" s="4" t="str">
        <f>TEXT(Table1[[#This Row],[Date]],"MMM")</f>
        <v>Aug</v>
      </c>
      <c r="E138" s="5" t="s">
        <v>59</v>
      </c>
      <c r="F138" s="3" t="s">
        <v>61</v>
      </c>
      <c r="G138" s="3" t="s">
        <v>30</v>
      </c>
      <c r="H138" s="3" t="s">
        <v>28</v>
      </c>
      <c r="I138" s="3">
        <v>1</v>
      </c>
      <c r="J138" s="3">
        <v>9000</v>
      </c>
      <c r="K138" s="3">
        <v>10000</v>
      </c>
      <c r="L138" s="3">
        <v>9</v>
      </c>
      <c r="M138">
        <f>Table1[[#This Row],[Qty]]*Table1[[#This Row],[Sales Price]]</f>
        <v>90000</v>
      </c>
      <c r="N138">
        <f>Table1[[#This Row],[Qty]]*Table1[[#This Row],[Cost]]</f>
        <v>81000</v>
      </c>
      <c r="O138">
        <f>Table1[[#This Row],[Revenue]]-Table1[[#This Row],[Total Cost]]</f>
        <v>9000</v>
      </c>
    </row>
    <row r="139" spans="1:15">
      <c r="A139" s="3">
        <v>138</v>
      </c>
      <c r="B139" s="4">
        <v>44803</v>
      </c>
      <c r="C139" s="4" t="str">
        <f>TEXT(Table1[[#This Row],[Date]],"YYYY")</f>
        <v>2022</v>
      </c>
      <c r="D139" s="4" t="str">
        <f>TEXT(Table1[[#This Row],[Date]],"MMM")</f>
        <v>Aug</v>
      </c>
      <c r="E139" s="5" t="s">
        <v>39</v>
      </c>
      <c r="F139" s="3" t="s">
        <v>18</v>
      </c>
      <c r="G139" s="3" t="s">
        <v>32</v>
      </c>
      <c r="H139" s="3" t="s">
        <v>28</v>
      </c>
      <c r="I139" s="3">
        <v>1</v>
      </c>
      <c r="J139" s="3">
        <v>3870</v>
      </c>
      <c r="K139" s="3">
        <v>4300</v>
      </c>
      <c r="L139" s="3">
        <v>27</v>
      </c>
      <c r="M139">
        <f>Table1[[#This Row],[Qty]]*Table1[[#This Row],[Sales Price]]</f>
        <v>116100</v>
      </c>
      <c r="N139">
        <f>Table1[[#This Row],[Qty]]*Table1[[#This Row],[Cost]]</f>
        <v>104490</v>
      </c>
      <c r="O139">
        <f>Table1[[#This Row],[Revenue]]-Table1[[#This Row],[Total Cost]]</f>
        <v>11610</v>
      </c>
    </row>
    <row r="140" spans="1:15">
      <c r="A140" s="3">
        <v>139</v>
      </c>
      <c r="B140" s="4">
        <v>44804</v>
      </c>
      <c r="C140" s="4" t="str">
        <f>TEXT(Table1[[#This Row],[Date]],"YYYY")</f>
        <v>2022</v>
      </c>
      <c r="D140" s="4" t="str">
        <f>TEXT(Table1[[#This Row],[Date]],"MMM")</f>
        <v>Aug</v>
      </c>
      <c r="E140" s="5" t="s">
        <v>46</v>
      </c>
      <c r="F140" s="3" t="s">
        <v>15</v>
      </c>
      <c r="G140" s="3" t="s">
        <v>34</v>
      </c>
      <c r="H140" s="3" t="s">
        <v>28</v>
      </c>
      <c r="I140" s="3"/>
      <c r="J140" s="3">
        <v>45450</v>
      </c>
      <c r="K140" s="3">
        <v>50500</v>
      </c>
      <c r="L140" s="3">
        <v>15</v>
      </c>
      <c r="M140">
        <f>Table1[[#This Row],[Qty]]*Table1[[#This Row],[Sales Price]]</f>
        <v>757500</v>
      </c>
      <c r="N140">
        <f>Table1[[#This Row],[Qty]]*Table1[[#This Row],[Cost]]</f>
        <v>681750</v>
      </c>
      <c r="O140">
        <f>Table1[[#This Row],[Revenue]]-Table1[[#This Row],[Total Cost]]</f>
        <v>75750</v>
      </c>
    </row>
    <row r="141" spans="1:15">
      <c r="A141" s="3">
        <v>140</v>
      </c>
      <c r="B141" s="4">
        <v>44805</v>
      </c>
      <c r="C141" s="4" t="str">
        <f>TEXT(Table1[[#This Row],[Date]],"YYYY")</f>
        <v>2022</v>
      </c>
      <c r="D141" s="4" t="str">
        <f>TEXT(Table1[[#This Row],[Date]],"MMM")</f>
        <v>Sep</v>
      </c>
      <c r="E141" s="5" t="s">
        <v>31</v>
      </c>
      <c r="F141" s="3" t="s">
        <v>61</v>
      </c>
      <c r="G141" s="3" t="s">
        <v>41</v>
      </c>
      <c r="H141" s="3" t="s">
        <v>28</v>
      </c>
      <c r="I141" s="3"/>
      <c r="J141" s="3">
        <v>18225</v>
      </c>
      <c r="K141" s="3">
        <v>20250</v>
      </c>
      <c r="L141" s="3">
        <v>3</v>
      </c>
      <c r="M141">
        <f>Table1[[#This Row],[Qty]]*Table1[[#This Row],[Sales Price]]</f>
        <v>60750</v>
      </c>
      <c r="N141">
        <f>Table1[[#This Row],[Qty]]*Table1[[#This Row],[Cost]]</f>
        <v>54675</v>
      </c>
      <c r="O141">
        <f>Table1[[#This Row],[Revenue]]-Table1[[#This Row],[Total Cost]]</f>
        <v>6075</v>
      </c>
    </row>
    <row r="142" spans="1:15">
      <c r="A142" s="3">
        <v>141</v>
      </c>
      <c r="B142" s="4">
        <v>44806</v>
      </c>
      <c r="C142" s="4" t="str">
        <f>TEXT(Table1[[#This Row],[Date]],"YYYY")</f>
        <v>2022</v>
      </c>
      <c r="D142" s="4" t="str">
        <f>TEXT(Table1[[#This Row],[Date]],"MMM")</f>
        <v>Sep</v>
      </c>
      <c r="E142" s="5" t="s">
        <v>39</v>
      </c>
      <c r="F142" s="3" t="s">
        <v>18</v>
      </c>
      <c r="G142" s="3" t="s">
        <v>27</v>
      </c>
      <c r="H142" s="3" t="s">
        <v>28</v>
      </c>
      <c r="I142" s="3"/>
      <c r="J142" s="3">
        <v>1800</v>
      </c>
      <c r="K142" s="3">
        <v>2000</v>
      </c>
      <c r="L142" s="3">
        <v>9</v>
      </c>
      <c r="M142">
        <f>Table1[[#This Row],[Qty]]*Table1[[#This Row],[Sales Price]]</f>
        <v>18000</v>
      </c>
      <c r="N142">
        <f>Table1[[#This Row],[Qty]]*Table1[[#This Row],[Cost]]</f>
        <v>16200</v>
      </c>
      <c r="O142">
        <f>Table1[[#This Row],[Revenue]]-Table1[[#This Row],[Total Cost]]</f>
        <v>1800</v>
      </c>
    </row>
    <row r="143" spans="1:15">
      <c r="A143" s="3">
        <v>142</v>
      </c>
      <c r="B143" s="4">
        <v>44807</v>
      </c>
      <c r="C143" s="4" t="str">
        <f>TEXT(Table1[[#This Row],[Date]],"YYYY")</f>
        <v>2022</v>
      </c>
      <c r="D143" s="4" t="str">
        <f>TEXT(Table1[[#This Row],[Date]],"MMM")</f>
        <v>Sep</v>
      </c>
      <c r="E143" s="5" t="s">
        <v>35</v>
      </c>
      <c r="F143" s="3" t="s">
        <v>15</v>
      </c>
      <c r="G143" s="3" t="s">
        <v>32</v>
      </c>
      <c r="H143" s="3" t="s">
        <v>28</v>
      </c>
      <c r="I143" s="3">
        <v>1</v>
      </c>
      <c r="J143" s="3">
        <v>48600</v>
      </c>
      <c r="K143" s="3">
        <v>54000</v>
      </c>
      <c r="L143" s="3">
        <v>22</v>
      </c>
      <c r="M143">
        <f>Table1[[#This Row],[Qty]]*Table1[[#This Row],[Sales Price]]</f>
        <v>1188000</v>
      </c>
      <c r="N143">
        <f>Table1[[#This Row],[Qty]]*Table1[[#This Row],[Cost]]</f>
        <v>1069200</v>
      </c>
      <c r="O143">
        <f>Table1[[#This Row],[Revenue]]-Table1[[#This Row],[Total Cost]]</f>
        <v>118800</v>
      </c>
    </row>
    <row r="144" spans="1:15">
      <c r="A144" s="3">
        <v>143</v>
      </c>
      <c r="B144" s="4">
        <v>44808</v>
      </c>
      <c r="C144" s="4" t="str">
        <f>TEXT(Table1[[#This Row],[Date]],"YYYY")</f>
        <v>2022</v>
      </c>
      <c r="D144" s="4" t="str">
        <f>TEXT(Table1[[#This Row],[Date]],"MMM")</f>
        <v>Sep</v>
      </c>
      <c r="E144" s="5" t="s">
        <v>31</v>
      </c>
      <c r="F144" s="3" t="s">
        <v>61</v>
      </c>
      <c r="G144" s="3" t="s">
        <v>42</v>
      </c>
      <c r="H144" s="3" t="s">
        <v>43</v>
      </c>
      <c r="I144" s="3">
        <v>1</v>
      </c>
      <c r="J144" s="3">
        <v>72900</v>
      </c>
      <c r="K144" s="3">
        <v>81000</v>
      </c>
      <c r="L144" s="3">
        <v>16</v>
      </c>
      <c r="M144">
        <f>Table1[[#This Row],[Qty]]*Table1[[#This Row],[Sales Price]]</f>
        <v>1296000</v>
      </c>
      <c r="N144">
        <f>Table1[[#This Row],[Qty]]*Table1[[#This Row],[Cost]]</f>
        <v>1166400</v>
      </c>
      <c r="O144">
        <f>Table1[[#This Row],[Revenue]]-Table1[[#This Row],[Total Cost]]</f>
        <v>129600</v>
      </c>
    </row>
    <row r="145" spans="1:15">
      <c r="A145" s="3">
        <v>144</v>
      </c>
      <c r="B145" s="4">
        <v>44809</v>
      </c>
      <c r="C145" s="4" t="str">
        <f>TEXT(Table1[[#This Row],[Date]],"YYYY")</f>
        <v>2022</v>
      </c>
      <c r="D145" s="4" t="str">
        <f>TEXT(Table1[[#This Row],[Date]],"MMM")</f>
        <v>Sep</v>
      </c>
      <c r="E145" s="5" t="s">
        <v>39</v>
      </c>
      <c r="F145" s="3" t="s">
        <v>18</v>
      </c>
      <c r="G145" s="3" t="s">
        <v>44</v>
      </c>
      <c r="H145" s="3" t="s">
        <v>43</v>
      </c>
      <c r="I145" s="3">
        <v>1</v>
      </c>
      <c r="J145" s="3">
        <v>9450</v>
      </c>
      <c r="K145" s="3">
        <v>10500</v>
      </c>
      <c r="L145" s="3">
        <v>6</v>
      </c>
      <c r="M145">
        <f>Table1[[#This Row],[Qty]]*Table1[[#This Row],[Sales Price]]</f>
        <v>63000</v>
      </c>
      <c r="N145">
        <f>Table1[[#This Row],[Qty]]*Table1[[#This Row],[Cost]]</f>
        <v>56700</v>
      </c>
      <c r="O145">
        <f>Table1[[#This Row],[Revenue]]-Table1[[#This Row],[Total Cost]]</f>
        <v>6300</v>
      </c>
    </row>
    <row r="146" spans="1:15">
      <c r="A146" s="3">
        <v>145</v>
      </c>
      <c r="B146" s="4">
        <v>44810</v>
      </c>
      <c r="C146" s="4" t="str">
        <f>TEXT(Table1[[#This Row],[Date]],"YYYY")</f>
        <v>2022</v>
      </c>
      <c r="D146" s="4" t="str">
        <f>TEXT(Table1[[#This Row],[Date]],"MMM")</f>
        <v>Sep</v>
      </c>
      <c r="E146" s="5" t="s">
        <v>58</v>
      </c>
      <c r="F146" s="3" t="s">
        <v>15</v>
      </c>
      <c r="G146" s="3" t="s">
        <v>45</v>
      </c>
      <c r="H146" s="3" t="s">
        <v>43</v>
      </c>
      <c r="I146" s="3">
        <v>1</v>
      </c>
      <c r="J146" s="3">
        <v>36000</v>
      </c>
      <c r="K146" s="3">
        <v>40000</v>
      </c>
      <c r="L146" s="3">
        <v>3</v>
      </c>
      <c r="M146">
        <f>Table1[[#This Row],[Qty]]*Table1[[#This Row],[Sales Price]]</f>
        <v>120000</v>
      </c>
      <c r="N146">
        <f>Table1[[#This Row],[Qty]]*Table1[[#This Row],[Cost]]</f>
        <v>108000</v>
      </c>
      <c r="O146">
        <f>Table1[[#This Row],[Revenue]]-Table1[[#This Row],[Total Cost]]</f>
        <v>12000</v>
      </c>
    </row>
    <row r="147" spans="1:15">
      <c r="A147" s="3">
        <v>146</v>
      </c>
      <c r="B147" s="4">
        <v>44811</v>
      </c>
      <c r="C147" s="4" t="str">
        <f>TEXT(Table1[[#This Row],[Date]],"YYYY")</f>
        <v>2022</v>
      </c>
      <c r="D147" s="4" t="str">
        <f>TEXT(Table1[[#This Row],[Date]],"MMM")</f>
        <v>Sep</v>
      </c>
      <c r="E147" s="5" t="s">
        <v>39</v>
      </c>
      <c r="F147" s="3" t="s">
        <v>61</v>
      </c>
      <c r="G147" s="3" t="s">
        <v>47</v>
      </c>
      <c r="H147" s="3" t="s">
        <v>43</v>
      </c>
      <c r="I147" s="3">
        <v>1</v>
      </c>
      <c r="J147" s="3">
        <v>24300</v>
      </c>
      <c r="K147" s="3">
        <v>27000</v>
      </c>
      <c r="L147" s="3">
        <v>5</v>
      </c>
      <c r="M147">
        <f>Table1[[#This Row],[Qty]]*Table1[[#This Row],[Sales Price]]</f>
        <v>135000</v>
      </c>
      <c r="N147">
        <f>Table1[[#This Row],[Qty]]*Table1[[#This Row],[Cost]]</f>
        <v>121500</v>
      </c>
      <c r="O147">
        <f>Table1[[#This Row],[Revenue]]-Table1[[#This Row],[Total Cost]]</f>
        <v>13500</v>
      </c>
    </row>
    <row r="148" spans="1:15">
      <c r="A148" s="3">
        <v>147</v>
      </c>
      <c r="B148" s="4">
        <v>44812</v>
      </c>
      <c r="C148" s="4" t="str">
        <f>TEXT(Table1[[#This Row],[Date]],"YYYY")</f>
        <v>2022</v>
      </c>
      <c r="D148" s="4" t="str">
        <f>TEXT(Table1[[#This Row],[Date]],"MMM")</f>
        <v>Sep</v>
      </c>
      <c r="E148" s="5" t="s">
        <v>39</v>
      </c>
      <c r="F148" s="3" t="s">
        <v>18</v>
      </c>
      <c r="G148" s="3" t="s">
        <v>48</v>
      </c>
      <c r="H148" s="3" t="s">
        <v>43</v>
      </c>
      <c r="I148" s="3">
        <v>1</v>
      </c>
      <c r="J148" s="3">
        <v>9180</v>
      </c>
      <c r="K148" s="3">
        <v>10200</v>
      </c>
      <c r="L148" s="3">
        <v>1</v>
      </c>
      <c r="M148">
        <f>Table1[[#This Row],[Qty]]*Table1[[#This Row],[Sales Price]]</f>
        <v>10200</v>
      </c>
      <c r="N148">
        <f>Table1[[#This Row],[Qty]]*Table1[[#This Row],[Cost]]</f>
        <v>9180</v>
      </c>
      <c r="O148">
        <f>Table1[[#This Row],[Revenue]]-Table1[[#This Row],[Total Cost]]</f>
        <v>1020</v>
      </c>
    </row>
    <row r="149" spans="1:15">
      <c r="A149" s="3">
        <v>148</v>
      </c>
      <c r="B149" s="4">
        <v>44813</v>
      </c>
      <c r="C149" s="4" t="str">
        <f>TEXT(Table1[[#This Row],[Date]],"YYYY")</f>
        <v>2022</v>
      </c>
      <c r="D149" s="4" t="str">
        <f>TEXT(Table1[[#This Row],[Date]],"MMM")</f>
        <v>Sep</v>
      </c>
      <c r="E149" s="5" t="s">
        <v>33</v>
      </c>
      <c r="F149" s="3" t="s">
        <v>15</v>
      </c>
      <c r="G149" s="3" t="s">
        <v>42</v>
      </c>
      <c r="H149" s="3" t="s">
        <v>43</v>
      </c>
      <c r="I149" s="3">
        <v>1</v>
      </c>
      <c r="J149" s="3">
        <v>8640</v>
      </c>
      <c r="K149" s="3">
        <v>9600</v>
      </c>
      <c r="L149" s="3">
        <v>5</v>
      </c>
      <c r="M149">
        <f>Table1[[#This Row],[Qty]]*Table1[[#This Row],[Sales Price]]</f>
        <v>48000</v>
      </c>
      <c r="N149">
        <f>Table1[[#This Row],[Qty]]*Table1[[#This Row],[Cost]]</f>
        <v>43200</v>
      </c>
      <c r="O149">
        <f>Table1[[#This Row],[Revenue]]-Table1[[#This Row],[Total Cost]]</f>
        <v>4800</v>
      </c>
    </row>
    <row r="150" spans="1:15">
      <c r="A150" s="3">
        <v>149</v>
      </c>
      <c r="B150" s="4">
        <v>44814</v>
      </c>
      <c r="C150" s="4" t="str">
        <f>TEXT(Table1[[#This Row],[Date]],"YYYY")</f>
        <v>2022</v>
      </c>
      <c r="D150" s="4" t="str">
        <f>TEXT(Table1[[#This Row],[Date]],"MMM")</f>
        <v>Sep</v>
      </c>
      <c r="E150" s="5" t="s">
        <v>63</v>
      </c>
      <c r="F150" s="3" t="s">
        <v>61</v>
      </c>
      <c r="G150" s="3" t="s">
        <v>44</v>
      </c>
      <c r="H150" s="3" t="s">
        <v>43</v>
      </c>
      <c r="I150" s="3"/>
      <c r="J150" s="3">
        <v>8280</v>
      </c>
      <c r="K150" s="3">
        <v>9200</v>
      </c>
      <c r="L150" s="3">
        <v>7</v>
      </c>
      <c r="M150">
        <f>Table1[[#This Row],[Qty]]*Table1[[#This Row],[Sales Price]]</f>
        <v>64400</v>
      </c>
      <c r="N150">
        <f>Table1[[#This Row],[Qty]]*Table1[[#This Row],[Cost]]</f>
        <v>57960</v>
      </c>
      <c r="O150">
        <f>Table1[[#This Row],[Revenue]]-Table1[[#This Row],[Total Cost]]</f>
        <v>6440</v>
      </c>
    </row>
    <row r="151" spans="1:15">
      <c r="A151" s="3">
        <v>150</v>
      </c>
      <c r="B151" s="4">
        <v>44815</v>
      </c>
      <c r="C151" s="4" t="str">
        <f>TEXT(Table1[[#This Row],[Date]],"YYYY")</f>
        <v>2022</v>
      </c>
      <c r="D151" s="4" t="str">
        <f>TEXT(Table1[[#This Row],[Date]],"MMM")</f>
        <v>Sep</v>
      </c>
      <c r="E151" s="5" t="s">
        <v>39</v>
      </c>
      <c r="F151" s="3" t="s">
        <v>18</v>
      </c>
      <c r="G151" s="3" t="s">
        <v>45</v>
      </c>
      <c r="H151" s="3" t="s">
        <v>43</v>
      </c>
      <c r="I151" s="3"/>
      <c r="J151" s="3">
        <v>4950</v>
      </c>
      <c r="K151" s="3">
        <v>5500</v>
      </c>
      <c r="L151" s="3">
        <v>4</v>
      </c>
      <c r="M151">
        <f>Table1[[#This Row],[Qty]]*Table1[[#This Row],[Sales Price]]</f>
        <v>22000</v>
      </c>
      <c r="N151">
        <f>Table1[[#This Row],[Qty]]*Table1[[#This Row],[Cost]]</f>
        <v>19800</v>
      </c>
      <c r="O151">
        <f>Table1[[#This Row],[Revenue]]-Table1[[#This Row],[Total Cost]]</f>
        <v>2200</v>
      </c>
    </row>
    <row r="152" spans="1:15">
      <c r="A152" s="3">
        <v>151</v>
      </c>
      <c r="B152" s="4">
        <v>44816</v>
      </c>
      <c r="C152" s="4" t="str">
        <f>TEXT(Table1[[#This Row],[Date]],"YYYY")</f>
        <v>2022</v>
      </c>
      <c r="D152" s="4" t="str">
        <f>TEXT(Table1[[#This Row],[Date]],"MMM")</f>
        <v>Sep</v>
      </c>
      <c r="E152" s="5" t="s">
        <v>64</v>
      </c>
      <c r="F152" s="3" t="s">
        <v>15</v>
      </c>
      <c r="G152" s="3" t="s">
        <v>47</v>
      </c>
      <c r="H152" s="3" t="s">
        <v>43</v>
      </c>
      <c r="I152" s="3">
        <v>1</v>
      </c>
      <c r="J152" s="3">
        <v>3150</v>
      </c>
      <c r="K152" s="3">
        <v>3500</v>
      </c>
      <c r="L152" s="3">
        <v>8</v>
      </c>
      <c r="M152">
        <f>Table1[[#This Row],[Qty]]*Table1[[#This Row],[Sales Price]]</f>
        <v>28000</v>
      </c>
      <c r="N152">
        <f>Table1[[#This Row],[Qty]]*Table1[[#This Row],[Cost]]</f>
        <v>25200</v>
      </c>
      <c r="O152">
        <f>Table1[[#This Row],[Revenue]]-Table1[[#This Row],[Total Cost]]</f>
        <v>2800</v>
      </c>
    </row>
    <row r="153" spans="1:15">
      <c r="A153" s="3">
        <v>152</v>
      </c>
      <c r="B153" s="4">
        <v>44817</v>
      </c>
      <c r="C153" s="4" t="str">
        <f>TEXT(Table1[[#This Row],[Date]],"YYYY")</f>
        <v>2022</v>
      </c>
      <c r="D153" s="4" t="str">
        <f>TEXT(Table1[[#This Row],[Date]],"MMM")</f>
        <v>Sep</v>
      </c>
      <c r="E153" s="5" t="s">
        <v>39</v>
      </c>
      <c r="F153" s="3" t="s">
        <v>61</v>
      </c>
      <c r="G153" s="3" t="s">
        <v>48</v>
      </c>
      <c r="H153" s="3" t="s">
        <v>43</v>
      </c>
      <c r="I153" s="3">
        <v>1</v>
      </c>
      <c r="J153" s="3">
        <v>2700</v>
      </c>
      <c r="K153" s="3">
        <v>3000</v>
      </c>
      <c r="L153" s="3">
        <v>8</v>
      </c>
      <c r="M153">
        <f>Table1[[#This Row],[Qty]]*Table1[[#This Row],[Sales Price]]</f>
        <v>24000</v>
      </c>
      <c r="N153">
        <f>Table1[[#This Row],[Qty]]*Table1[[#This Row],[Cost]]</f>
        <v>21600</v>
      </c>
      <c r="O153">
        <f>Table1[[#This Row],[Revenue]]-Table1[[#This Row],[Total Cost]]</f>
        <v>2400</v>
      </c>
    </row>
    <row r="154" spans="1:15">
      <c r="A154" s="3">
        <v>153</v>
      </c>
      <c r="B154" s="4">
        <v>44818</v>
      </c>
      <c r="C154" s="4" t="str">
        <f>TEXT(Table1[[#This Row],[Date]],"YYYY")</f>
        <v>2022</v>
      </c>
      <c r="D154" s="4" t="str">
        <f>TEXT(Table1[[#This Row],[Date]],"MMM")</f>
        <v>Sep</v>
      </c>
      <c r="E154" s="5" t="s">
        <v>22</v>
      </c>
      <c r="F154" s="3" t="s">
        <v>18</v>
      </c>
      <c r="G154" s="3" t="s">
        <v>48</v>
      </c>
      <c r="H154" s="3" t="s">
        <v>43</v>
      </c>
      <c r="I154" s="3">
        <v>1</v>
      </c>
      <c r="J154" s="3">
        <v>4050</v>
      </c>
      <c r="K154" s="3">
        <v>4500</v>
      </c>
      <c r="L154" s="3">
        <v>9</v>
      </c>
      <c r="M154">
        <f>Table1[[#This Row],[Qty]]*Table1[[#This Row],[Sales Price]]</f>
        <v>40500</v>
      </c>
      <c r="N154">
        <f>Table1[[#This Row],[Qty]]*Table1[[#This Row],[Cost]]</f>
        <v>36450</v>
      </c>
      <c r="O154">
        <f>Table1[[#This Row],[Revenue]]-Table1[[#This Row],[Total Cost]]</f>
        <v>4050</v>
      </c>
    </row>
    <row r="155" spans="1:15">
      <c r="A155" s="3">
        <v>154</v>
      </c>
      <c r="B155" s="4">
        <v>44819</v>
      </c>
      <c r="C155" s="4" t="str">
        <f>TEXT(Table1[[#This Row],[Date]],"YYYY")</f>
        <v>2022</v>
      </c>
      <c r="D155" s="4" t="str">
        <f>TEXT(Table1[[#This Row],[Date]],"MMM")</f>
        <v>Sep</v>
      </c>
      <c r="E155" s="5" t="s">
        <v>40</v>
      </c>
      <c r="F155" s="3" t="s">
        <v>15</v>
      </c>
      <c r="G155" s="3" t="s">
        <v>42</v>
      </c>
      <c r="H155" s="3" t="s">
        <v>43</v>
      </c>
      <c r="I155" s="3">
        <v>0</v>
      </c>
      <c r="J155" s="3">
        <v>53100</v>
      </c>
      <c r="K155" s="3">
        <v>59000</v>
      </c>
      <c r="L155" s="3">
        <v>2</v>
      </c>
      <c r="M155">
        <f>Table1[[#This Row],[Qty]]*Table1[[#This Row],[Sales Price]]</f>
        <v>118000</v>
      </c>
      <c r="N155">
        <f>Table1[[#This Row],[Qty]]*Table1[[#This Row],[Cost]]</f>
        <v>106200</v>
      </c>
      <c r="O155">
        <f>Table1[[#This Row],[Revenue]]-Table1[[#This Row],[Total Cost]]</f>
        <v>11800</v>
      </c>
    </row>
    <row r="156" spans="1:15">
      <c r="A156" s="3">
        <v>155</v>
      </c>
      <c r="B156" s="4">
        <v>44820</v>
      </c>
      <c r="C156" s="4" t="str">
        <f>TEXT(Table1[[#This Row],[Date]],"YYYY")</f>
        <v>2022</v>
      </c>
      <c r="D156" s="4" t="str">
        <f>TEXT(Table1[[#This Row],[Date]],"MMM")</f>
        <v>Sep</v>
      </c>
      <c r="E156" s="5" t="s">
        <v>53</v>
      </c>
      <c r="F156" s="3" t="s">
        <v>61</v>
      </c>
      <c r="G156" s="3" t="s">
        <v>45</v>
      </c>
      <c r="H156" s="3" t="s">
        <v>43</v>
      </c>
      <c r="I156" s="3">
        <v>1</v>
      </c>
      <c r="J156" s="3">
        <v>88200</v>
      </c>
      <c r="K156" s="3">
        <v>98000</v>
      </c>
      <c r="L156" s="3">
        <v>1</v>
      </c>
      <c r="M156">
        <f>Table1[[#This Row],[Qty]]*Table1[[#This Row],[Sales Price]]</f>
        <v>98000</v>
      </c>
      <c r="N156">
        <f>Table1[[#This Row],[Qty]]*Table1[[#This Row],[Cost]]</f>
        <v>88200</v>
      </c>
      <c r="O156">
        <f>Table1[[#This Row],[Revenue]]-Table1[[#This Row],[Total Cost]]</f>
        <v>9800</v>
      </c>
    </row>
    <row r="157" spans="1:15">
      <c r="A157" s="3">
        <v>156</v>
      </c>
      <c r="B157" s="4">
        <v>44821</v>
      </c>
      <c r="C157" s="4" t="str">
        <f>TEXT(Table1[[#This Row],[Date]],"YYYY")</f>
        <v>2022</v>
      </c>
      <c r="D157" s="4" t="str">
        <f>TEXT(Table1[[#This Row],[Date]],"MMM")</f>
        <v>Sep</v>
      </c>
      <c r="E157" s="5" t="s">
        <v>50</v>
      </c>
      <c r="F157" s="3" t="s">
        <v>18</v>
      </c>
      <c r="G157" s="3" t="s">
        <v>47</v>
      </c>
      <c r="H157" s="3" t="s">
        <v>43</v>
      </c>
      <c r="I157" s="3">
        <v>0</v>
      </c>
      <c r="J157" s="3">
        <v>8640</v>
      </c>
      <c r="K157" s="3">
        <v>9600</v>
      </c>
      <c r="L157" s="3">
        <v>22</v>
      </c>
      <c r="M157">
        <f>Table1[[#This Row],[Qty]]*Table1[[#This Row],[Sales Price]]</f>
        <v>211200</v>
      </c>
      <c r="N157">
        <f>Table1[[#This Row],[Qty]]*Table1[[#This Row],[Cost]]</f>
        <v>190080</v>
      </c>
      <c r="O157">
        <f>Table1[[#This Row],[Revenue]]-Table1[[#This Row],[Total Cost]]</f>
        <v>21120</v>
      </c>
    </row>
    <row r="158" spans="1:15">
      <c r="A158" s="3">
        <v>157</v>
      </c>
      <c r="B158" s="4">
        <v>44822</v>
      </c>
      <c r="C158" s="4" t="str">
        <f>TEXT(Table1[[#This Row],[Date]],"YYYY")</f>
        <v>2022</v>
      </c>
      <c r="D158" s="4" t="str">
        <f>TEXT(Table1[[#This Row],[Date]],"MMM")</f>
        <v>Sep</v>
      </c>
      <c r="E158" s="5" t="s">
        <v>39</v>
      </c>
      <c r="F158" s="3" t="s">
        <v>15</v>
      </c>
      <c r="G158" s="3" t="s">
        <v>48</v>
      </c>
      <c r="H158" s="3" t="s">
        <v>43</v>
      </c>
      <c r="I158" s="3"/>
      <c r="J158" s="3">
        <v>8280</v>
      </c>
      <c r="K158" s="3">
        <v>9200</v>
      </c>
      <c r="L158" s="3">
        <v>8</v>
      </c>
      <c r="M158">
        <f>Table1[[#This Row],[Qty]]*Table1[[#This Row],[Sales Price]]</f>
        <v>73600</v>
      </c>
      <c r="N158">
        <f>Table1[[#This Row],[Qty]]*Table1[[#This Row],[Cost]]</f>
        <v>66240</v>
      </c>
      <c r="O158">
        <f>Table1[[#This Row],[Revenue]]-Table1[[#This Row],[Total Cost]]</f>
        <v>7360</v>
      </c>
    </row>
    <row r="159" spans="1:15">
      <c r="A159" s="3">
        <v>158</v>
      </c>
      <c r="B159" s="4">
        <v>44823</v>
      </c>
      <c r="C159" s="4" t="str">
        <f>TEXT(Table1[[#This Row],[Date]],"YYYY")</f>
        <v>2022</v>
      </c>
      <c r="D159" s="4" t="str">
        <f>TEXT(Table1[[#This Row],[Date]],"MMM")</f>
        <v>Sep</v>
      </c>
      <c r="E159" s="5" t="s">
        <v>40</v>
      </c>
      <c r="F159" s="3" t="s">
        <v>61</v>
      </c>
      <c r="G159" s="3" t="s">
        <v>42</v>
      </c>
      <c r="H159" s="3" t="s">
        <v>43</v>
      </c>
      <c r="I159" s="3"/>
      <c r="J159" s="3">
        <v>4950</v>
      </c>
      <c r="K159" s="3">
        <v>5500</v>
      </c>
      <c r="L159" s="3">
        <v>7</v>
      </c>
      <c r="M159">
        <f>Table1[[#This Row],[Qty]]*Table1[[#This Row],[Sales Price]]</f>
        <v>38500</v>
      </c>
      <c r="N159">
        <f>Table1[[#This Row],[Qty]]*Table1[[#This Row],[Cost]]</f>
        <v>34650</v>
      </c>
      <c r="O159">
        <f>Table1[[#This Row],[Revenue]]-Table1[[#This Row],[Total Cost]]</f>
        <v>3850</v>
      </c>
    </row>
    <row r="160" spans="1:15">
      <c r="A160" s="3">
        <v>159</v>
      </c>
      <c r="B160" s="4">
        <v>44824</v>
      </c>
      <c r="C160" s="4" t="str">
        <f>TEXT(Table1[[#This Row],[Date]],"YYYY")</f>
        <v>2022</v>
      </c>
      <c r="D160" s="4" t="str">
        <f>TEXT(Table1[[#This Row],[Date]],"MMM")</f>
        <v>Sep</v>
      </c>
      <c r="E160" s="5" t="s">
        <v>39</v>
      </c>
      <c r="F160" s="3" t="s">
        <v>18</v>
      </c>
      <c r="G160" s="3" t="s">
        <v>44</v>
      </c>
      <c r="H160" s="3" t="s">
        <v>43</v>
      </c>
      <c r="I160" s="3"/>
      <c r="J160" s="3">
        <v>3150</v>
      </c>
      <c r="K160" s="3">
        <v>3500</v>
      </c>
      <c r="L160" s="3">
        <v>56</v>
      </c>
      <c r="M160">
        <f>Table1[[#This Row],[Qty]]*Table1[[#This Row],[Sales Price]]</f>
        <v>196000</v>
      </c>
      <c r="N160">
        <f>Table1[[#This Row],[Qty]]*Table1[[#This Row],[Cost]]</f>
        <v>176400</v>
      </c>
      <c r="O160">
        <f>Table1[[#This Row],[Revenue]]-Table1[[#This Row],[Total Cost]]</f>
        <v>19600</v>
      </c>
    </row>
    <row r="161" spans="1:15">
      <c r="A161" s="3">
        <v>160</v>
      </c>
      <c r="B161" s="4">
        <v>44825</v>
      </c>
      <c r="C161" s="4" t="str">
        <f>TEXT(Table1[[#This Row],[Date]],"YYYY")</f>
        <v>2022</v>
      </c>
      <c r="D161" s="4" t="str">
        <f>TEXT(Table1[[#This Row],[Date]],"MMM")</f>
        <v>Sep</v>
      </c>
      <c r="E161" s="5" t="s">
        <v>14</v>
      </c>
      <c r="F161" s="3" t="s">
        <v>15</v>
      </c>
      <c r="G161" s="3" t="s">
        <v>45</v>
      </c>
      <c r="H161" s="3" t="s">
        <v>43</v>
      </c>
      <c r="I161" s="3">
        <v>1</v>
      </c>
      <c r="J161" s="3">
        <v>2700</v>
      </c>
      <c r="K161" s="3">
        <v>3000</v>
      </c>
      <c r="L161" s="3">
        <v>10</v>
      </c>
      <c r="M161">
        <f>Table1[[#This Row],[Qty]]*Table1[[#This Row],[Sales Price]]</f>
        <v>30000</v>
      </c>
      <c r="N161">
        <f>Table1[[#This Row],[Qty]]*Table1[[#This Row],[Cost]]</f>
        <v>27000</v>
      </c>
      <c r="O161">
        <f>Table1[[#This Row],[Revenue]]-Table1[[#This Row],[Total Cost]]</f>
        <v>3000</v>
      </c>
    </row>
    <row r="162" spans="1:15">
      <c r="A162" s="3">
        <v>161</v>
      </c>
      <c r="B162" s="4">
        <v>44826</v>
      </c>
      <c r="C162" s="4" t="str">
        <f>TEXT(Table1[[#This Row],[Date]],"YYYY")</f>
        <v>2022</v>
      </c>
      <c r="D162" s="4" t="str">
        <f>TEXT(Table1[[#This Row],[Date]],"MMM")</f>
        <v>Sep</v>
      </c>
      <c r="E162" s="5" t="s">
        <v>31</v>
      </c>
      <c r="F162" s="3" t="s">
        <v>61</v>
      </c>
      <c r="G162" s="3" t="s">
        <v>47</v>
      </c>
      <c r="H162" s="3" t="s">
        <v>43</v>
      </c>
      <c r="I162" s="3">
        <v>1</v>
      </c>
      <c r="J162" s="3">
        <v>4050</v>
      </c>
      <c r="K162" s="3">
        <v>4500</v>
      </c>
      <c r="L162" s="3">
        <v>9</v>
      </c>
      <c r="M162">
        <f>Table1[[#This Row],[Qty]]*Table1[[#This Row],[Sales Price]]</f>
        <v>40500</v>
      </c>
      <c r="N162">
        <f>Table1[[#This Row],[Qty]]*Table1[[#This Row],[Cost]]</f>
        <v>36450</v>
      </c>
      <c r="O162">
        <f>Table1[[#This Row],[Revenue]]-Table1[[#This Row],[Total Cost]]</f>
        <v>4050</v>
      </c>
    </row>
    <row r="163" spans="1:15">
      <c r="A163" s="3">
        <v>162</v>
      </c>
      <c r="B163" s="4">
        <v>44827</v>
      </c>
      <c r="C163" s="4" t="str">
        <f>TEXT(Table1[[#This Row],[Date]],"YYYY")</f>
        <v>2022</v>
      </c>
      <c r="D163" s="4" t="str">
        <f>TEXT(Table1[[#This Row],[Date]],"MMM")</f>
        <v>Sep</v>
      </c>
      <c r="E163" s="5" t="s">
        <v>22</v>
      </c>
      <c r="F163" s="3" t="s">
        <v>18</v>
      </c>
      <c r="G163" s="3" t="s">
        <v>48</v>
      </c>
      <c r="H163" s="3" t="s">
        <v>43</v>
      </c>
      <c r="I163" s="3">
        <v>0</v>
      </c>
      <c r="J163" s="3">
        <v>53100</v>
      </c>
      <c r="K163" s="3">
        <v>59000</v>
      </c>
      <c r="L163" s="3">
        <v>27</v>
      </c>
      <c r="M163">
        <f>Table1[[#This Row],[Qty]]*Table1[[#This Row],[Sales Price]]</f>
        <v>1593000</v>
      </c>
      <c r="N163">
        <f>Table1[[#This Row],[Qty]]*Table1[[#This Row],[Cost]]</f>
        <v>1433700</v>
      </c>
      <c r="O163">
        <f>Table1[[#This Row],[Revenue]]-Table1[[#This Row],[Total Cost]]</f>
        <v>159300</v>
      </c>
    </row>
    <row r="164" spans="1:15">
      <c r="A164" s="3">
        <v>163</v>
      </c>
      <c r="B164" s="4">
        <v>44828</v>
      </c>
      <c r="C164" s="4" t="str">
        <f>TEXT(Table1[[#This Row],[Date]],"YYYY")</f>
        <v>2022</v>
      </c>
      <c r="D164" s="4" t="str">
        <f>TEXT(Table1[[#This Row],[Date]],"MMM")</f>
        <v>Sep</v>
      </c>
      <c r="E164" s="5" t="s">
        <v>39</v>
      </c>
      <c r="F164" s="3" t="s">
        <v>15</v>
      </c>
      <c r="G164" s="3" t="s">
        <v>48</v>
      </c>
      <c r="H164" s="3" t="s">
        <v>43</v>
      </c>
      <c r="I164" s="3">
        <v>1</v>
      </c>
      <c r="J164" s="3">
        <v>88200</v>
      </c>
      <c r="K164" s="3">
        <v>98000</v>
      </c>
      <c r="L164" s="3">
        <v>15</v>
      </c>
      <c r="M164">
        <f>Table1[[#This Row],[Qty]]*Table1[[#This Row],[Sales Price]]</f>
        <v>1470000</v>
      </c>
      <c r="N164">
        <f>Table1[[#This Row],[Qty]]*Table1[[#This Row],[Cost]]</f>
        <v>1323000</v>
      </c>
      <c r="O164">
        <f>Table1[[#This Row],[Revenue]]-Table1[[#This Row],[Total Cost]]</f>
        <v>147000</v>
      </c>
    </row>
    <row r="165" spans="1:15">
      <c r="A165" s="3">
        <v>164</v>
      </c>
      <c r="B165" s="4">
        <v>44829</v>
      </c>
      <c r="C165" s="4" t="str">
        <f>TEXT(Table1[[#This Row],[Date]],"YYYY")</f>
        <v>2022</v>
      </c>
      <c r="D165" s="4" t="str">
        <f>TEXT(Table1[[#This Row],[Date]],"MMM")</f>
        <v>Sep</v>
      </c>
      <c r="E165" s="5" t="s">
        <v>40</v>
      </c>
      <c r="F165" s="3" t="s">
        <v>61</v>
      </c>
      <c r="G165" s="3" t="s">
        <v>42</v>
      </c>
      <c r="H165" s="3" t="s">
        <v>43</v>
      </c>
      <c r="I165" s="3">
        <v>1</v>
      </c>
      <c r="J165" s="3">
        <v>38250</v>
      </c>
      <c r="K165" s="3">
        <v>42500</v>
      </c>
      <c r="L165" s="3">
        <v>3</v>
      </c>
      <c r="M165">
        <f>Table1[[#This Row],[Qty]]*Table1[[#This Row],[Sales Price]]</f>
        <v>127500</v>
      </c>
      <c r="N165">
        <f>Table1[[#This Row],[Qty]]*Table1[[#This Row],[Cost]]</f>
        <v>114750</v>
      </c>
      <c r="O165">
        <f>Table1[[#This Row],[Revenue]]-Table1[[#This Row],[Total Cost]]</f>
        <v>12750</v>
      </c>
    </row>
    <row r="166" spans="1:15">
      <c r="A166" s="3">
        <v>165</v>
      </c>
      <c r="B166" s="4">
        <v>44830</v>
      </c>
      <c r="C166" s="4" t="str">
        <f>TEXT(Table1[[#This Row],[Date]],"YYYY")</f>
        <v>2022</v>
      </c>
      <c r="D166" s="4" t="str">
        <f>TEXT(Table1[[#This Row],[Date]],"MMM")</f>
        <v>Sep</v>
      </c>
      <c r="E166" s="5" t="s">
        <v>35</v>
      </c>
      <c r="F166" s="3" t="s">
        <v>18</v>
      </c>
      <c r="G166" s="3" t="s">
        <v>16</v>
      </c>
      <c r="H166" s="3" t="s">
        <v>17</v>
      </c>
      <c r="I166" s="3">
        <v>1</v>
      </c>
      <c r="J166" s="3">
        <v>2700</v>
      </c>
      <c r="K166" s="3">
        <v>3000</v>
      </c>
      <c r="L166" s="3">
        <v>9</v>
      </c>
      <c r="M166">
        <f>Table1[[#This Row],[Qty]]*Table1[[#This Row],[Sales Price]]</f>
        <v>27000</v>
      </c>
      <c r="N166">
        <f>Table1[[#This Row],[Qty]]*Table1[[#This Row],[Cost]]</f>
        <v>24300</v>
      </c>
      <c r="O166">
        <f>Table1[[#This Row],[Revenue]]-Table1[[#This Row],[Total Cost]]</f>
        <v>2700</v>
      </c>
    </row>
    <row r="167" spans="1:15">
      <c r="A167" s="3">
        <v>166</v>
      </c>
      <c r="B167" s="4">
        <v>44831</v>
      </c>
      <c r="C167" s="4" t="str">
        <f>TEXT(Table1[[#This Row],[Date]],"YYYY")</f>
        <v>2022</v>
      </c>
      <c r="D167" s="4" t="str">
        <f>TEXT(Table1[[#This Row],[Date]],"MMM")</f>
        <v>Sep</v>
      </c>
      <c r="E167" s="5" t="s">
        <v>33</v>
      </c>
      <c r="F167" s="3" t="s">
        <v>15</v>
      </c>
      <c r="G167" s="3" t="s">
        <v>41</v>
      </c>
      <c r="H167" s="3" t="s">
        <v>28</v>
      </c>
      <c r="I167" s="3">
        <v>1</v>
      </c>
      <c r="J167" s="3">
        <v>23850</v>
      </c>
      <c r="K167" s="3">
        <v>26500</v>
      </c>
      <c r="L167" s="3">
        <v>22</v>
      </c>
      <c r="M167">
        <f>Table1[[#This Row],[Qty]]*Table1[[#This Row],[Sales Price]]</f>
        <v>583000</v>
      </c>
      <c r="N167">
        <f>Table1[[#This Row],[Qty]]*Table1[[#This Row],[Cost]]</f>
        <v>524700</v>
      </c>
      <c r="O167">
        <f>Table1[[#This Row],[Revenue]]-Table1[[#This Row],[Total Cost]]</f>
        <v>58300</v>
      </c>
    </row>
    <row r="168" spans="1:15">
      <c r="A168" s="3">
        <v>167</v>
      </c>
      <c r="B168" s="4">
        <v>44832</v>
      </c>
      <c r="C168" s="4" t="str">
        <f>TEXT(Table1[[#This Row],[Date]],"YYYY")</f>
        <v>2022</v>
      </c>
      <c r="D168" s="4" t="str">
        <f>TEXT(Table1[[#This Row],[Date]],"MMM")</f>
        <v>Sep</v>
      </c>
      <c r="E168" s="5" t="s">
        <v>39</v>
      </c>
      <c r="F168" s="3" t="s">
        <v>61</v>
      </c>
      <c r="G168" s="3" t="s">
        <v>27</v>
      </c>
      <c r="H168" s="3" t="s">
        <v>28</v>
      </c>
      <c r="I168" s="3"/>
      <c r="J168" s="3">
        <v>24750</v>
      </c>
      <c r="K168" s="3">
        <v>27500</v>
      </c>
      <c r="L168" s="3">
        <v>16</v>
      </c>
      <c r="M168">
        <f>Table1[[#This Row],[Qty]]*Table1[[#This Row],[Sales Price]]</f>
        <v>440000</v>
      </c>
      <c r="N168">
        <f>Table1[[#This Row],[Qty]]*Table1[[#This Row],[Cost]]</f>
        <v>396000</v>
      </c>
      <c r="O168">
        <f>Table1[[#This Row],[Revenue]]-Table1[[#This Row],[Total Cost]]</f>
        <v>44000</v>
      </c>
    </row>
    <row r="169" spans="1:15">
      <c r="A169" s="3">
        <v>168</v>
      </c>
      <c r="B169" s="4">
        <v>44833</v>
      </c>
      <c r="C169" s="4" t="str">
        <f>TEXT(Table1[[#This Row],[Date]],"YYYY")</f>
        <v>2022</v>
      </c>
      <c r="D169" s="4" t="str">
        <f>TEXT(Table1[[#This Row],[Date]],"MMM")</f>
        <v>Sep</v>
      </c>
      <c r="E169" s="5" t="s">
        <v>40</v>
      </c>
      <c r="F169" s="3" t="s">
        <v>18</v>
      </c>
      <c r="G169" s="3" t="s">
        <v>32</v>
      </c>
      <c r="H169" s="3" t="s">
        <v>28</v>
      </c>
      <c r="I169" s="3"/>
      <c r="J169" s="3">
        <v>44550</v>
      </c>
      <c r="K169" s="3">
        <v>49500</v>
      </c>
      <c r="L169" s="3">
        <v>6</v>
      </c>
      <c r="M169">
        <f>Table1[[#This Row],[Qty]]*Table1[[#This Row],[Sales Price]]</f>
        <v>297000</v>
      </c>
      <c r="N169">
        <f>Table1[[#This Row],[Qty]]*Table1[[#This Row],[Cost]]</f>
        <v>267300</v>
      </c>
      <c r="O169">
        <f>Table1[[#This Row],[Revenue]]-Table1[[#This Row],[Total Cost]]</f>
        <v>29700</v>
      </c>
    </row>
    <row r="170" spans="1:15">
      <c r="A170" s="3">
        <v>169</v>
      </c>
      <c r="B170" s="4">
        <v>44834</v>
      </c>
      <c r="C170" s="4" t="str">
        <f>TEXT(Table1[[#This Row],[Date]],"YYYY")</f>
        <v>2022</v>
      </c>
      <c r="D170" s="4" t="str">
        <f>TEXT(Table1[[#This Row],[Date]],"MMM")</f>
        <v>Sep</v>
      </c>
      <c r="E170" s="5" t="s">
        <v>40</v>
      </c>
      <c r="F170" s="3" t="s">
        <v>15</v>
      </c>
      <c r="G170" s="3" t="s">
        <v>42</v>
      </c>
      <c r="H170" s="3" t="s">
        <v>43</v>
      </c>
      <c r="I170" s="3">
        <v>1</v>
      </c>
      <c r="J170" s="3">
        <v>9000</v>
      </c>
      <c r="K170" s="3">
        <v>10000</v>
      </c>
      <c r="L170" s="3">
        <v>3</v>
      </c>
      <c r="M170">
        <f>Table1[[#This Row],[Qty]]*Table1[[#This Row],[Sales Price]]</f>
        <v>30000</v>
      </c>
      <c r="N170">
        <f>Table1[[#This Row],[Qty]]*Table1[[#This Row],[Cost]]</f>
        <v>27000</v>
      </c>
      <c r="O170">
        <f>Table1[[#This Row],[Revenue]]-Table1[[#This Row],[Total Cost]]</f>
        <v>3000</v>
      </c>
    </row>
    <row r="171" spans="1:15">
      <c r="A171" s="3">
        <v>170</v>
      </c>
      <c r="B171" s="4">
        <v>44835</v>
      </c>
      <c r="C171" s="4" t="str">
        <f>TEXT(Table1[[#This Row],[Date]],"YYYY")</f>
        <v>2022</v>
      </c>
      <c r="D171" s="4" t="str">
        <f>TEXT(Table1[[#This Row],[Date]],"MMM")</f>
        <v>Oct</v>
      </c>
      <c r="E171" s="5" t="s">
        <v>63</v>
      </c>
      <c r="F171" s="3" t="s">
        <v>61</v>
      </c>
      <c r="G171" s="3" t="s">
        <v>44</v>
      </c>
      <c r="H171" s="3" t="s">
        <v>43</v>
      </c>
      <c r="I171" s="3">
        <v>1</v>
      </c>
      <c r="J171" s="3">
        <v>8640</v>
      </c>
      <c r="K171" s="3">
        <v>9600</v>
      </c>
      <c r="L171" s="3">
        <v>5</v>
      </c>
      <c r="M171">
        <f>Table1[[#This Row],[Qty]]*Table1[[#This Row],[Sales Price]]</f>
        <v>48000</v>
      </c>
      <c r="N171">
        <f>Table1[[#This Row],[Qty]]*Table1[[#This Row],[Cost]]</f>
        <v>43200</v>
      </c>
      <c r="O171">
        <f>Table1[[#This Row],[Revenue]]-Table1[[#This Row],[Total Cost]]</f>
        <v>4800</v>
      </c>
    </row>
    <row r="172" spans="1:15">
      <c r="A172" s="3">
        <v>171</v>
      </c>
      <c r="B172" s="4">
        <v>44836</v>
      </c>
      <c r="C172" s="4" t="str">
        <f>TEXT(Table1[[#This Row],[Date]],"YYYY")</f>
        <v>2022</v>
      </c>
      <c r="D172" s="4" t="str">
        <f>TEXT(Table1[[#This Row],[Date]],"MMM")</f>
        <v>Oct</v>
      </c>
      <c r="E172" s="5" t="s">
        <v>35</v>
      </c>
      <c r="F172" s="3" t="s">
        <v>18</v>
      </c>
      <c r="G172" s="3" t="s">
        <v>45</v>
      </c>
      <c r="H172" s="3" t="s">
        <v>43</v>
      </c>
      <c r="I172" s="3">
        <v>1</v>
      </c>
      <c r="J172" s="3">
        <v>9000</v>
      </c>
      <c r="K172" s="3">
        <v>10000</v>
      </c>
      <c r="L172" s="3">
        <v>1</v>
      </c>
      <c r="M172">
        <f>Table1[[#This Row],[Qty]]*Table1[[#This Row],[Sales Price]]</f>
        <v>10000</v>
      </c>
      <c r="N172">
        <f>Table1[[#This Row],[Qty]]*Table1[[#This Row],[Cost]]</f>
        <v>9000</v>
      </c>
      <c r="O172">
        <f>Table1[[#This Row],[Revenue]]-Table1[[#This Row],[Total Cost]]</f>
        <v>1000</v>
      </c>
    </row>
    <row r="173" spans="1:15">
      <c r="A173" s="3">
        <v>172</v>
      </c>
      <c r="B173" s="4">
        <v>44837</v>
      </c>
      <c r="C173" s="4" t="str">
        <f>TEXT(Table1[[#This Row],[Date]],"YYYY")</f>
        <v>2022</v>
      </c>
      <c r="D173" s="4" t="str">
        <f>TEXT(Table1[[#This Row],[Date]],"MMM")</f>
        <v>Oct</v>
      </c>
      <c r="E173" s="5" t="s">
        <v>54</v>
      </c>
      <c r="F173" s="3" t="s">
        <v>15</v>
      </c>
      <c r="G173" s="3" t="s">
        <v>47</v>
      </c>
      <c r="H173" s="3" t="s">
        <v>43</v>
      </c>
      <c r="I173" s="3">
        <v>1</v>
      </c>
      <c r="J173" s="3">
        <v>3870</v>
      </c>
      <c r="K173" s="3">
        <v>4300</v>
      </c>
      <c r="L173" s="3">
        <v>5</v>
      </c>
      <c r="M173">
        <f>Table1[[#This Row],[Qty]]*Table1[[#This Row],[Sales Price]]</f>
        <v>21500</v>
      </c>
      <c r="N173">
        <f>Table1[[#This Row],[Qty]]*Table1[[#This Row],[Cost]]</f>
        <v>19350</v>
      </c>
      <c r="O173">
        <f>Table1[[#This Row],[Revenue]]-Table1[[#This Row],[Total Cost]]</f>
        <v>2150</v>
      </c>
    </row>
    <row r="174" spans="1:15">
      <c r="A174" s="3">
        <v>173</v>
      </c>
      <c r="B174" s="4">
        <v>44838</v>
      </c>
      <c r="C174" s="4" t="str">
        <f>TEXT(Table1[[#This Row],[Date]],"YYYY")</f>
        <v>2022</v>
      </c>
      <c r="D174" s="4" t="str">
        <f>TEXT(Table1[[#This Row],[Date]],"MMM")</f>
        <v>Oct</v>
      </c>
      <c r="E174" s="5" t="s">
        <v>56</v>
      </c>
      <c r="F174" s="3" t="s">
        <v>61</v>
      </c>
      <c r="G174" s="3" t="s">
        <v>48</v>
      </c>
      <c r="H174" s="3" t="s">
        <v>43</v>
      </c>
      <c r="I174" s="3">
        <v>1</v>
      </c>
      <c r="J174" s="3">
        <v>8640</v>
      </c>
      <c r="K174" s="3">
        <v>9600</v>
      </c>
      <c r="L174" s="3">
        <v>7</v>
      </c>
      <c r="M174">
        <f>Table1[[#This Row],[Qty]]*Table1[[#This Row],[Sales Price]]</f>
        <v>67200</v>
      </c>
      <c r="N174">
        <f>Table1[[#This Row],[Qty]]*Table1[[#This Row],[Cost]]</f>
        <v>60480</v>
      </c>
      <c r="O174">
        <f>Table1[[#This Row],[Revenue]]-Table1[[#This Row],[Total Cost]]</f>
        <v>6720</v>
      </c>
    </row>
    <row r="175" spans="1:15">
      <c r="A175" s="3">
        <v>174</v>
      </c>
      <c r="B175" s="4">
        <v>44839</v>
      </c>
      <c r="C175" s="4" t="str">
        <f>TEXT(Table1[[#This Row],[Date]],"YYYY")</f>
        <v>2022</v>
      </c>
      <c r="D175" s="4" t="str">
        <f>TEXT(Table1[[#This Row],[Date]],"MMM")</f>
        <v>Oct</v>
      </c>
      <c r="E175" s="5" t="s">
        <v>39</v>
      </c>
      <c r="F175" s="3" t="s">
        <v>18</v>
      </c>
      <c r="G175" s="3" t="s">
        <v>42</v>
      </c>
      <c r="H175" s="3" t="s">
        <v>43</v>
      </c>
      <c r="I175" s="3">
        <v>1</v>
      </c>
      <c r="J175" s="3">
        <v>8280</v>
      </c>
      <c r="K175" s="3">
        <v>9200</v>
      </c>
      <c r="L175" s="3">
        <v>4</v>
      </c>
      <c r="M175">
        <f>Table1[[#This Row],[Qty]]*Table1[[#This Row],[Sales Price]]</f>
        <v>36800</v>
      </c>
      <c r="N175">
        <f>Table1[[#This Row],[Qty]]*Table1[[#This Row],[Cost]]</f>
        <v>33120</v>
      </c>
      <c r="O175">
        <f>Table1[[#This Row],[Revenue]]-Table1[[#This Row],[Total Cost]]</f>
        <v>3680</v>
      </c>
    </row>
    <row r="176" spans="1:15">
      <c r="A176" s="3">
        <v>175</v>
      </c>
      <c r="B176" s="4">
        <v>44840</v>
      </c>
      <c r="C176" s="4" t="str">
        <f>TEXT(Table1[[#This Row],[Date]],"YYYY")</f>
        <v>2022</v>
      </c>
      <c r="D176" s="4" t="str">
        <f>TEXT(Table1[[#This Row],[Date]],"MMM")</f>
        <v>Oct</v>
      </c>
      <c r="E176" s="5" t="s">
        <v>24</v>
      </c>
      <c r="F176" s="3" t="s">
        <v>15</v>
      </c>
      <c r="G176" s="3" t="s">
        <v>44</v>
      </c>
      <c r="H176" s="3" t="s">
        <v>43</v>
      </c>
      <c r="I176" s="3"/>
      <c r="J176" s="3">
        <v>4950</v>
      </c>
      <c r="K176" s="3">
        <v>5500</v>
      </c>
      <c r="L176" s="3">
        <v>8</v>
      </c>
      <c r="M176">
        <f>Table1[[#This Row],[Qty]]*Table1[[#This Row],[Sales Price]]</f>
        <v>44000</v>
      </c>
      <c r="N176">
        <f>Table1[[#This Row],[Qty]]*Table1[[#This Row],[Cost]]</f>
        <v>39600</v>
      </c>
      <c r="O176">
        <f>Table1[[#This Row],[Revenue]]-Table1[[#This Row],[Total Cost]]</f>
        <v>4400</v>
      </c>
    </row>
    <row r="177" spans="1:15">
      <c r="A177" s="3">
        <v>176</v>
      </c>
      <c r="B177" s="4">
        <v>44841</v>
      </c>
      <c r="C177" s="4" t="str">
        <f>TEXT(Table1[[#This Row],[Date]],"YYYY")</f>
        <v>2022</v>
      </c>
      <c r="D177" s="4" t="str">
        <f>TEXT(Table1[[#This Row],[Date]],"MMM")</f>
        <v>Oct</v>
      </c>
      <c r="E177" s="5" t="s">
        <v>40</v>
      </c>
      <c r="F177" s="3" t="s">
        <v>61</v>
      </c>
      <c r="G177" s="3" t="s">
        <v>45</v>
      </c>
      <c r="H177" s="3" t="s">
        <v>43</v>
      </c>
      <c r="I177" s="3"/>
      <c r="J177" s="3">
        <v>3150</v>
      </c>
      <c r="K177" s="3">
        <v>3500</v>
      </c>
      <c r="L177" s="3">
        <v>8</v>
      </c>
      <c r="M177">
        <f>Table1[[#This Row],[Qty]]*Table1[[#This Row],[Sales Price]]</f>
        <v>28000</v>
      </c>
      <c r="N177">
        <f>Table1[[#This Row],[Qty]]*Table1[[#This Row],[Cost]]</f>
        <v>25200</v>
      </c>
      <c r="O177">
        <f>Table1[[#This Row],[Revenue]]-Table1[[#This Row],[Total Cost]]</f>
        <v>2800</v>
      </c>
    </row>
    <row r="178" spans="1:15">
      <c r="A178" s="3">
        <v>177</v>
      </c>
      <c r="B178" s="4">
        <v>44842</v>
      </c>
      <c r="C178" s="4" t="str">
        <f>TEXT(Table1[[#This Row],[Date]],"YYYY")</f>
        <v>2022</v>
      </c>
      <c r="D178" s="4" t="str">
        <f>TEXT(Table1[[#This Row],[Date]],"MMM")</f>
        <v>Oct</v>
      </c>
      <c r="E178" s="5" t="s">
        <v>14</v>
      </c>
      <c r="F178" s="3" t="s">
        <v>18</v>
      </c>
      <c r="G178" s="3" t="s">
        <v>47</v>
      </c>
      <c r="H178" s="3" t="s">
        <v>43</v>
      </c>
      <c r="I178" s="3"/>
      <c r="J178" s="3">
        <v>2700</v>
      </c>
      <c r="K178" s="3">
        <v>3000</v>
      </c>
      <c r="L178" s="3">
        <v>9</v>
      </c>
      <c r="M178">
        <f>Table1[[#This Row],[Qty]]*Table1[[#This Row],[Sales Price]]</f>
        <v>27000</v>
      </c>
      <c r="N178">
        <f>Table1[[#This Row],[Qty]]*Table1[[#This Row],[Cost]]</f>
        <v>24300</v>
      </c>
      <c r="O178">
        <f>Table1[[#This Row],[Revenue]]-Table1[[#This Row],[Total Cost]]</f>
        <v>2700</v>
      </c>
    </row>
    <row r="179" spans="1:15">
      <c r="A179" s="3">
        <v>178</v>
      </c>
      <c r="B179" s="4">
        <v>44843</v>
      </c>
      <c r="C179" s="4" t="str">
        <f>TEXT(Table1[[#This Row],[Date]],"YYYY")</f>
        <v>2022</v>
      </c>
      <c r="D179" s="4" t="str">
        <f>TEXT(Table1[[#This Row],[Date]],"MMM")</f>
        <v>Oct</v>
      </c>
      <c r="E179" s="5" t="s">
        <v>49</v>
      </c>
      <c r="F179" s="3" t="s">
        <v>15</v>
      </c>
      <c r="G179" s="3" t="s">
        <v>48</v>
      </c>
      <c r="H179" s="3" t="s">
        <v>43</v>
      </c>
      <c r="I179" s="3">
        <v>1</v>
      </c>
      <c r="J179" s="3">
        <v>4050</v>
      </c>
      <c r="K179" s="3">
        <v>4500</v>
      </c>
      <c r="L179" s="3">
        <v>2</v>
      </c>
      <c r="M179">
        <f>Table1[[#This Row],[Qty]]*Table1[[#This Row],[Sales Price]]</f>
        <v>9000</v>
      </c>
      <c r="N179">
        <f>Table1[[#This Row],[Qty]]*Table1[[#This Row],[Cost]]</f>
        <v>8100</v>
      </c>
      <c r="O179">
        <f>Table1[[#This Row],[Revenue]]-Table1[[#This Row],[Total Cost]]</f>
        <v>900</v>
      </c>
    </row>
    <row r="180" spans="1:15">
      <c r="A180" s="3">
        <v>179</v>
      </c>
      <c r="B180" s="4">
        <v>44844</v>
      </c>
      <c r="C180" s="4" t="str">
        <f>TEXT(Table1[[#This Row],[Date]],"YYYY")</f>
        <v>2022</v>
      </c>
      <c r="D180" s="4" t="str">
        <f>TEXT(Table1[[#This Row],[Date]],"MMM")</f>
        <v>Oct</v>
      </c>
      <c r="E180" s="5" t="s">
        <v>57</v>
      </c>
      <c r="F180" s="3" t="s">
        <v>61</v>
      </c>
      <c r="G180" s="3" t="s">
        <v>48</v>
      </c>
      <c r="H180" s="3" t="s">
        <v>43</v>
      </c>
      <c r="I180" s="3">
        <v>1</v>
      </c>
      <c r="J180" s="3">
        <v>53100</v>
      </c>
      <c r="K180" s="3">
        <v>59000</v>
      </c>
      <c r="L180" s="3">
        <v>1</v>
      </c>
      <c r="M180">
        <f>Table1[[#This Row],[Qty]]*Table1[[#This Row],[Sales Price]]</f>
        <v>59000</v>
      </c>
      <c r="N180">
        <f>Table1[[#This Row],[Qty]]*Table1[[#This Row],[Cost]]</f>
        <v>53100</v>
      </c>
      <c r="O180">
        <f>Table1[[#This Row],[Revenue]]-Table1[[#This Row],[Total Cost]]</f>
        <v>5900</v>
      </c>
    </row>
    <row r="181" spans="1:15">
      <c r="A181" s="3">
        <v>180</v>
      </c>
      <c r="B181" s="4">
        <v>44845</v>
      </c>
      <c r="C181" s="4" t="str">
        <f>TEXT(Table1[[#This Row],[Date]],"YYYY")</f>
        <v>2022</v>
      </c>
      <c r="D181" s="4" t="str">
        <f>TEXT(Table1[[#This Row],[Date]],"MMM")</f>
        <v>Oct</v>
      </c>
      <c r="E181" s="5" t="s">
        <v>33</v>
      </c>
      <c r="F181" s="3" t="s">
        <v>18</v>
      </c>
      <c r="G181" s="3" t="s">
        <v>42</v>
      </c>
      <c r="H181" s="3" t="s">
        <v>43</v>
      </c>
      <c r="I181" s="3">
        <v>1</v>
      </c>
      <c r="J181" s="3">
        <v>88200</v>
      </c>
      <c r="K181" s="3">
        <v>98000</v>
      </c>
      <c r="L181" s="3">
        <v>22</v>
      </c>
      <c r="M181">
        <f>Table1[[#This Row],[Qty]]*Table1[[#This Row],[Sales Price]]</f>
        <v>2156000</v>
      </c>
      <c r="N181">
        <f>Table1[[#This Row],[Qty]]*Table1[[#This Row],[Cost]]</f>
        <v>1940400</v>
      </c>
      <c r="O181">
        <f>Table1[[#This Row],[Revenue]]-Table1[[#This Row],[Total Cost]]</f>
        <v>215600</v>
      </c>
    </row>
    <row r="182" spans="1:15">
      <c r="A182" s="3">
        <v>181</v>
      </c>
      <c r="B182" s="4">
        <v>44846</v>
      </c>
      <c r="C182" s="4" t="str">
        <f>TEXT(Table1[[#This Row],[Date]],"YYYY")</f>
        <v>2022</v>
      </c>
      <c r="D182" s="4" t="str">
        <f>TEXT(Table1[[#This Row],[Date]],"MMM")</f>
        <v>Oct</v>
      </c>
      <c r="E182" s="5" t="s">
        <v>39</v>
      </c>
      <c r="F182" s="3" t="s">
        <v>15</v>
      </c>
      <c r="G182" s="3" t="s">
        <v>16</v>
      </c>
      <c r="H182" s="3" t="s">
        <v>17</v>
      </c>
      <c r="I182" s="3">
        <v>0</v>
      </c>
      <c r="J182" s="3">
        <v>38250</v>
      </c>
      <c r="K182" s="3">
        <v>42500</v>
      </c>
      <c r="L182" s="3">
        <v>8</v>
      </c>
      <c r="M182">
        <f>Table1[[#This Row],[Qty]]*Table1[[#This Row],[Sales Price]]</f>
        <v>340000</v>
      </c>
      <c r="N182">
        <f>Table1[[#This Row],[Qty]]*Table1[[#This Row],[Cost]]</f>
        <v>306000</v>
      </c>
      <c r="O182">
        <f>Table1[[#This Row],[Revenue]]-Table1[[#This Row],[Total Cost]]</f>
        <v>34000</v>
      </c>
    </row>
    <row r="183" spans="1:15">
      <c r="A183" s="3">
        <v>182</v>
      </c>
      <c r="B183" s="4">
        <v>44847</v>
      </c>
      <c r="C183" s="4" t="str">
        <f>TEXT(Table1[[#This Row],[Date]],"YYYY")</f>
        <v>2022</v>
      </c>
      <c r="D183" s="4" t="str">
        <f>TEXT(Table1[[#This Row],[Date]],"MMM")</f>
        <v>Oct</v>
      </c>
      <c r="E183" s="5" t="s">
        <v>52</v>
      </c>
      <c r="F183" s="3" t="s">
        <v>61</v>
      </c>
      <c r="G183" s="3" t="s">
        <v>19</v>
      </c>
      <c r="H183" s="3" t="s">
        <v>17</v>
      </c>
      <c r="I183" s="3">
        <v>0</v>
      </c>
      <c r="J183" s="3">
        <v>2700</v>
      </c>
      <c r="K183" s="3">
        <v>3000</v>
      </c>
      <c r="L183" s="3">
        <v>7</v>
      </c>
      <c r="M183">
        <f>Table1[[#This Row],[Qty]]*Table1[[#This Row],[Sales Price]]</f>
        <v>21000</v>
      </c>
      <c r="N183">
        <f>Table1[[#This Row],[Qty]]*Table1[[#This Row],[Cost]]</f>
        <v>18900</v>
      </c>
      <c r="O183">
        <f>Table1[[#This Row],[Revenue]]-Table1[[#This Row],[Total Cost]]</f>
        <v>2100</v>
      </c>
    </row>
    <row r="184" spans="1:15">
      <c r="A184" s="3">
        <v>183</v>
      </c>
      <c r="B184" s="4">
        <v>44848</v>
      </c>
      <c r="C184" s="4" t="str">
        <f>TEXT(Table1[[#This Row],[Date]],"YYYY")</f>
        <v>2022</v>
      </c>
      <c r="D184" s="4" t="str">
        <f>TEXT(Table1[[#This Row],[Date]],"MMM")</f>
        <v>Oct</v>
      </c>
      <c r="E184" s="5" t="s">
        <v>56</v>
      </c>
      <c r="F184" s="3" t="s">
        <v>18</v>
      </c>
      <c r="G184" s="3" t="s">
        <v>21</v>
      </c>
      <c r="H184" s="3" t="s">
        <v>17</v>
      </c>
      <c r="I184" s="3">
        <v>0</v>
      </c>
      <c r="J184" s="3">
        <v>23850</v>
      </c>
      <c r="K184" s="3">
        <v>26500</v>
      </c>
      <c r="L184" s="3">
        <v>56</v>
      </c>
      <c r="M184">
        <f>Table1[[#This Row],[Qty]]*Table1[[#This Row],[Sales Price]]</f>
        <v>1484000</v>
      </c>
      <c r="N184">
        <f>Table1[[#This Row],[Qty]]*Table1[[#This Row],[Cost]]</f>
        <v>1335600</v>
      </c>
      <c r="O184">
        <f>Table1[[#This Row],[Revenue]]-Table1[[#This Row],[Total Cost]]</f>
        <v>148400</v>
      </c>
    </row>
    <row r="185" spans="1:15">
      <c r="A185" s="3">
        <v>184</v>
      </c>
      <c r="B185" s="4">
        <v>44849</v>
      </c>
      <c r="C185" s="4" t="str">
        <f>TEXT(Table1[[#This Row],[Date]],"YYYY")</f>
        <v>2022</v>
      </c>
      <c r="D185" s="4" t="str">
        <f>TEXT(Table1[[#This Row],[Date]],"MMM")</f>
        <v>Oct</v>
      </c>
      <c r="E185" s="5" t="s">
        <v>22</v>
      </c>
      <c r="F185" s="3" t="s">
        <v>15</v>
      </c>
      <c r="G185" s="3" t="s">
        <v>23</v>
      </c>
      <c r="H185" s="3" t="s">
        <v>17</v>
      </c>
      <c r="I185" s="3">
        <v>1</v>
      </c>
      <c r="J185" s="3">
        <v>24750</v>
      </c>
      <c r="K185" s="3">
        <v>27500</v>
      </c>
      <c r="L185" s="3">
        <v>10</v>
      </c>
      <c r="M185">
        <f>Table1[[#This Row],[Qty]]*Table1[[#This Row],[Sales Price]]</f>
        <v>275000</v>
      </c>
      <c r="N185">
        <f>Table1[[#This Row],[Qty]]*Table1[[#This Row],[Cost]]</f>
        <v>247500</v>
      </c>
      <c r="O185">
        <f>Table1[[#This Row],[Revenue]]-Table1[[#This Row],[Total Cost]]</f>
        <v>27500</v>
      </c>
    </row>
    <row r="186" spans="1:15">
      <c r="A186" s="3">
        <v>185</v>
      </c>
      <c r="B186" s="4">
        <v>44850</v>
      </c>
      <c r="C186" s="4" t="str">
        <f>TEXT(Table1[[#This Row],[Date]],"YYYY")</f>
        <v>2022</v>
      </c>
      <c r="D186" s="4" t="str">
        <f>TEXT(Table1[[#This Row],[Date]],"MMM")</f>
        <v>Oct</v>
      </c>
      <c r="E186" s="5" t="s">
        <v>39</v>
      </c>
      <c r="F186" s="3" t="s">
        <v>61</v>
      </c>
      <c r="G186" s="3" t="s">
        <v>25</v>
      </c>
      <c r="H186" s="3" t="s">
        <v>17</v>
      </c>
      <c r="I186" s="3"/>
      <c r="J186" s="3">
        <v>44550</v>
      </c>
      <c r="K186" s="3">
        <v>49500</v>
      </c>
      <c r="L186" s="3">
        <v>9</v>
      </c>
      <c r="M186">
        <f>Table1[[#This Row],[Qty]]*Table1[[#This Row],[Sales Price]]</f>
        <v>445500</v>
      </c>
      <c r="N186">
        <f>Table1[[#This Row],[Qty]]*Table1[[#This Row],[Cost]]</f>
        <v>400950</v>
      </c>
      <c r="O186">
        <f>Table1[[#This Row],[Revenue]]-Table1[[#This Row],[Total Cost]]</f>
        <v>44550</v>
      </c>
    </row>
    <row r="187" spans="1:15">
      <c r="A187" s="3">
        <v>186</v>
      </c>
      <c r="B187" s="4">
        <v>44851</v>
      </c>
      <c r="C187" s="4" t="str">
        <f>TEXT(Table1[[#This Row],[Date]],"YYYY")</f>
        <v>2022</v>
      </c>
      <c r="D187" s="4" t="str">
        <f>TEXT(Table1[[#This Row],[Date]],"MMM")</f>
        <v>Oct</v>
      </c>
      <c r="E187" s="5" t="s">
        <v>22</v>
      </c>
      <c r="F187" s="3" t="s">
        <v>18</v>
      </c>
      <c r="G187" s="3" t="s">
        <v>26</v>
      </c>
      <c r="H187" s="3" t="s">
        <v>17</v>
      </c>
      <c r="I187" s="3"/>
      <c r="J187" s="3">
        <v>9000</v>
      </c>
      <c r="K187" s="3">
        <v>10000</v>
      </c>
      <c r="L187" s="3">
        <v>27</v>
      </c>
      <c r="M187">
        <f>Table1[[#This Row],[Qty]]*Table1[[#This Row],[Sales Price]]</f>
        <v>270000</v>
      </c>
      <c r="N187">
        <f>Table1[[#This Row],[Qty]]*Table1[[#This Row],[Cost]]</f>
        <v>243000</v>
      </c>
      <c r="O187">
        <f>Table1[[#This Row],[Revenue]]-Table1[[#This Row],[Total Cost]]</f>
        <v>27000</v>
      </c>
    </row>
    <row r="188" spans="1:15">
      <c r="A188" s="3">
        <v>187</v>
      </c>
      <c r="B188" s="4">
        <v>44852</v>
      </c>
      <c r="C188" s="4" t="str">
        <f>TEXT(Table1[[#This Row],[Date]],"YYYY")</f>
        <v>2022</v>
      </c>
      <c r="D188" s="4" t="str">
        <f>TEXT(Table1[[#This Row],[Date]],"MMM")</f>
        <v>Oct</v>
      </c>
      <c r="E188" s="5" t="s">
        <v>50</v>
      </c>
      <c r="F188" s="3" t="s">
        <v>15</v>
      </c>
      <c r="G188" s="3" t="s">
        <v>27</v>
      </c>
      <c r="H188" s="3" t="s">
        <v>28</v>
      </c>
      <c r="I188" s="3">
        <v>1</v>
      </c>
      <c r="J188" s="3">
        <v>8640</v>
      </c>
      <c r="K188" s="3">
        <v>9600</v>
      </c>
      <c r="L188" s="3">
        <v>15</v>
      </c>
      <c r="M188">
        <f>Table1[[#This Row],[Qty]]*Table1[[#This Row],[Sales Price]]</f>
        <v>144000</v>
      </c>
      <c r="N188">
        <f>Table1[[#This Row],[Qty]]*Table1[[#This Row],[Cost]]</f>
        <v>129600</v>
      </c>
      <c r="O188">
        <f>Table1[[#This Row],[Revenue]]-Table1[[#This Row],[Total Cost]]</f>
        <v>14400</v>
      </c>
    </row>
    <row r="189" spans="1:15">
      <c r="A189" s="3">
        <v>188</v>
      </c>
      <c r="B189" s="4">
        <v>44853</v>
      </c>
      <c r="C189" s="4" t="str">
        <f>TEXT(Table1[[#This Row],[Date]],"YYYY")</f>
        <v>2022</v>
      </c>
      <c r="D189" s="4" t="str">
        <f>TEXT(Table1[[#This Row],[Date]],"MMM")</f>
        <v>Oct</v>
      </c>
      <c r="E189" s="5" t="s">
        <v>46</v>
      </c>
      <c r="F189" s="3" t="s">
        <v>61</v>
      </c>
      <c r="G189" s="3" t="s">
        <v>30</v>
      </c>
      <c r="H189" s="3" t="s">
        <v>28</v>
      </c>
      <c r="I189" s="3">
        <v>1</v>
      </c>
      <c r="J189" s="3">
        <v>9000</v>
      </c>
      <c r="K189" s="3">
        <v>10000</v>
      </c>
      <c r="L189" s="3">
        <v>3</v>
      </c>
      <c r="M189">
        <f>Table1[[#This Row],[Qty]]*Table1[[#This Row],[Sales Price]]</f>
        <v>30000</v>
      </c>
      <c r="N189">
        <f>Table1[[#This Row],[Qty]]*Table1[[#This Row],[Cost]]</f>
        <v>27000</v>
      </c>
      <c r="O189">
        <f>Table1[[#This Row],[Revenue]]-Table1[[#This Row],[Total Cost]]</f>
        <v>3000</v>
      </c>
    </row>
    <row r="190" spans="1:15">
      <c r="A190" s="3">
        <v>189</v>
      </c>
      <c r="B190" s="4">
        <v>44854</v>
      </c>
      <c r="C190" s="4" t="str">
        <f>TEXT(Table1[[#This Row],[Date]],"YYYY")</f>
        <v>2022</v>
      </c>
      <c r="D190" s="4" t="str">
        <f>TEXT(Table1[[#This Row],[Date]],"MMM")</f>
        <v>Oct</v>
      </c>
      <c r="E190" s="5" t="s">
        <v>39</v>
      </c>
      <c r="F190" s="3" t="s">
        <v>18</v>
      </c>
      <c r="G190" s="3" t="s">
        <v>32</v>
      </c>
      <c r="H190" s="3" t="s">
        <v>28</v>
      </c>
      <c r="I190" s="3">
        <v>0</v>
      </c>
      <c r="J190" s="3">
        <v>3870</v>
      </c>
      <c r="K190" s="3">
        <v>4300</v>
      </c>
      <c r="L190" s="3">
        <v>9</v>
      </c>
      <c r="M190">
        <f>Table1[[#This Row],[Qty]]*Table1[[#This Row],[Sales Price]]</f>
        <v>38700</v>
      </c>
      <c r="N190">
        <f>Table1[[#This Row],[Qty]]*Table1[[#This Row],[Cost]]</f>
        <v>34830</v>
      </c>
      <c r="O190">
        <f>Table1[[#This Row],[Revenue]]-Table1[[#This Row],[Total Cost]]</f>
        <v>3870</v>
      </c>
    </row>
    <row r="191" spans="1:15">
      <c r="A191" s="3">
        <v>190</v>
      </c>
      <c r="B191" s="4">
        <v>44855</v>
      </c>
      <c r="C191" s="4" t="str">
        <f>TEXT(Table1[[#This Row],[Date]],"YYYY")</f>
        <v>2022</v>
      </c>
      <c r="D191" s="4" t="str">
        <f>TEXT(Table1[[#This Row],[Date]],"MMM")</f>
        <v>Oct</v>
      </c>
      <c r="E191" s="5" t="s">
        <v>14</v>
      </c>
      <c r="F191" s="3" t="s">
        <v>15</v>
      </c>
      <c r="G191" s="3" t="s">
        <v>34</v>
      </c>
      <c r="H191" s="3" t="s">
        <v>28</v>
      </c>
      <c r="I191" s="3">
        <v>1</v>
      </c>
      <c r="J191" s="3">
        <v>8280</v>
      </c>
      <c r="K191" s="3">
        <v>9200</v>
      </c>
      <c r="L191" s="3">
        <v>22</v>
      </c>
      <c r="M191">
        <f>Table1[[#This Row],[Qty]]*Table1[[#This Row],[Sales Price]]</f>
        <v>202400</v>
      </c>
      <c r="N191">
        <f>Table1[[#This Row],[Qty]]*Table1[[#This Row],[Cost]]</f>
        <v>182160</v>
      </c>
      <c r="O191">
        <f>Table1[[#This Row],[Revenue]]-Table1[[#This Row],[Total Cost]]</f>
        <v>20240</v>
      </c>
    </row>
    <row r="192" spans="1:15">
      <c r="A192" s="3">
        <v>191</v>
      </c>
      <c r="B192" s="4">
        <v>44856</v>
      </c>
      <c r="C192" s="4" t="str">
        <f>TEXT(Table1[[#This Row],[Date]],"YYYY")</f>
        <v>2022</v>
      </c>
      <c r="D192" s="4" t="str">
        <f>TEXT(Table1[[#This Row],[Date]],"MMM")</f>
        <v>Oct</v>
      </c>
      <c r="E192" s="5" t="s">
        <v>31</v>
      </c>
      <c r="F192" s="3" t="s">
        <v>61</v>
      </c>
      <c r="G192" s="3" t="s">
        <v>36</v>
      </c>
      <c r="H192" s="3" t="s">
        <v>17</v>
      </c>
      <c r="I192" s="3">
        <v>1</v>
      </c>
      <c r="J192" s="3">
        <v>4950</v>
      </c>
      <c r="K192" s="3">
        <v>5500</v>
      </c>
      <c r="L192" s="3">
        <v>16</v>
      </c>
      <c r="M192">
        <f>Table1[[#This Row],[Qty]]*Table1[[#This Row],[Sales Price]]</f>
        <v>88000</v>
      </c>
      <c r="N192">
        <f>Table1[[#This Row],[Qty]]*Table1[[#This Row],[Cost]]</f>
        <v>79200</v>
      </c>
      <c r="O192">
        <f>Table1[[#This Row],[Revenue]]-Table1[[#This Row],[Total Cost]]</f>
        <v>8800</v>
      </c>
    </row>
    <row r="193" spans="1:15">
      <c r="A193" s="3">
        <v>192</v>
      </c>
      <c r="B193" s="4">
        <v>44857</v>
      </c>
      <c r="C193" s="4" t="str">
        <f>TEXT(Table1[[#This Row],[Date]],"YYYY")</f>
        <v>2022</v>
      </c>
      <c r="D193" s="4" t="str">
        <f>TEXT(Table1[[#This Row],[Date]],"MMM")</f>
        <v>Oct</v>
      </c>
      <c r="E193" s="5" t="s">
        <v>40</v>
      </c>
      <c r="F193" s="3" t="s">
        <v>18</v>
      </c>
      <c r="G193" s="3" t="s">
        <v>37</v>
      </c>
      <c r="H193" s="3" t="s">
        <v>17</v>
      </c>
      <c r="I193" s="3">
        <v>1</v>
      </c>
      <c r="J193" s="3">
        <v>3150</v>
      </c>
      <c r="K193" s="3">
        <v>3500</v>
      </c>
      <c r="L193" s="3">
        <v>6</v>
      </c>
      <c r="M193">
        <f>Table1[[#This Row],[Qty]]*Table1[[#This Row],[Sales Price]]</f>
        <v>21000</v>
      </c>
      <c r="N193">
        <f>Table1[[#This Row],[Qty]]*Table1[[#This Row],[Cost]]</f>
        <v>18900</v>
      </c>
      <c r="O193">
        <f>Table1[[#This Row],[Revenue]]-Table1[[#This Row],[Total Cost]]</f>
        <v>2100</v>
      </c>
    </row>
    <row r="194" spans="1:15">
      <c r="A194" s="3">
        <v>193</v>
      </c>
      <c r="B194" s="4">
        <v>44858</v>
      </c>
      <c r="C194" s="4" t="str">
        <f>TEXT(Table1[[#This Row],[Date]],"YYYY")</f>
        <v>2022</v>
      </c>
      <c r="D194" s="4" t="str">
        <f>TEXT(Table1[[#This Row],[Date]],"MMM")</f>
        <v>Oct</v>
      </c>
      <c r="E194" s="5" t="s">
        <v>40</v>
      </c>
      <c r="F194" s="3" t="s">
        <v>15</v>
      </c>
      <c r="G194" s="3" t="s">
        <v>38</v>
      </c>
      <c r="H194" s="3" t="s">
        <v>17</v>
      </c>
      <c r="I194" s="3"/>
      <c r="J194" s="3">
        <v>2700</v>
      </c>
      <c r="K194" s="3">
        <v>3000</v>
      </c>
      <c r="L194" s="3">
        <v>3</v>
      </c>
      <c r="M194">
        <f>Table1[[#This Row],[Qty]]*Table1[[#This Row],[Sales Price]]</f>
        <v>9000</v>
      </c>
      <c r="N194">
        <f>Table1[[#This Row],[Qty]]*Table1[[#This Row],[Cost]]</f>
        <v>8100</v>
      </c>
      <c r="O194">
        <f>Table1[[#This Row],[Revenue]]-Table1[[#This Row],[Total Cost]]</f>
        <v>900</v>
      </c>
    </row>
    <row r="195" spans="1:15">
      <c r="A195" s="3">
        <v>194</v>
      </c>
      <c r="B195" s="4">
        <v>44859</v>
      </c>
      <c r="C195" s="4" t="str">
        <f>TEXT(Table1[[#This Row],[Date]],"YYYY")</f>
        <v>2022</v>
      </c>
      <c r="D195" s="4" t="str">
        <f>TEXT(Table1[[#This Row],[Date]],"MMM")</f>
        <v>Oct</v>
      </c>
      <c r="E195" s="5" t="s">
        <v>49</v>
      </c>
      <c r="F195" s="3" t="s">
        <v>61</v>
      </c>
      <c r="G195" s="3" t="s">
        <v>19</v>
      </c>
      <c r="H195" s="3" t="s">
        <v>17</v>
      </c>
      <c r="I195" s="3"/>
      <c r="J195" s="3">
        <v>4050</v>
      </c>
      <c r="K195" s="3">
        <v>4500</v>
      </c>
      <c r="L195" s="3">
        <v>5</v>
      </c>
      <c r="M195">
        <f>Table1[[#This Row],[Qty]]*Table1[[#This Row],[Sales Price]]</f>
        <v>22500</v>
      </c>
      <c r="N195">
        <f>Table1[[#This Row],[Qty]]*Table1[[#This Row],[Cost]]</f>
        <v>20250</v>
      </c>
      <c r="O195">
        <f>Table1[[#This Row],[Revenue]]-Table1[[#This Row],[Total Cost]]</f>
        <v>2250</v>
      </c>
    </row>
    <row r="196" spans="1:15">
      <c r="A196" s="3">
        <v>195</v>
      </c>
      <c r="B196" s="4">
        <v>44860</v>
      </c>
      <c r="C196" s="4" t="str">
        <f>TEXT(Table1[[#This Row],[Date]],"YYYY")</f>
        <v>2022</v>
      </c>
      <c r="D196" s="4" t="str">
        <f>TEXT(Table1[[#This Row],[Date]],"MMM")</f>
        <v>Oct</v>
      </c>
      <c r="E196" s="5" t="s">
        <v>39</v>
      </c>
      <c r="F196" s="3" t="s">
        <v>18</v>
      </c>
      <c r="G196" s="3" t="s">
        <v>21</v>
      </c>
      <c r="H196" s="3" t="s">
        <v>17</v>
      </c>
      <c r="I196" s="3"/>
      <c r="J196" s="3">
        <v>8280</v>
      </c>
      <c r="K196" s="3">
        <v>9200</v>
      </c>
      <c r="L196" s="3">
        <v>1</v>
      </c>
      <c r="M196">
        <f>Table1[[#This Row],[Qty]]*Table1[[#This Row],[Sales Price]]</f>
        <v>9200</v>
      </c>
      <c r="N196">
        <f>Table1[[#This Row],[Qty]]*Table1[[#This Row],[Cost]]</f>
        <v>8280</v>
      </c>
      <c r="O196">
        <f>Table1[[#This Row],[Revenue]]-Table1[[#This Row],[Total Cost]]</f>
        <v>920</v>
      </c>
    </row>
    <row r="197" spans="1:15">
      <c r="A197" s="3">
        <v>196</v>
      </c>
      <c r="B197" s="4">
        <v>44861</v>
      </c>
      <c r="C197" s="4" t="str">
        <f>TEXT(Table1[[#This Row],[Date]],"YYYY")</f>
        <v>2022</v>
      </c>
      <c r="D197" s="4" t="str">
        <f>TEXT(Table1[[#This Row],[Date]],"MMM")</f>
        <v>Oct</v>
      </c>
      <c r="E197" s="5" t="s">
        <v>53</v>
      </c>
      <c r="F197" s="3" t="s">
        <v>15</v>
      </c>
      <c r="G197" s="3" t="s">
        <v>23</v>
      </c>
      <c r="H197" s="3" t="s">
        <v>17</v>
      </c>
      <c r="I197" s="3">
        <v>1</v>
      </c>
      <c r="J197" s="3">
        <v>4950</v>
      </c>
      <c r="K197" s="3">
        <v>5500</v>
      </c>
      <c r="L197" s="3">
        <v>5</v>
      </c>
      <c r="M197">
        <f>Table1[[#This Row],[Qty]]*Table1[[#This Row],[Sales Price]]</f>
        <v>27500</v>
      </c>
      <c r="N197">
        <f>Table1[[#This Row],[Qty]]*Table1[[#This Row],[Cost]]</f>
        <v>24750</v>
      </c>
      <c r="O197">
        <f>Table1[[#This Row],[Revenue]]-Table1[[#This Row],[Total Cost]]</f>
        <v>2750</v>
      </c>
    </row>
    <row r="198" spans="1:15">
      <c r="A198" s="3">
        <v>197</v>
      </c>
      <c r="B198" s="4">
        <v>44862</v>
      </c>
      <c r="C198" s="4" t="str">
        <f>TEXT(Table1[[#This Row],[Date]],"YYYY")</f>
        <v>2022</v>
      </c>
      <c r="D198" s="4" t="str">
        <f>TEXT(Table1[[#This Row],[Date]],"MMM")</f>
        <v>Oct</v>
      </c>
      <c r="E198" s="5" t="s">
        <v>58</v>
      </c>
      <c r="F198" s="3" t="s">
        <v>61</v>
      </c>
      <c r="G198" s="3" t="s">
        <v>25</v>
      </c>
      <c r="H198" s="3" t="s">
        <v>17</v>
      </c>
      <c r="I198" s="3">
        <v>1</v>
      </c>
      <c r="J198" s="3">
        <v>3150</v>
      </c>
      <c r="K198" s="3">
        <v>3500</v>
      </c>
      <c r="L198" s="3">
        <v>7</v>
      </c>
      <c r="M198">
        <f>Table1[[#This Row],[Qty]]*Table1[[#This Row],[Sales Price]]</f>
        <v>24500</v>
      </c>
      <c r="N198">
        <f>Table1[[#This Row],[Qty]]*Table1[[#This Row],[Cost]]</f>
        <v>22050</v>
      </c>
      <c r="O198">
        <f>Table1[[#This Row],[Revenue]]-Table1[[#This Row],[Total Cost]]</f>
        <v>2450</v>
      </c>
    </row>
    <row r="199" spans="1:15">
      <c r="A199" s="3">
        <v>198</v>
      </c>
      <c r="B199" s="4">
        <v>44863</v>
      </c>
      <c r="C199" s="4" t="str">
        <f>TEXT(Table1[[#This Row],[Date]],"YYYY")</f>
        <v>2022</v>
      </c>
      <c r="D199" s="4" t="str">
        <f>TEXT(Table1[[#This Row],[Date]],"MMM")</f>
        <v>Oct</v>
      </c>
      <c r="E199" s="5" t="s">
        <v>39</v>
      </c>
      <c r="F199" s="3" t="s">
        <v>18</v>
      </c>
      <c r="G199" s="3" t="s">
        <v>26</v>
      </c>
      <c r="H199" s="3" t="s">
        <v>17</v>
      </c>
      <c r="I199" s="3">
        <v>1</v>
      </c>
      <c r="J199" s="3">
        <v>2700</v>
      </c>
      <c r="K199" s="3">
        <v>3000</v>
      </c>
      <c r="L199" s="3">
        <v>4</v>
      </c>
      <c r="M199">
        <f>Table1[[#This Row],[Qty]]*Table1[[#This Row],[Sales Price]]</f>
        <v>12000</v>
      </c>
      <c r="N199">
        <f>Table1[[#This Row],[Qty]]*Table1[[#This Row],[Cost]]</f>
        <v>10800</v>
      </c>
      <c r="O199">
        <f>Table1[[#This Row],[Revenue]]-Table1[[#This Row],[Total Cost]]</f>
        <v>1200</v>
      </c>
    </row>
    <row r="200" spans="1:15">
      <c r="A200" s="3">
        <v>199</v>
      </c>
      <c r="B200" s="4">
        <v>44864</v>
      </c>
      <c r="C200" s="4" t="str">
        <f>TEXT(Table1[[#This Row],[Date]],"YYYY")</f>
        <v>2022</v>
      </c>
      <c r="D200" s="4" t="str">
        <f>TEXT(Table1[[#This Row],[Date]],"MMM")</f>
        <v>Oct</v>
      </c>
      <c r="E200" s="5" t="s">
        <v>31</v>
      </c>
      <c r="F200" s="3" t="s">
        <v>15</v>
      </c>
      <c r="G200" s="3" t="s">
        <v>37</v>
      </c>
      <c r="H200" s="3" t="s">
        <v>17</v>
      </c>
      <c r="I200" s="3">
        <v>1</v>
      </c>
      <c r="J200" s="3">
        <v>4050</v>
      </c>
      <c r="K200" s="3">
        <v>4500</v>
      </c>
      <c r="L200" s="3">
        <v>8</v>
      </c>
      <c r="M200">
        <f>Table1[[#This Row],[Qty]]*Table1[[#This Row],[Sales Price]]</f>
        <v>36000</v>
      </c>
      <c r="N200">
        <f>Table1[[#This Row],[Qty]]*Table1[[#This Row],[Cost]]</f>
        <v>32400</v>
      </c>
      <c r="O200">
        <f>Table1[[#This Row],[Revenue]]-Table1[[#This Row],[Total Cost]]</f>
        <v>3600</v>
      </c>
    </row>
    <row r="201" spans="1:15">
      <c r="A201" s="3">
        <v>200</v>
      </c>
      <c r="B201" s="4">
        <v>44865</v>
      </c>
      <c r="C201" s="4" t="str">
        <f>TEXT(Table1[[#This Row],[Date]],"YYYY")</f>
        <v>2022</v>
      </c>
      <c r="D201" s="4" t="str">
        <f>TEXT(Table1[[#This Row],[Date]],"MMM")</f>
        <v>Oct</v>
      </c>
      <c r="E201" s="5" t="s">
        <v>22</v>
      </c>
      <c r="F201" s="3" t="s">
        <v>61</v>
      </c>
      <c r="G201" s="3" t="s">
        <v>41</v>
      </c>
      <c r="H201" s="3" t="s">
        <v>28</v>
      </c>
      <c r="I201" s="3">
        <v>1</v>
      </c>
      <c r="J201" s="3">
        <v>8280</v>
      </c>
      <c r="K201" s="3">
        <v>9200</v>
      </c>
      <c r="L201" s="3">
        <v>8</v>
      </c>
      <c r="M201">
        <f>Table1[[#This Row],[Qty]]*Table1[[#This Row],[Sales Price]]</f>
        <v>73600</v>
      </c>
      <c r="N201">
        <f>Table1[[#This Row],[Qty]]*Table1[[#This Row],[Cost]]</f>
        <v>66240</v>
      </c>
      <c r="O201">
        <f>Table1[[#This Row],[Revenue]]-Table1[[#This Row],[Total Cost]]</f>
        <v>7360</v>
      </c>
    </row>
    <row r="202" spans="1:15">
      <c r="A202" s="3">
        <v>201</v>
      </c>
      <c r="B202" s="4">
        <v>44866</v>
      </c>
      <c r="C202" s="4" t="str">
        <f>TEXT(Table1[[#This Row],[Date]],"YYYY")</f>
        <v>2022</v>
      </c>
      <c r="D202" s="4" t="str">
        <f>TEXT(Table1[[#This Row],[Date]],"MMM")</f>
        <v>Nov</v>
      </c>
      <c r="E202" s="5" t="s">
        <v>40</v>
      </c>
      <c r="F202" s="3" t="s">
        <v>18</v>
      </c>
      <c r="G202" s="3" t="s">
        <v>16</v>
      </c>
      <c r="H202" s="3" t="s">
        <v>17</v>
      </c>
      <c r="I202" s="3">
        <v>1</v>
      </c>
      <c r="J202" s="3">
        <v>4950</v>
      </c>
      <c r="K202" s="3">
        <v>5500</v>
      </c>
      <c r="L202" s="3">
        <v>9</v>
      </c>
      <c r="M202">
        <f>Table1[[#This Row],[Qty]]*Table1[[#This Row],[Sales Price]]</f>
        <v>49500</v>
      </c>
      <c r="N202">
        <f>Table1[[#This Row],[Qty]]*Table1[[#This Row],[Cost]]</f>
        <v>44550</v>
      </c>
      <c r="O202">
        <f>Table1[[#This Row],[Revenue]]-Table1[[#This Row],[Total Cost]]</f>
        <v>4950</v>
      </c>
    </row>
    <row r="203" spans="1:15">
      <c r="A203" s="3">
        <v>202</v>
      </c>
      <c r="B203" s="4">
        <v>44867</v>
      </c>
      <c r="C203" s="4" t="str">
        <f>TEXT(Table1[[#This Row],[Date]],"YYYY")</f>
        <v>2022</v>
      </c>
      <c r="D203" s="4" t="str">
        <f>TEXT(Table1[[#This Row],[Date]],"MMM")</f>
        <v>Nov</v>
      </c>
      <c r="E203" s="5" t="s">
        <v>33</v>
      </c>
      <c r="F203" s="3" t="s">
        <v>15</v>
      </c>
      <c r="G203" s="3" t="s">
        <v>19</v>
      </c>
      <c r="H203" s="3" t="s">
        <v>17</v>
      </c>
      <c r="I203" s="3">
        <v>1</v>
      </c>
      <c r="J203" s="3">
        <v>3150</v>
      </c>
      <c r="K203" s="3">
        <v>3500</v>
      </c>
      <c r="L203" s="3">
        <v>2</v>
      </c>
      <c r="M203">
        <f>Table1[[#This Row],[Qty]]*Table1[[#This Row],[Sales Price]]</f>
        <v>7000</v>
      </c>
      <c r="N203">
        <f>Table1[[#This Row],[Qty]]*Table1[[#This Row],[Cost]]</f>
        <v>6300</v>
      </c>
      <c r="O203">
        <f>Table1[[#This Row],[Revenue]]-Table1[[#This Row],[Total Cost]]</f>
        <v>700</v>
      </c>
    </row>
    <row r="204" spans="1:15">
      <c r="A204" s="3">
        <v>203</v>
      </c>
      <c r="B204" s="4">
        <v>44868</v>
      </c>
      <c r="C204" s="4" t="str">
        <f>TEXT(Table1[[#This Row],[Date]],"YYYY")</f>
        <v>2022</v>
      </c>
      <c r="D204" s="4" t="str">
        <f>TEXT(Table1[[#This Row],[Date]],"MMM")</f>
        <v>Nov</v>
      </c>
      <c r="E204" s="5" t="s">
        <v>33</v>
      </c>
      <c r="F204" s="3" t="s">
        <v>61</v>
      </c>
      <c r="G204" s="3" t="s">
        <v>21</v>
      </c>
      <c r="H204" s="3" t="s">
        <v>17</v>
      </c>
      <c r="I204" s="3"/>
      <c r="J204" s="3">
        <v>2700</v>
      </c>
      <c r="K204" s="3">
        <v>3000</v>
      </c>
      <c r="L204" s="3">
        <v>1</v>
      </c>
      <c r="M204">
        <f>Table1[[#This Row],[Qty]]*Table1[[#This Row],[Sales Price]]</f>
        <v>3000</v>
      </c>
      <c r="N204">
        <f>Table1[[#This Row],[Qty]]*Table1[[#This Row],[Cost]]</f>
        <v>2700</v>
      </c>
      <c r="O204">
        <f>Table1[[#This Row],[Revenue]]-Table1[[#This Row],[Total Cost]]</f>
        <v>300</v>
      </c>
    </row>
    <row r="205" spans="1:15">
      <c r="A205" s="3">
        <v>204</v>
      </c>
      <c r="B205" s="4">
        <v>44869</v>
      </c>
      <c r="C205" s="4" t="str">
        <f>TEXT(Table1[[#This Row],[Date]],"YYYY")</f>
        <v>2022</v>
      </c>
      <c r="D205" s="4" t="str">
        <f>TEXT(Table1[[#This Row],[Date]],"MMM")</f>
        <v>Nov</v>
      </c>
      <c r="E205" s="5" t="s">
        <v>39</v>
      </c>
      <c r="F205" s="3" t="s">
        <v>18</v>
      </c>
      <c r="G205" s="3" t="s">
        <v>23</v>
      </c>
      <c r="H205" s="3" t="s">
        <v>17</v>
      </c>
      <c r="I205" s="3"/>
      <c r="J205" s="3">
        <v>4050</v>
      </c>
      <c r="K205" s="3">
        <v>4500</v>
      </c>
      <c r="L205" s="3">
        <v>22</v>
      </c>
      <c r="M205">
        <f>Table1[[#This Row],[Qty]]*Table1[[#This Row],[Sales Price]]</f>
        <v>99000</v>
      </c>
      <c r="N205">
        <f>Table1[[#This Row],[Qty]]*Table1[[#This Row],[Cost]]</f>
        <v>89100</v>
      </c>
      <c r="O205">
        <f>Table1[[#This Row],[Revenue]]-Table1[[#This Row],[Total Cost]]</f>
        <v>9900</v>
      </c>
    </row>
    <row r="206" spans="1:15">
      <c r="A206" s="3">
        <v>205</v>
      </c>
      <c r="B206" s="4">
        <v>44870</v>
      </c>
      <c r="C206" s="4" t="str">
        <f>TEXT(Table1[[#This Row],[Date]],"YYYY")</f>
        <v>2022</v>
      </c>
      <c r="D206" s="4" t="str">
        <f>TEXT(Table1[[#This Row],[Date]],"MMM")</f>
        <v>Nov</v>
      </c>
      <c r="E206" s="5" t="s">
        <v>22</v>
      </c>
      <c r="F206" s="3" t="s">
        <v>15</v>
      </c>
      <c r="G206" s="3" t="s">
        <v>25</v>
      </c>
      <c r="H206" s="3" t="s">
        <v>17</v>
      </c>
      <c r="I206" s="3">
        <v>1</v>
      </c>
      <c r="J206" s="3">
        <v>8280</v>
      </c>
      <c r="K206" s="3">
        <v>9200</v>
      </c>
      <c r="L206" s="3">
        <v>8</v>
      </c>
      <c r="M206">
        <f>Table1[[#This Row],[Qty]]*Table1[[#This Row],[Sales Price]]</f>
        <v>73600</v>
      </c>
      <c r="N206">
        <f>Table1[[#This Row],[Qty]]*Table1[[#This Row],[Cost]]</f>
        <v>66240</v>
      </c>
      <c r="O206">
        <f>Table1[[#This Row],[Revenue]]-Table1[[#This Row],[Total Cost]]</f>
        <v>7360</v>
      </c>
    </row>
    <row r="207" spans="1:15">
      <c r="A207" s="3">
        <v>206</v>
      </c>
      <c r="B207" s="4">
        <v>44871</v>
      </c>
      <c r="C207" s="4" t="str">
        <f>TEXT(Table1[[#This Row],[Date]],"YYYY")</f>
        <v>2022</v>
      </c>
      <c r="D207" s="4" t="str">
        <f>TEXT(Table1[[#This Row],[Date]],"MMM")</f>
        <v>Nov</v>
      </c>
      <c r="E207" s="5" t="s">
        <v>40</v>
      </c>
      <c r="F207" s="3" t="s">
        <v>61</v>
      </c>
      <c r="G207" s="3" t="s">
        <v>26</v>
      </c>
      <c r="H207" s="3" t="s">
        <v>17</v>
      </c>
      <c r="I207" s="3">
        <v>1</v>
      </c>
      <c r="J207" s="3">
        <v>4950</v>
      </c>
      <c r="K207" s="3">
        <v>5500</v>
      </c>
      <c r="L207" s="3">
        <v>7</v>
      </c>
      <c r="M207">
        <f>Table1[[#This Row],[Qty]]*Table1[[#This Row],[Sales Price]]</f>
        <v>38500</v>
      </c>
      <c r="N207">
        <f>Table1[[#This Row],[Qty]]*Table1[[#This Row],[Cost]]</f>
        <v>34650</v>
      </c>
      <c r="O207">
        <f>Table1[[#This Row],[Revenue]]-Table1[[#This Row],[Total Cost]]</f>
        <v>3850</v>
      </c>
    </row>
    <row r="208" spans="1:15">
      <c r="A208" s="3">
        <v>207</v>
      </c>
      <c r="B208" s="4">
        <v>44872</v>
      </c>
      <c r="C208" s="4" t="str">
        <f>TEXT(Table1[[#This Row],[Date]],"YYYY")</f>
        <v>2022</v>
      </c>
      <c r="D208" s="4" t="str">
        <f>TEXT(Table1[[#This Row],[Date]],"MMM")</f>
        <v>Nov</v>
      </c>
      <c r="E208" s="5" t="s">
        <v>49</v>
      </c>
      <c r="F208" s="3" t="s">
        <v>18</v>
      </c>
      <c r="G208" s="3" t="s">
        <v>27</v>
      </c>
      <c r="H208" s="3" t="s">
        <v>28</v>
      </c>
      <c r="I208" s="3">
        <v>1</v>
      </c>
      <c r="J208" s="3">
        <v>3150</v>
      </c>
      <c r="K208" s="3">
        <v>3500</v>
      </c>
      <c r="L208" s="3">
        <v>56</v>
      </c>
      <c r="M208">
        <f>Table1[[#This Row],[Qty]]*Table1[[#This Row],[Sales Price]]</f>
        <v>196000</v>
      </c>
      <c r="N208">
        <f>Table1[[#This Row],[Qty]]*Table1[[#This Row],[Cost]]</f>
        <v>176400</v>
      </c>
      <c r="O208">
        <f>Table1[[#This Row],[Revenue]]-Table1[[#This Row],[Total Cost]]</f>
        <v>19600</v>
      </c>
    </row>
    <row r="209" spans="1:15">
      <c r="A209" s="3">
        <v>208</v>
      </c>
      <c r="B209" s="4">
        <v>44873</v>
      </c>
      <c r="C209" s="4" t="str">
        <f>TEXT(Table1[[#This Row],[Date]],"YYYY")</f>
        <v>2022</v>
      </c>
      <c r="D209" s="4" t="str">
        <f>TEXT(Table1[[#This Row],[Date]],"MMM")</f>
        <v>Nov</v>
      </c>
      <c r="E209" s="5" t="s">
        <v>22</v>
      </c>
      <c r="F209" s="3" t="s">
        <v>15</v>
      </c>
      <c r="G209" s="3" t="s">
        <v>30</v>
      </c>
      <c r="H209" s="3" t="s">
        <v>28</v>
      </c>
      <c r="I209" s="3">
        <v>1</v>
      </c>
      <c r="J209" s="3">
        <v>2700</v>
      </c>
      <c r="K209" s="3">
        <v>3000</v>
      </c>
      <c r="L209" s="3">
        <v>10</v>
      </c>
      <c r="M209">
        <f>Table1[[#This Row],[Qty]]*Table1[[#This Row],[Sales Price]]</f>
        <v>30000</v>
      </c>
      <c r="N209">
        <f>Table1[[#This Row],[Qty]]*Table1[[#This Row],[Cost]]</f>
        <v>27000</v>
      </c>
      <c r="O209">
        <f>Table1[[#This Row],[Revenue]]-Table1[[#This Row],[Total Cost]]</f>
        <v>3000</v>
      </c>
    </row>
    <row r="210" spans="1:15">
      <c r="A210" s="3">
        <v>209</v>
      </c>
      <c r="B210" s="4">
        <v>44874</v>
      </c>
      <c r="C210" s="4" t="str">
        <f>TEXT(Table1[[#This Row],[Date]],"YYYY")</f>
        <v>2022</v>
      </c>
      <c r="D210" s="4" t="str">
        <f>TEXT(Table1[[#This Row],[Date]],"MMM")</f>
        <v>Nov</v>
      </c>
      <c r="E210" s="5" t="s">
        <v>39</v>
      </c>
      <c r="F210" s="3" t="s">
        <v>61</v>
      </c>
      <c r="G210" s="3" t="s">
        <v>32</v>
      </c>
      <c r="H210" s="3" t="s">
        <v>28</v>
      </c>
      <c r="I210" s="3">
        <v>1</v>
      </c>
      <c r="J210" s="3">
        <v>4050</v>
      </c>
      <c r="K210" s="3">
        <v>4500</v>
      </c>
      <c r="L210" s="3">
        <v>9</v>
      </c>
      <c r="M210">
        <f>Table1[[#This Row],[Qty]]*Table1[[#This Row],[Sales Price]]</f>
        <v>40500</v>
      </c>
      <c r="N210">
        <f>Table1[[#This Row],[Qty]]*Table1[[#This Row],[Cost]]</f>
        <v>36450</v>
      </c>
      <c r="O210">
        <f>Table1[[#This Row],[Revenue]]-Table1[[#This Row],[Total Cost]]</f>
        <v>4050</v>
      </c>
    </row>
    <row r="211" spans="1:15">
      <c r="A211" s="3">
        <v>210</v>
      </c>
      <c r="B211" s="4">
        <v>44875</v>
      </c>
      <c r="C211" s="4" t="str">
        <f>TEXT(Table1[[#This Row],[Date]],"YYYY")</f>
        <v>2022</v>
      </c>
      <c r="D211" s="4" t="str">
        <f>TEXT(Table1[[#This Row],[Date]],"MMM")</f>
        <v>Nov</v>
      </c>
      <c r="E211" s="5" t="s">
        <v>58</v>
      </c>
      <c r="F211" s="3" t="s">
        <v>18</v>
      </c>
      <c r="G211" s="3" t="s">
        <v>34</v>
      </c>
      <c r="H211" s="3" t="s">
        <v>28</v>
      </c>
      <c r="I211" s="3">
        <v>1</v>
      </c>
      <c r="J211" s="3">
        <v>24750</v>
      </c>
      <c r="K211" s="3">
        <v>27500</v>
      </c>
      <c r="L211" s="3">
        <v>27</v>
      </c>
      <c r="M211">
        <f>Table1[[#This Row],[Qty]]*Table1[[#This Row],[Sales Price]]</f>
        <v>742500</v>
      </c>
      <c r="N211">
        <f>Table1[[#This Row],[Qty]]*Table1[[#This Row],[Cost]]</f>
        <v>668250</v>
      </c>
      <c r="O211">
        <f>Table1[[#This Row],[Revenue]]-Table1[[#This Row],[Total Cost]]</f>
        <v>74250</v>
      </c>
    </row>
    <row r="212" spans="1:15">
      <c r="A212" s="3">
        <v>211</v>
      </c>
      <c r="B212" s="4">
        <v>44876</v>
      </c>
      <c r="C212" s="4" t="str">
        <f>TEXT(Table1[[#This Row],[Date]],"YYYY")</f>
        <v>2022</v>
      </c>
      <c r="D212" s="4" t="str">
        <f>TEXT(Table1[[#This Row],[Date]],"MMM")</f>
        <v>Nov</v>
      </c>
      <c r="E212" s="5" t="s">
        <v>31</v>
      </c>
      <c r="F212" s="3" t="s">
        <v>15</v>
      </c>
      <c r="G212" s="3" t="s">
        <v>36</v>
      </c>
      <c r="H212" s="3" t="s">
        <v>17</v>
      </c>
      <c r="I212" s="3"/>
      <c r="J212" s="3">
        <v>44550</v>
      </c>
      <c r="K212" s="3">
        <v>49500</v>
      </c>
      <c r="L212" s="3">
        <v>15</v>
      </c>
      <c r="M212">
        <f>Table1[[#This Row],[Qty]]*Table1[[#This Row],[Sales Price]]</f>
        <v>742500</v>
      </c>
      <c r="N212">
        <f>Table1[[#This Row],[Qty]]*Table1[[#This Row],[Cost]]</f>
        <v>668250</v>
      </c>
      <c r="O212">
        <f>Table1[[#This Row],[Revenue]]-Table1[[#This Row],[Total Cost]]</f>
        <v>74250</v>
      </c>
    </row>
    <row r="213" spans="1:15">
      <c r="A213" s="3">
        <v>212</v>
      </c>
      <c r="B213" s="4">
        <v>44877</v>
      </c>
      <c r="C213" s="4" t="str">
        <f>TEXT(Table1[[#This Row],[Date]],"YYYY")</f>
        <v>2022</v>
      </c>
      <c r="D213" s="4" t="str">
        <f>TEXT(Table1[[#This Row],[Date]],"MMM")</f>
        <v>Nov</v>
      </c>
      <c r="E213" s="5" t="s">
        <v>50</v>
      </c>
      <c r="F213" s="3" t="s">
        <v>61</v>
      </c>
      <c r="G213" s="3" t="s">
        <v>37</v>
      </c>
      <c r="H213" s="3" t="s">
        <v>17</v>
      </c>
      <c r="I213" s="3"/>
      <c r="J213" s="3">
        <v>9000</v>
      </c>
      <c r="K213" s="3">
        <v>10000</v>
      </c>
      <c r="L213" s="3">
        <v>3</v>
      </c>
      <c r="M213">
        <f>Table1[[#This Row],[Qty]]*Table1[[#This Row],[Sales Price]]</f>
        <v>30000</v>
      </c>
      <c r="N213">
        <f>Table1[[#This Row],[Qty]]*Table1[[#This Row],[Cost]]</f>
        <v>27000</v>
      </c>
      <c r="O213">
        <f>Table1[[#This Row],[Revenue]]-Table1[[#This Row],[Total Cost]]</f>
        <v>3000</v>
      </c>
    </row>
    <row r="214" spans="1:15">
      <c r="A214" s="3">
        <v>213</v>
      </c>
      <c r="B214" s="4">
        <v>44878</v>
      </c>
      <c r="C214" s="4" t="str">
        <f>TEXT(Table1[[#This Row],[Date]],"YYYY")</f>
        <v>2022</v>
      </c>
      <c r="D214" s="4" t="str">
        <f>TEXT(Table1[[#This Row],[Date]],"MMM")</f>
        <v>Nov</v>
      </c>
      <c r="E214" s="5" t="s">
        <v>54</v>
      </c>
      <c r="F214" s="3" t="s">
        <v>18</v>
      </c>
      <c r="G214" s="3" t="s">
        <v>38</v>
      </c>
      <c r="H214" s="3" t="s">
        <v>17</v>
      </c>
      <c r="I214" s="3">
        <v>1</v>
      </c>
      <c r="J214" s="3">
        <v>8640</v>
      </c>
      <c r="K214" s="3">
        <v>9600</v>
      </c>
      <c r="L214" s="3">
        <v>9</v>
      </c>
      <c r="M214">
        <f>Table1[[#This Row],[Qty]]*Table1[[#This Row],[Sales Price]]</f>
        <v>86400</v>
      </c>
      <c r="N214">
        <f>Table1[[#This Row],[Qty]]*Table1[[#This Row],[Cost]]</f>
        <v>77760</v>
      </c>
      <c r="O214">
        <f>Table1[[#This Row],[Revenue]]-Table1[[#This Row],[Total Cost]]</f>
        <v>8640</v>
      </c>
    </row>
    <row r="215" spans="1:15">
      <c r="A215" s="3">
        <v>214</v>
      </c>
      <c r="B215" s="4">
        <v>44879</v>
      </c>
      <c r="C215" s="4" t="str">
        <f>TEXT(Table1[[#This Row],[Date]],"YYYY")</f>
        <v>2022</v>
      </c>
      <c r="D215" s="4" t="str">
        <f>TEXT(Table1[[#This Row],[Date]],"MMM")</f>
        <v>Nov</v>
      </c>
      <c r="E215" s="5" t="s">
        <v>33</v>
      </c>
      <c r="F215" s="3" t="s">
        <v>15</v>
      </c>
      <c r="G215" s="3" t="s">
        <v>19</v>
      </c>
      <c r="H215" s="3" t="s">
        <v>17</v>
      </c>
      <c r="I215" s="3">
        <v>0</v>
      </c>
      <c r="J215" s="3">
        <v>9000</v>
      </c>
      <c r="K215" s="3">
        <v>10000</v>
      </c>
      <c r="L215" s="3">
        <v>22</v>
      </c>
      <c r="M215">
        <f>Table1[[#This Row],[Qty]]*Table1[[#This Row],[Sales Price]]</f>
        <v>220000</v>
      </c>
      <c r="N215">
        <f>Table1[[#This Row],[Qty]]*Table1[[#This Row],[Cost]]</f>
        <v>198000</v>
      </c>
      <c r="O215">
        <f>Table1[[#This Row],[Revenue]]-Table1[[#This Row],[Total Cost]]</f>
        <v>22000</v>
      </c>
    </row>
    <row r="216" spans="1:15">
      <c r="A216" s="3">
        <v>215</v>
      </c>
      <c r="B216" s="4">
        <v>44880</v>
      </c>
      <c r="C216" s="4" t="str">
        <f>TEXT(Table1[[#This Row],[Date]],"YYYY")</f>
        <v>2022</v>
      </c>
      <c r="D216" s="4" t="str">
        <f>TEXT(Table1[[#This Row],[Date]],"MMM")</f>
        <v>Nov</v>
      </c>
      <c r="E216" s="5" t="s">
        <v>22</v>
      </c>
      <c r="F216" s="3" t="s">
        <v>61</v>
      </c>
      <c r="G216" s="3" t="s">
        <v>21</v>
      </c>
      <c r="H216" s="3" t="s">
        <v>17</v>
      </c>
      <c r="I216" s="3">
        <v>1</v>
      </c>
      <c r="J216" s="3">
        <v>3870</v>
      </c>
      <c r="K216" s="3">
        <v>4300</v>
      </c>
      <c r="L216" s="3">
        <v>16</v>
      </c>
      <c r="M216">
        <f>Table1[[#This Row],[Qty]]*Table1[[#This Row],[Sales Price]]</f>
        <v>68800</v>
      </c>
      <c r="N216">
        <f>Table1[[#This Row],[Qty]]*Table1[[#This Row],[Cost]]</f>
        <v>61920</v>
      </c>
      <c r="O216">
        <f>Table1[[#This Row],[Revenue]]-Table1[[#This Row],[Total Cost]]</f>
        <v>6880</v>
      </c>
    </row>
    <row r="217" spans="1:15">
      <c r="A217" s="3">
        <v>216</v>
      </c>
      <c r="B217" s="4">
        <v>44881</v>
      </c>
      <c r="C217" s="4" t="str">
        <f>TEXT(Table1[[#This Row],[Date]],"YYYY")</f>
        <v>2022</v>
      </c>
      <c r="D217" s="4" t="str">
        <f>TEXT(Table1[[#This Row],[Date]],"MMM")</f>
        <v>Nov</v>
      </c>
      <c r="E217" s="5" t="s">
        <v>63</v>
      </c>
      <c r="F217" s="3" t="s">
        <v>18</v>
      </c>
      <c r="G217" s="3" t="s">
        <v>23</v>
      </c>
      <c r="H217" s="3" t="s">
        <v>17</v>
      </c>
      <c r="I217" s="3">
        <v>1</v>
      </c>
      <c r="J217" s="3">
        <v>45450</v>
      </c>
      <c r="K217" s="3">
        <v>50500</v>
      </c>
      <c r="L217" s="3">
        <v>6</v>
      </c>
      <c r="M217">
        <f>Table1[[#This Row],[Qty]]*Table1[[#This Row],[Sales Price]]</f>
        <v>303000</v>
      </c>
      <c r="N217">
        <f>Table1[[#This Row],[Qty]]*Table1[[#This Row],[Cost]]</f>
        <v>272700</v>
      </c>
      <c r="O217">
        <f>Table1[[#This Row],[Revenue]]-Table1[[#This Row],[Total Cost]]</f>
        <v>30300</v>
      </c>
    </row>
    <row r="218" spans="1:15">
      <c r="A218" s="3">
        <v>217</v>
      </c>
      <c r="B218" s="4">
        <v>44882</v>
      </c>
      <c r="C218" s="4" t="str">
        <f>TEXT(Table1[[#This Row],[Date]],"YYYY")</f>
        <v>2022</v>
      </c>
      <c r="D218" s="4" t="str">
        <f>TEXT(Table1[[#This Row],[Date]],"MMM")</f>
        <v>Nov</v>
      </c>
      <c r="E218" s="5" t="s">
        <v>31</v>
      </c>
      <c r="F218" s="3" t="s">
        <v>15</v>
      </c>
      <c r="G218" s="3" t="s">
        <v>25</v>
      </c>
      <c r="H218" s="3" t="s">
        <v>17</v>
      </c>
      <c r="I218" s="3">
        <v>1</v>
      </c>
      <c r="J218" s="3">
        <v>18225</v>
      </c>
      <c r="K218" s="3">
        <v>20250</v>
      </c>
      <c r="L218" s="3">
        <v>3</v>
      </c>
      <c r="M218">
        <f>Table1[[#This Row],[Qty]]*Table1[[#This Row],[Sales Price]]</f>
        <v>60750</v>
      </c>
      <c r="N218">
        <f>Table1[[#This Row],[Qty]]*Table1[[#This Row],[Cost]]</f>
        <v>54675</v>
      </c>
      <c r="O218">
        <f>Table1[[#This Row],[Revenue]]-Table1[[#This Row],[Total Cost]]</f>
        <v>6075</v>
      </c>
    </row>
    <row r="219" spans="1:15">
      <c r="A219" s="3">
        <v>218</v>
      </c>
      <c r="B219" s="4">
        <v>44883</v>
      </c>
      <c r="C219" s="4" t="str">
        <f>TEXT(Table1[[#This Row],[Date]],"YYYY")</f>
        <v>2022</v>
      </c>
      <c r="D219" s="4" t="str">
        <f>TEXT(Table1[[#This Row],[Date]],"MMM")</f>
        <v>Nov</v>
      </c>
      <c r="E219" s="5" t="s">
        <v>24</v>
      </c>
      <c r="F219" s="3" t="s">
        <v>61</v>
      </c>
      <c r="G219" s="3" t="s">
        <v>26</v>
      </c>
      <c r="H219" s="3" t="s">
        <v>17</v>
      </c>
      <c r="I219" s="3">
        <v>1</v>
      </c>
      <c r="J219" s="3">
        <v>1800</v>
      </c>
      <c r="K219" s="3">
        <v>2000</v>
      </c>
      <c r="L219" s="3">
        <v>5</v>
      </c>
      <c r="M219">
        <f>Table1[[#This Row],[Qty]]*Table1[[#This Row],[Sales Price]]</f>
        <v>10000</v>
      </c>
      <c r="N219">
        <f>Table1[[#This Row],[Qty]]*Table1[[#This Row],[Cost]]</f>
        <v>9000</v>
      </c>
      <c r="O219">
        <f>Table1[[#This Row],[Revenue]]-Table1[[#This Row],[Total Cost]]</f>
        <v>1000</v>
      </c>
    </row>
    <row r="220" spans="1:15">
      <c r="A220" s="3">
        <v>219</v>
      </c>
      <c r="B220" s="4">
        <v>44884</v>
      </c>
      <c r="C220" s="4" t="str">
        <f>TEXT(Table1[[#This Row],[Date]],"YYYY")</f>
        <v>2022</v>
      </c>
      <c r="D220" s="4" t="str">
        <f>TEXT(Table1[[#This Row],[Date]],"MMM")</f>
        <v>Nov</v>
      </c>
      <c r="E220" s="5" t="s">
        <v>40</v>
      </c>
      <c r="F220" s="3" t="s">
        <v>18</v>
      </c>
      <c r="G220" s="3" t="s">
        <v>37</v>
      </c>
      <c r="H220" s="3" t="s">
        <v>17</v>
      </c>
      <c r="I220" s="3"/>
      <c r="J220" s="3">
        <v>48600</v>
      </c>
      <c r="K220" s="3">
        <v>54000</v>
      </c>
      <c r="L220" s="3">
        <v>1</v>
      </c>
      <c r="M220">
        <f>Table1[[#This Row],[Qty]]*Table1[[#This Row],[Sales Price]]</f>
        <v>54000</v>
      </c>
      <c r="N220">
        <f>Table1[[#This Row],[Qty]]*Table1[[#This Row],[Cost]]</f>
        <v>48600</v>
      </c>
      <c r="O220">
        <f>Table1[[#This Row],[Revenue]]-Table1[[#This Row],[Total Cost]]</f>
        <v>5400</v>
      </c>
    </row>
    <row r="221" spans="1:15">
      <c r="A221" s="3">
        <v>220</v>
      </c>
      <c r="B221" s="4">
        <v>44885</v>
      </c>
      <c r="C221" s="4" t="str">
        <f>TEXT(Table1[[#This Row],[Date]],"YYYY")</f>
        <v>2022</v>
      </c>
      <c r="D221" s="4" t="str">
        <f>TEXT(Table1[[#This Row],[Date]],"MMM")</f>
        <v>Nov</v>
      </c>
      <c r="E221" s="5" t="s">
        <v>35</v>
      </c>
      <c r="F221" s="3" t="s">
        <v>15</v>
      </c>
      <c r="G221" s="3" t="s">
        <v>41</v>
      </c>
      <c r="H221" s="3" t="s">
        <v>28</v>
      </c>
      <c r="I221" s="3"/>
      <c r="J221" s="3">
        <v>72900</v>
      </c>
      <c r="K221" s="3">
        <v>81000</v>
      </c>
      <c r="L221" s="3">
        <v>5</v>
      </c>
      <c r="M221">
        <f>Table1[[#This Row],[Qty]]*Table1[[#This Row],[Sales Price]]</f>
        <v>405000</v>
      </c>
      <c r="N221">
        <f>Table1[[#This Row],[Qty]]*Table1[[#This Row],[Cost]]</f>
        <v>364500</v>
      </c>
      <c r="O221">
        <f>Table1[[#This Row],[Revenue]]-Table1[[#This Row],[Total Cost]]</f>
        <v>40500</v>
      </c>
    </row>
    <row r="222" spans="1:15">
      <c r="A222" s="3">
        <v>221</v>
      </c>
      <c r="B222" s="4">
        <v>44886</v>
      </c>
      <c r="C222" s="4" t="str">
        <f>TEXT(Table1[[#This Row],[Date]],"YYYY")</f>
        <v>2022</v>
      </c>
      <c r="D222" s="4" t="str">
        <f>TEXT(Table1[[#This Row],[Date]],"MMM")</f>
        <v>Nov</v>
      </c>
      <c r="E222" s="5" t="s">
        <v>14</v>
      </c>
      <c r="F222" s="3" t="s">
        <v>61</v>
      </c>
      <c r="G222" s="3" t="s">
        <v>16</v>
      </c>
      <c r="H222" s="3" t="s">
        <v>17</v>
      </c>
      <c r="I222" s="3">
        <v>1</v>
      </c>
      <c r="J222" s="3">
        <v>9450</v>
      </c>
      <c r="K222" s="3">
        <v>10500</v>
      </c>
      <c r="L222" s="3">
        <v>7</v>
      </c>
      <c r="M222">
        <f>Table1[[#This Row],[Qty]]*Table1[[#This Row],[Sales Price]]</f>
        <v>73500</v>
      </c>
      <c r="N222">
        <f>Table1[[#This Row],[Qty]]*Table1[[#This Row],[Cost]]</f>
        <v>66150</v>
      </c>
      <c r="O222">
        <f>Table1[[#This Row],[Revenue]]-Table1[[#This Row],[Total Cost]]</f>
        <v>7350</v>
      </c>
    </row>
    <row r="223" spans="1:15">
      <c r="A223" s="3">
        <v>222</v>
      </c>
      <c r="B223" s="4">
        <v>44887</v>
      </c>
      <c r="C223" s="4" t="str">
        <f>TEXT(Table1[[#This Row],[Date]],"YYYY")</f>
        <v>2022</v>
      </c>
      <c r="D223" s="4" t="str">
        <f>TEXT(Table1[[#This Row],[Date]],"MMM")</f>
        <v>Nov</v>
      </c>
      <c r="E223" s="5" t="s">
        <v>39</v>
      </c>
      <c r="F223" s="3" t="s">
        <v>18</v>
      </c>
      <c r="G223" s="3" t="s">
        <v>19</v>
      </c>
      <c r="H223" s="3" t="s">
        <v>17</v>
      </c>
      <c r="I223" s="3">
        <v>1</v>
      </c>
      <c r="J223" s="3">
        <v>36000</v>
      </c>
      <c r="K223" s="3">
        <v>40000</v>
      </c>
      <c r="L223" s="3">
        <v>4</v>
      </c>
      <c r="M223">
        <f>Table1[[#This Row],[Qty]]*Table1[[#This Row],[Sales Price]]</f>
        <v>160000</v>
      </c>
      <c r="N223">
        <f>Table1[[#This Row],[Qty]]*Table1[[#This Row],[Cost]]</f>
        <v>144000</v>
      </c>
      <c r="O223">
        <f>Table1[[#This Row],[Revenue]]-Table1[[#This Row],[Total Cost]]</f>
        <v>16000</v>
      </c>
    </row>
    <row r="224" spans="1:15">
      <c r="A224" s="3">
        <v>223</v>
      </c>
      <c r="B224" s="4">
        <v>44888</v>
      </c>
      <c r="C224" s="4" t="str">
        <f>TEXT(Table1[[#This Row],[Date]],"YYYY")</f>
        <v>2022</v>
      </c>
      <c r="D224" s="4" t="str">
        <f>TEXT(Table1[[#This Row],[Date]],"MMM")</f>
        <v>Nov</v>
      </c>
      <c r="E224" s="5" t="s">
        <v>65</v>
      </c>
      <c r="F224" s="3" t="s">
        <v>15</v>
      </c>
      <c r="G224" s="3" t="s">
        <v>21</v>
      </c>
      <c r="H224" s="3" t="s">
        <v>17</v>
      </c>
      <c r="I224" s="3">
        <v>1</v>
      </c>
      <c r="J224" s="3">
        <v>24300</v>
      </c>
      <c r="K224" s="3">
        <v>27000</v>
      </c>
      <c r="L224" s="3">
        <v>8</v>
      </c>
      <c r="M224">
        <f>Table1[[#This Row],[Qty]]*Table1[[#This Row],[Sales Price]]</f>
        <v>216000</v>
      </c>
      <c r="N224">
        <f>Table1[[#This Row],[Qty]]*Table1[[#This Row],[Cost]]</f>
        <v>194400</v>
      </c>
      <c r="O224">
        <f>Table1[[#This Row],[Revenue]]-Table1[[#This Row],[Total Cost]]</f>
        <v>21600</v>
      </c>
    </row>
    <row r="225" spans="1:15">
      <c r="A225" s="3">
        <v>224</v>
      </c>
      <c r="B225" s="4">
        <v>44889</v>
      </c>
      <c r="C225" s="4" t="str">
        <f>TEXT(Table1[[#This Row],[Date]],"YYYY")</f>
        <v>2022</v>
      </c>
      <c r="D225" s="4" t="str">
        <f>TEXT(Table1[[#This Row],[Date]],"MMM")</f>
        <v>Nov</v>
      </c>
      <c r="E225" s="5" t="s">
        <v>22</v>
      </c>
      <c r="F225" s="3" t="s">
        <v>61</v>
      </c>
      <c r="G225" s="3" t="s">
        <v>23</v>
      </c>
      <c r="H225" s="3" t="s">
        <v>17</v>
      </c>
      <c r="I225" s="3">
        <v>1</v>
      </c>
      <c r="J225" s="3">
        <v>9180</v>
      </c>
      <c r="K225" s="3">
        <v>10200</v>
      </c>
      <c r="L225" s="3">
        <v>8</v>
      </c>
      <c r="M225">
        <f>Table1[[#This Row],[Qty]]*Table1[[#This Row],[Sales Price]]</f>
        <v>81600</v>
      </c>
      <c r="N225">
        <f>Table1[[#This Row],[Qty]]*Table1[[#This Row],[Cost]]</f>
        <v>73440</v>
      </c>
      <c r="O225">
        <f>Table1[[#This Row],[Revenue]]-Table1[[#This Row],[Total Cost]]</f>
        <v>8160</v>
      </c>
    </row>
    <row r="226" spans="1:15">
      <c r="A226" s="3">
        <v>225</v>
      </c>
      <c r="B226" s="4">
        <v>44890</v>
      </c>
      <c r="C226" s="4" t="str">
        <f>TEXT(Table1[[#This Row],[Date]],"YYYY")</f>
        <v>2022</v>
      </c>
      <c r="D226" s="4" t="str">
        <f>TEXT(Table1[[#This Row],[Date]],"MMM")</f>
        <v>Nov</v>
      </c>
      <c r="E226" s="5" t="s">
        <v>39</v>
      </c>
      <c r="F226" s="3" t="s">
        <v>18</v>
      </c>
      <c r="G226" s="3" t="s">
        <v>25</v>
      </c>
      <c r="H226" s="3" t="s">
        <v>17</v>
      </c>
      <c r="I226" s="3">
        <v>1</v>
      </c>
      <c r="J226" s="3">
        <v>8640</v>
      </c>
      <c r="K226" s="3">
        <v>9600</v>
      </c>
      <c r="L226" s="3">
        <v>9</v>
      </c>
      <c r="M226">
        <f>Table1[[#This Row],[Qty]]*Table1[[#This Row],[Sales Price]]</f>
        <v>86400</v>
      </c>
      <c r="N226">
        <f>Table1[[#This Row],[Qty]]*Table1[[#This Row],[Cost]]</f>
        <v>77760</v>
      </c>
      <c r="O226">
        <f>Table1[[#This Row],[Revenue]]-Table1[[#This Row],[Total Cost]]</f>
        <v>8640</v>
      </c>
    </row>
    <row r="227" spans="1:15">
      <c r="A227" s="3">
        <v>226</v>
      </c>
      <c r="B227" s="4">
        <v>44891</v>
      </c>
      <c r="C227" s="4" t="str">
        <f>TEXT(Table1[[#This Row],[Date]],"YYYY")</f>
        <v>2022</v>
      </c>
      <c r="D227" s="4" t="str">
        <f>TEXT(Table1[[#This Row],[Date]],"MMM")</f>
        <v>Nov</v>
      </c>
      <c r="E227" s="5" t="s">
        <v>56</v>
      </c>
      <c r="F227" s="3" t="s">
        <v>15</v>
      </c>
      <c r="G227" s="3" t="s">
        <v>26</v>
      </c>
      <c r="H227" s="3" t="s">
        <v>17</v>
      </c>
      <c r="I227" s="3">
        <v>1</v>
      </c>
      <c r="J227" s="3">
        <v>8280</v>
      </c>
      <c r="K227" s="3">
        <v>9200</v>
      </c>
      <c r="L227" s="3">
        <v>2</v>
      </c>
      <c r="M227">
        <f>Table1[[#This Row],[Qty]]*Table1[[#This Row],[Sales Price]]</f>
        <v>18400</v>
      </c>
      <c r="N227">
        <f>Table1[[#This Row],[Qty]]*Table1[[#This Row],[Cost]]</f>
        <v>16560</v>
      </c>
      <c r="O227">
        <f>Table1[[#This Row],[Revenue]]-Table1[[#This Row],[Total Cost]]</f>
        <v>1840</v>
      </c>
    </row>
    <row r="228" spans="1:15">
      <c r="A228" s="3">
        <v>227</v>
      </c>
      <c r="B228" s="4">
        <v>44892</v>
      </c>
      <c r="C228" s="4" t="str">
        <f>TEXT(Table1[[#This Row],[Date]],"YYYY")</f>
        <v>2022</v>
      </c>
      <c r="D228" s="4" t="str">
        <f>TEXT(Table1[[#This Row],[Date]],"MMM")</f>
        <v>Nov</v>
      </c>
      <c r="E228" s="5" t="s">
        <v>29</v>
      </c>
      <c r="F228" s="3" t="s">
        <v>61</v>
      </c>
      <c r="G228" s="3" t="s">
        <v>27</v>
      </c>
      <c r="H228" s="3" t="s">
        <v>28</v>
      </c>
      <c r="I228" s="3"/>
      <c r="J228" s="3">
        <v>4950</v>
      </c>
      <c r="K228" s="3">
        <v>5500</v>
      </c>
      <c r="L228" s="3">
        <v>1</v>
      </c>
      <c r="M228">
        <f>Table1[[#This Row],[Qty]]*Table1[[#This Row],[Sales Price]]</f>
        <v>5500</v>
      </c>
      <c r="N228">
        <f>Table1[[#This Row],[Qty]]*Table1[[#This Row],[Cost]]</f>
        <v>4950</v>
      </c>
      <c r="O228">
        <f>Table1[[#This Row],[Revenue]]-Table1[[#This Row],[Total Cost]]</f>
        <v>550</v>
      </c>
    </row>
    <row r="229" spans="1:15">
      <c r="A229" s="3">
        <v>228</v>
      </c>
      <c r="B229" s="4">
        <v>44893</v>
      </c>
      <c r="C229" s="4" t="str">
        <f>TEXT(Table1[[#This Row],[Date]],"YYYY")</f>
        <v>2022</v>
      </c>
      <c r="D229" s="4" t="str">
        <f>TEXT(Table1[[#This Row],[Date]],"MMM")</f>
        <v>Nov</v>
      </c>
      <c r="E229" s="5" t="s">
        <v>57</v>
      </c>
      <c r="F229" s="3" t="s">
        <v>18</v>
      </c>
      <c r="G229" s="3" t="s">
        <v>30</v>
      </c>
      <c r="H229" s="3" t="s">
        <v>28</v>
      </c>
      <c r="I229" s="3"/>
      <c r="J229" s="3">
        <v>3150</v>
      </c>
      <c r="K229" s="3">
        <v>3500</v>
      </c>
      <c r="L229" s="3">
        <v>22</v>
      </c>
      <c r="M229">
        <f>Table1[[#This Row],[Qty]]*Table1[[#This Row],[Sales Price]]</f>
        <v>77000</v>
      </c>
      <c r="N229">
        <f>Table1[[#This Row],[Qty]]*Table1[[#This Row],[Cost]]</f>
        <v>69300</v>
      </c>
      <c r="O229">
        <f>Table1[[#This Row],[Revenue]]-Table1[[#This Row],[Total Cost]]</f>
        <v>7700</v>
      </c>
    </row>
    <row r="230" spans="1:15">
      <c r="A230" s="3">
        <v>229</v>
      </c>
      <c r="B230" s="4">
        <v>44894</v>
      </c>
      <c r="C230" s="4" t="str">
        <f>TEXT(Table1[[#This Row],[Date]],"YYYY")</f>
        <v>2022</v>
      </c>
      <c r="D230" s="4" t="str">
        <f>TEXT(Table1[[#This Row],[Date]],"MMM")</f>
        <v>Nov</v>
      </c>
      <c r="E230" s="5" t="s">
        <v>24</v>
      </c>
      <c r="F230" s="3" t="s">
        <v>15</v>
      </c>
      <c r="G230" s="3" t="s">
        <v>32</v>
      </c>
      <c r="H230" s="3" t="s">
        <v>28</v>
      </c>
      <c r="I230" s="3"/>
      <c r="J230" s="3">
        <v>2700</v>
      </c>
      <c r="K230" s="3">
        <v>3000</v>
      </c>
      <c r="L230" s="3">
        <v>8</v>
      </c>
      <c r="M230">
        <f>Table1[[#This Row],[Qty]]*Table1[[#This Row],[Sales Price]]</f>
        <v>24000</v>
      </c>
      <c r="N230">
        <f>Table1[[#This Row],[Qty]]*Table1[[#This Row],[Cost]]</f>
        <v>21600</v>
      </c>
      <c r="O230">
        <f>Table1[[#This Row],[Revenue]]-Table1[[#This Row],[Total Cost]]</f>
        <v>2400</v>
      </c>
    </row>
    <row r="231" spans="1:15">
      <c r="A231" s="3">
        <v>230</v>
      </c>
      <c r="B231" s="4">
        <v>44895</v>
      </c>
      <c r="C231" s="4" t="str">
        <f>TEXT(Table1[[#This Row],[Date]],"YYYY")</f>
        <v>2022</v>
      </c>
      <c r="D231" s="4" t="str">
        <f>TEXT(Table1[[#This Row],[Date]],"MMM")</f>
        <v>Nov</v>
      </c>
      <c r="E231" s="5" t="s">
        <v>39</v>
      </c>
      <c r="F231" s="3" t="s">
        <v>61</v>
      </c>
      <c r="G231" s="3" t="s">
        <v>34</v>
      </c>
      <c r="H231" s="3" t="s">
        <v>28</v>
      </c>
      <c r="I231" s="3">
        <v>1</v>
      </c>
      <c r="J231" s="3">
        <v>4050</v>
      </c>
      <c r="K231" s="3">
        <v>4500</v>
      </c>
      <c r="L231" s="3">
        <v>7</v>
      </c>
      <c r="M231">
        <f>Table1[[#This Row],[Qty]]*Table1[[#This Row],[Sales Price]]</f>
        <v>31500</v>
      </c>
      <c r="N231">
        <f>Table1[[#This Row],[Qty]]*Table1[[#This Row],[Cost]]</f>
        <v>28350</v>
      </c>
      <c r="O231">
        <f>Table1[[#This Row],[Revenue]]-Table1[[#This Row],[Total Cost]]</f>
        <v>3150</v>
      </c>
    </row>
    <row r="232" spans="1:15">
      <c r="A232" s="3">
        <v>231</v>
      </c>
      <c r="B232" s="4">
        <v>44896</v>
      </c>
      <c r="C232" s="4" t="str">
        <f>TEXT(Table1[[#This Row],[Date]],"YYYY")</f>
        <v>2022</v>
      </c>
      <c r="D232" s="4" t="str">
        <f>TEXT(Table1[[#This Row],[Date]],"MMM")</f>
        <v>Dec</v>
      </c>
      <c r="E232" s="5" t="s">
        <v>31</v>
      </c>
      <c r="F232" s="3" t="s">
        <v>18</v>
      </c>
      <c r="G232" s="3" t="s">
        <v>36</v>
      </c>
      <c r="H232" s="3" t="s">
        <v>17</v>
      </c>
      <c r="I232" s="3">
        <v>1</v>
      </c>
      <c r="J232" s="3">
        <v>53100</v>
      </c>
      <c r="K232" s="3">
        <v>59000</v>
      </c>
      <c r="L232" s="3">
        <v>56</v>
      </c>
      <c r="M232">
        <f>Table1[[#This Row],[Qty]]*Table1[[#This Row],[Sales Price]]</f>
        <v>3304000</v>
      </c>
      <c r="N232">
        <f>Table1[[#This Row],[Qty]]*Table1[[#This Row],[Cost]]</f>
        <v>2973600</v>
      </c>
      <c r="O232">
        <f>Table1[[#This Row],[Revenue]]-Table1[[#This Row],[Total Cost]]</f>
        <v>330400</v>
      </c>
    </row>
    <row r="233" spans="1:15">
      <c r="A233" s="3">
        <v>232</v>
      </c>
      <c r="B233" s="4">
        <v>44897</v>
      </c>
      <c r="C233" s="4" t="str">
        <f>TEXT(Table1[[#This Row],[Date]],"YYYY")</f>
        <v>2022</v>
      </c>
      <c r="D233" s="4" t="str">
        <f>TEXT(Table1[[#This Row],[Date]],"MMM")</f>
        <v>Dec</v>
      </c>
      <c r="E233" s="5" t="s">
        <v>22</v>
      </c>
      <c r="F233" s="3" t="s">
        <v>15</v>
      </c>
      <c r="G233" s="3" t="s">
        <v>37</v>
      </c>
      <c r="H233" s="3" t="s">
        <v>17</v>
      </c>
      <c r="I233" s="3">
        <v>1</v>
      </c>
      <c r="J233" s="3">
        <v>88200</v>
      </c>
      <c r="K233" s="3">
        <v>98000</v>
      </c>
      <c r="L233" s="3">
        <v>10</v>
      </c>
      <c r="M233">
        <f>Table1[[#This Row],[Qty]]*Table1[[#This Row],[Sales Price]]</f>
        <v>980000</v>
      </c>
      <c r="N233">
        <f>Table1[[#This Row],[Qty]]*Table1[[#This Row],[Cost]]</f>
        <v>882000</v>
      </c>
      <c r="O233">
        <f>Table1[[#This Row],[Revenue]]-Table1[[#This Row],[Total Cost]]</f>
        <v>98000</v>
      </c>
    </row>
    <row r="234" spans="1:15">
      <c r="A234" s="3">
        <v>233</v>
      </c>
      <c r="B234" s="4">
        <v>44898</v>
      </c>
      <c r="C234" s="4" t="str">
        <f>TEXT(Table1[[#This Row],[Date]],"YYYY")</f>
        <v>2022</v>
      </c>
      <c r="D234" s="4" t="str">
        <f>TEXT(Table1[[#This Row],[Date]],"MMM")</f>
        <v>Dec</v>
      </c>
      <c r="E234" s="5" t="s">
        <v>53</v>
      </c>
      <c r="F234" s="3" t="s">
        <v>61</v>
      </c>
      <c r="G234" s="3" t="s">
        <v>38</v>
      </c>
      <c r="H234" s="3" t="s">
        <v>17</v>
      </c>
      <c r="I234" s="3">
        <v>0</v>
      </c>
      <c r="J234" s="3">
        <v>38250</v>
      </c>
      <c r="K234" s="3">
        <v>42500</v>
      </c>
      <c r="L234" s="3">
        <v>9</v>
      </c>
      <c r="M234">
        <f>Table1[[#This Row],[Qty]]*Table1[[#This Row],[Sales Price]]</f>
        <v>382500</v>
      </c>
      <c r="N234">
        <f>Table1[[#This Row],[Qty]]*Table1[[#This Row],[Cost]]</f>
        <v>344250</v>
      </c>
      <c r="O234">
        <f>Table1[[#This Row],[Revenue]]-Table1[[#This Row],[Total Cost]]</f>
        <v>38250</v>
      </c>
    </row>
    <row r="235" spans="1:15">
      <c r="A235" s="3">
        <v>234</v>
      </c>
      <c r="B235" s="4">
        <v>44899</v>
      </c>
      <c r="C235" s="4" t="str">
        <f>TEXT(Table1[[#This Row],[Date]],"YYYY")</f>
        <v>2022</v>
      </c>
      <c r="D235" s="4" t="str">
        <f>TEXT(Table1[[#This Row],[Date]],"MMM")</f>
        <v>Dec</v>
      </c>
      <c r="E235" s="5" t="s">
        <v>56</v>
      </c>
      <c r="F235" s="3" t="s">
        <v>18</v>
      </c>
      <c r="G235" s="3" t="s">
        <v>19</v>
      </c>
      <c r="H235" s="3" t="s">
        <v>17</v>
      </c>
      <c r="I235" s="3">
        <v>0</v>
      </c>
      <c r="J235" s="3">
        <v>2700</v>
      </c>
      <c r="K235" s="3">
        <v>3000</v>
      </c>
      <c r="L235" s="3">
        <v>27</v>
      </c>
      <c r="M235">
        <f>Table1[[#This Row],[Qty]]*Table1[[#This Row],[Sales Price]]</f>
        <v>81000</v>
      </c>
      <c r="N235">
        <f>Table1[[#This Row],[Qty]]*Table1[[#This Row],[Cost]]</f>
        <v>72900</v>
      </c>
      <c r="O235">
        <f>Table1[[#This Row],[Revenue]]-Table1[[#This Row],[Total Cost]]</f>
        <v>8100</v>
      </c>
    </row>
    <row r="236" spans="1:15">
      <c r="A236" s="3">
        <v>235</v>
      </c>
      <c r="B236" s="4">
        <v>44900</v>
      </c>
      <c r="C236" s="4" t="str">
        <f>TEXT(Table1[[#This Row],[Date]],"YYYY")</f>
        <v>2022</v>
      </c>
      <c r="D236" s="4" t="str">
        <f>TEXT(Table1[[#This Row],[Date]],"MMM")</f>
        <v>Dec</v>
      </c>
      <c r="E236" s="5" t="s">
        <v>39</v>
      </c>
      <c r="F236" s="3" t="s">
        <v>15</v>
      </c>
      <c r="G236" s="3" t="s">
        <v>21</v>
      </c>
      <c r="H236" s="3" t="s">
        <v>17</v>
      </c>
      <c r="I236" s="3">
        <v>0</v>
      </c>
      <c r="J236" s="3">
        <v>23850</v>
      </c>
      <c r="K236" s="3">
        <v>26500</v>
      </c>
      <c r="L236" s="3">
        <v>15</v>
      </c>
      <c r="M236">
        <f>Table1[[#This Row],[Qty]]*Table1[[#This Row],[Sales Price]]</f>
        <v>397500</v>
      </c>
      <c r="N236">
        <f>Table1[[#This Row],[Qty]]*Table1[[#This Row],[Cost]]</f>
        <v>357750</v>
      </c>
      <c r="O236">
        <f>Table1[[#This Row],[Revenue]]-Table1[[#This Row],[Total Cost]]</f>
        <v>39750</v>
      </c>
    </row>
    <row r="237" spans="1:15">
      <c r="A237" s="3">
        <v>236</v>
      </c>
      <c r="B237" s="4">
        <v>44901</v>
      </c>
      <c r="C237" s="4" t="str">
        <f>TEXT(Table1[[#This Row],[Date]],"YYYY")</f>
        <v>2022</v>
      </c>
      <c r="D237" s="4" t="str">
        <f>TEXT(Table1[[#This Row],[Date]],"MMM")</f>
        <v>Dec</v>
      </c>
      <c r="E237" s="5" t="s">
        <v>39</v>
      </c>
      <c r="F237" s="3" t="s">
        <v>61</v>
      </c>
      <c r="G237" s="3" t="s">
        <v>23</v>
      </c>
      <c r="H237" s="3" t="s">
        <v>17</v>
      </c>
      <c r="I237" s="3">
        <v>1</v>
      </c>
      <c r="J237" s="3">
        <v>24750</v>
      </c>
      <c r="K237" s="3">
        <v>27500</v>
      </c>
      <c r="L237" s="3">
        <v>3</v>
      </c>
      <c r="M237">
        <f>Table1[[#This Row],[Qty]]*Table1[[#This Row],[Sales Price]]</f>
        <v>82500</v>
      </c>
      <c r="N237">
        <f>Table1[[#This Row],[Qty]]*Table1[[#This Row],[Cost]]</f>
        <v>74250</v>
      </c>
      <c r="O237">
        <f>Table1[[#This Row],[Revenue]]-Table1[[#This Row],[Total Cost]]</f>
        <v>8250</v>
      </c>
    </row>
    <row r="238" spans="1:15">
      <c r="A238" s="3">
        <v>237</v>
      </c>
      <c r="B238" s="4">
        <v>44902</v>
      </c>
      <c r="C238" s="4" t="str">
        <f>TEXT(Table1[[#This Row],[Date]],"YYYY")</f>
        <v>2022</v>
      </c>
      <c r="D238" s="4" t="str">
        <f>TEXT(Table1[[#This Row],[Date]],"MMM")</f>
        <v>Dec</v>
      </c>
      <c r="E238" s="5" t="s">
        <v>53</v>
      </c>
      <c r="F238" s="3" t="s">
        <v>18</v>
      </c>
      <c r="G238" s="3" t="s">
        <v>25</v>
      </c>
      <c r="H238" s="3" t="s">
        <v>17</v>
      </c>
      <c r="I238" s="3"/>
      <c r="J238" s="3">
        <v>44550</v>
      </c>
      <c r="K238" s="3">
        <v>49500</v>
      </c>
      <c r="L238" s="3">
        <v>9</v>
      </c>
      <c r="M238">
        <f>Table1[[#This Row],[Qty]]*Table1[[#This Row],[Sales Price]]</f>
        <v>445500</v>
      </c>
      <c r="N238">
        <f>Table1[[#This Row],[Qty]]*Table1[[#This Row],[Cost]]</f>
        <v>400950</v>
      </c>
      <c r="O238">
        <f>Table1[[#This Row],[Revenue]]-Table1[[#This Row],[Total Cost]]</f>
        <v>44550</v>
      </c>
    </row>
    <row r="239" spans="1:15">
      <c r="A239" s="3">
        <v>238</v>
      </c>
      <c r="B239" s="4">
        <v>44903</v>
      </c>
      <c r="C239" s="4" t="str">
        <f>TEXT(Table1[[#This Row],[Date]],"YYYY")</f>
        <v>2022</v>
      </c>
      <c r="D239" s="4" t="str">
        <f>TEXT(Table1[[#This Row],[Date]],"MMM")</f>
        <v>Dec</v>
      </c>
      <c r="E239" s="5" t="s">
        <v>50</v>
      </c>
      <c r="F239" s="3" t="s">
        <v>15</v>
      </c>
      <c r="G239" s="3" t="s">
        <v>26</v>
      </c>
      <c r="H239" s="3" t="s">
        <v>17</v>
      </c>
      <c r="I239" s="3"/>
      <c r="J239" s="3">
        <v>9000</v>
      </c>
      <c r="K239" s="3">
        <v>10000</v>
      </c>
      <c r="L239" s="3">
        <v>22</v>
      </c>
      <c r="M239">
        <f>Table1[[#This Row],[Qty]]*Table1[[#This Row],[Sales Price]]</f>
        <v>220000</v>
      </c>
      <c r="N239">
        <f>Table1[[#This Row],[Qty]]*Table1[[#This Row],[Cost]]</f>
        <v>198000</v>
      </c>
      <c r="O239">
        <f>Table1[[#This Row],[Revenue]]-Table1[[#This Row],[Total Cost]]</f>
        <v>22000</v>
      </c>
    </row>
    <row r="240" spans="1:15">
      <c r="A240" s="3">
        <v>239</v>
      </c>
      <c r="B240" s="4">
        <v>44904</v>
      </c>
      <c r="C240" s="4" t="str">
        <f>TEXT(Table1[[#This Row],[Date]],"YYYY")</f>
        <v>2022</v>
      </c>
      <c r="D240" s="4" t="str">
        <f>TEXT(Table1[[#This Row],[Date]],"MMM")</f>
        <v>Dec</v>
      </c>
      <c r="E240" s="5" t="s">
        <v>39</v>
      </c>
      <c r="F240" s="3" t="s">
        <v>61</v>
      </c>
      <c r="G240" s="3" t="s">
        <v>37</v>
      </c>
      <c r="H240" s="3" t="s">
        <v>17</v>
      </c>
      <c r="I240" s="3">
        <v>1</v>
      </c>
      <c r="J240" s="3">
        <v>8640</v>
      </c>
      <c r="K240" s="3">
        <v>9600</v>
      </c>
      <c r="L240" s="3">
        <v>16</v>
      </c>
      <c r="M240">
        <f>Table1[[#This Row],[Qty]]*Table1[[#This Row],[Sales Price]]</f>
        <v>153600</v>
      </c>
      <c r="N240">
        <f>Table1[[#This Row],[Qty]]*Table1[[#This Row],[Cost]]</f>
        <v>138240</v>
      </c>
      <c r="O240">
        <f>Table1[[#This Row],[Revenue]]-Table1[[#This Row],[Total Cost]]</f>
        <v>15360</v>
      </c>
    </row>
    <row r="241" spans="1:15">
      <c r="A241" s="3">
        <v>240</v>
      </c>
      <c r="B241" s="4">
        <v>44905</v>
      </c>
      <c r="C241" s="4" t="str">
        <f>TEXT(Table1[[#This Row],[Date]],"YYYY")</f>
        <v>2022</v>
      </c>
      <c r="D241" s="4" t="str">
        <f>TEXT(Table1[[#This Row],[Date]],"MMM")</f>
        <v>Dec</v>
      </c>
      <c r="E241" s="5" t="s">
        <v>33</v>
      </c>
      <c r="F241" s="3" t="s">
        <v>18</v>
      </c>
      <c r="G241" s="3" t="s">
        <v>41</v>
      </c>
      <c r="H241" s="3" t="s">
        <v>28</v>
      </c>
      <c r="I241" s="3">
        <v>1</v>
      </c>
      <c r="J241" s="3">
        <v>9000</v>
      </c>
      <c r="K241" s="3">
        <v>10000</v>
      </c>
      <c r="L241" s="3">
        <v>6</v>
      </c>
      <c r="M241">
        <f>Table1[[#This Row],[Qty]]*Table1[[#This Row],[Sales Price]]</f>
        <v>60000</v>
      </c>
      <c r="N241">
        <f>Table1[[#This Row],[Qty]]*Table1[[#This Row],[Cost]]</f>
        <v>54000</v>
      </c>
      <c r="O241">
        <f>Table1[[#This Row],[Revenue]]-Table1[[#This Row],[Total Cost]]</f>
        <v>6000</v>
      </c>
    </row>
    <row r="242" spans="1:15">
      <c r="A242" s="3">
        <v>241</v>
      </c>
      <c r="B242" s="4">
        <v>44906</v>
      </c>
      <c r="C242" s="4" t="str">
        <f>TEXT(Table1[[#This Row],[Date]],"YYYY")</f>
        <v>2022</v>
      </c>
      <c r="D242" s="4" t="str">
        <f>TEXT(Table1[[#This Row],[Date]],"MMM")</f>
        <v>Dec</v>
      </c>
      <c r="E242" s="5" t="s">
        <v>31</v>
      </c>
      <c r="F242" s="3" t="s">
        <v>15</v>
      </c>
      <c r="G242" s="3" t="s">
        <v>16</v>
      </c>
      <c r="H242" s="3" t="s">
        <v>17</v>
      </c>
      <c r="I242" s="3">
        <v>1</v>
      </c>
      <c r="J242" s="3">
        <v>3870</v>
      </c>
      <c r="K242" s="3">
        <v>4300</v>
      </c>
      <c r="L242" s="3">
        <v>3</v>
      </c>
      <c r="M242">
        <f>Table1[[#This Row],[Qty]]*Table1[[#This Row],[Sales Price]]</f>
        <v>12900</v>
      </c>
      <c r="N242">
        <f>Table1[[#This Row],[Qty]]*Table1[[#This Row],[Cost]]</f>
        <v>11610</v>
      </c>
      <c r="O242">
        <f>Table1[[#This Row],[Revenue]]-Table1[[#This Row],[Total Cost]]</f>
        <v>1290</v>
      </c>
    </row>
    <row r="243" spans="1:15">
      <c r="A243" s="3">
        <v>242</v>
      </c>
      <c r="B243" s="4">
        <v>44907</v>
      </c>
      <c r="C243" s="4" t="str">
        <f>TEXT(Table1[[#This Row],[Date]],"YYYY")</f>
        <v>2022</v>
      </c>
      <c r="D243" s="4" t="str">
        <f>TEXT(Table1[[#This Row],[Date]],"MMM")</f>
        <v>Dec</v>
      </c>
      <c r="E243" s="5" t="s">
        <v>39</v>
      </c>
      <c r="F243" s="3" t="s">
        <v>61</v>
      </c>
      <c r="G243" s="3" t="s">
        <v>19</v>
      </c>
      <c r="H243" s="3" t="s">
        <v>17</v>
      </c>
      <c r="I243" s="3">
        <v>1</v>
      </c>
      <c r="J243" s="3">
        <v>45450</v>
      </c>
      <c r="K243" s="3">
        <v>50500</v>
      </c>
      <c r="L243" s="3">
        <v>5</v>
      </c>
      <c r="M243">
        <f>Table1[[#This Row],[Qty]]*Table1[[#This Row],[Sales Price]]</f>
        <v>252500</v>
      </c>
      <c r="N243">
        <f>Table1[[#This Row],[Qty]]*Table1[[#This Row],[Cost]]</f>
        <v>227250</v>
      </c>
      <c r="O243">
        <f>Table1[[#This Row],[Revenue]]-Table1[[#This Row],[Total Cost]]</f>
        <v>25250</v>
      </c>
    </row>
    <row r="244" spans="1:15">
      <c r="A244" s="3">
        <v>243</v>
      </c>
      <c r="B244" s="4">
        <v>44908</v>
      </c>
      <c r="C244" s="4" t="str">
        <f>TEXT(Table1[[#This Row],[Date]],"YYYY")</f>
        <v>2022</v>
      </c>
      <c r="D244" s="4" t="str">
        <f>TEXT(Table1[[#This Row],[Date]],"MMM")</f>
        <v>Dec</v>
      </c>
      <c r="E244" s="5" t="s">
        <v>58</v>
      </c>
      <c r="F244" s="3" t="s">
        <v>18</v>
      </c>
      <c r="G244" s="3" t="s">
        <v>21</v>
      </c>
      <c r="H244" s="3" t="s">
        <v>17</v>
      </c>
      <c r="I244" s="3">
        <v>1</v>
      </c>
      <c r="J244" s="3">
        <v>18225</v>
      </c>
      <c r="K244" s="3">
        <v>20250</v>
      </c>
      <c r="L244" s="3">
        <v>1</v>
      </c>
      <c r="M244">
        <f>Table1[[#This Row],[Qty]]*Table1[[#This Row],[Sales Price]]</f>
        <v>20250</v>
      </c>
      <c r="N244">
        <f>Table1[[#This Row],[Qty]]*Table1[[#This Row],[Cost]]</f>
        <v>18225</v>
      </c>
      <c r="O244">
        <f>Table1[[#This Row],[Revenue]]-Table1[[#This Row],[Total Cost]]</f>
        <v>2025</v>
      </c>
    </row>
    <row r="245" spans="1:15">
      <c r="A245" s="3">
        <v>244</v>
      </c>
      <c r="B245" s="4">
        <v>44909</v>
      </c>
      <c r="C245" s="4" t="str">
        <f>TEXT(Table1[[#This Row],[Date]],"YYYY")</f>
        <v>2022</v>
      </c>
      <c r="D245" s="4" t="str">
        <f>TEXT(Table1[[#This Row],[Date]],"MMM")</f>
        <v>Dec</v>
      </c>
      <c r="E245" s="5" t="s">
        <v>35</v>
      </c>
      <c r="F245" s="3" t="s">
        <v>15</v>
      </c>
      <c r="G245" s="3" t="s">
        <v>23</v>
      </c>
      <c r="H245" s="3" t="s">
        <v>17</v>
      </c>
      <c r="I245" s="3">
        <v>1</v>
      </c>
      <c r="J245" s="3">
        <v>1800</v>
      </c>
      <c r="K245" s="3">
        <v>2000</v>
      </c>
      <c r="L245" s="3">
        <v>5</v>
      </c>
      <c r="M245">
        <f>Table1[[#This Row],[Qty]]*Table1[[#This Row],[Sales Price]]</f>
        <v>10000</v>
      </c>
      <c r="N245">
        <f>Table1[[#This Row],[Qty]]*Table1[[#This Row],[Cost]]</f>
        <v>9000</v>
      </c>
      <c r="O245">
        <f>Table1[[#This Row],[Revenue]]-Table1[[#This Row],[Total Cost]]</f>
        <v>1000</v>
      </c>
    </row>
    <row r="246" spans="1:15">
      <c r="A246" s="3">
        <v>245</v>
      </c>
      <c r="B246" s="4">
        <v>44910</v>
      </c>
      <c r="C246" s="4" t="str">
        <f>TEXT(Table1[[#This Row],[Date]],"YYYY")</f>
        <v>2022</v>
      </c>
      <c r="D246" s="4" t="str">
        <f>TEXT(Table1[[#This Row],[Date]],"MMM")</f>
        <v>Dec</v>
      </c>
      <c r="E246" s="5" t="s">
        <v>31</v>
      </c>
      <c r="F246" s="3" t="s">
        <v>61</v>
      </c>
      <c r="G246" s="3" t="s">
        <v>25</v>
      </c>
      <c r="H246" s="3" t="s">
        <v>17</v>
      </c>
      <c r="I246" s="3"/>
      <c r="J246" s="3">
        <v>48600</v>
      </c>
      <c r="K246" s="3">
        <v>54000</v>
      </c>
      <c r="L246" s="3">
        <v>7</v>
      </c>
      <c r="M246">
        <f>Table1[[#This Row],[Qty]]*Table1[[#This Row],[Sales Price]]</f>
        <v>378000</v>
      </c>
      <c r="N246">
        <f>Table1[[#This Row],[Qty]]*Table1[[#This Row],[Cost]]</f>
        <v>340200</v>
      </c>
      <c r="O246">
        <f>Table1[[#This Row],[Revenue]]-Table1[[#This Row],[Total Cost]]</f>
        <v>37800</v>
      </c>
    </row>
    <row r="247" spans="1:15">
      <c r="A247" s="3">
        <v>246</v>
      </c>
      <c r="B247" s="4">
        <v>44911</v>
      </c>
      <c r="C247" s="4" t="str">
        <f>TEXT(Table1[[#This Row],[Date]],"YYYY")</f>
        <v>2022</v>
      </c>
      <c r="D247" s="4" t="str">
        <f>TEXT(Table1[[#This Row],[Date]],"MMM")</f>
        <v>Dec</v>
      </c>
      <c r="E247" s="5" t="s">
        <v>14</v>
      </c>
      <c r="F247" s="3" t="s">
        <v>18</v>
      </c>
      <c r="G247" s="3" t="s">
        <v>26</v>
      </c>
      <c r="H247" s="3" t="s">
        <v>17</v>
      </c>
      <c r="I247" s="3"/>
      <c r="J247" s="3">
        <v>72900</v>
      </c>
      <c r="K247" s="3">
        <v>81000</v>
      </c>
      <c r="L247" s="3">
        <v>4</v>
      </c>
      <c r="M247">
        <f>Table1[[#This Row],[Qty]]*Table1[[#This Row],[Sales Price]]</f>
        <v>324000</v>
      </c>
      <c r="N247">
        <f>Table1[[#This Row],[Qty]]*Table1[[#This Row],[Cost]]</f>
        <v>291600</v>
      </c>
      <c r="O247">
        <f>Table1[[#This Row],[Revenue]]-Table1[[#This Row],[Total Cost]]</f>
        <v>32400</v>
      </c>
    </row>
    <row r="248" spans="1:15">
      <c r="A248" s="3">
        <v>247</v>
      </c>
      <c r="B248" s="4">
        <v>44912</v>
      </c>
      <c r="C248" s="4" t="str">
        <f>TEXT(Table1[[#This Row],[Date]],"YYYY")</f>
        <v>2022</v>
      </c>
      <c r="D248" s="4" t="str">
        <f>TEXT(Table1[[#This Row],[Date]],"MMM")</f>
        <v>Dec</v>
      </c>
      <c r="E248" s="5" t="s">
        <v>63</v>
      </c>
      <c r="F248" s="3" t="s">
        <v>15</v>
      </c>
      <c r="G248" s="3" t="s">
        <v>27</v>
      </c>
      <c r="H248" s="3" t="s">
        <v>28</v>
      </c>
      <c r="I248" s="3"/>
      <c r="J248" s="3">
        <v>9450</v>
      </c>
      <c r="K248" s="3">
        <v>10500</v>
      </c>
      <c r="L248" s="3">
        <v>8</v>
      </c>
      <c r="M248">
        <f>Table1[[#This Row],[Qty]]*Table1[[#This Row],[Sales Price]]</f>
        <v>84000</v>
      </c>
      <c r="N248">
        <f>Table1[[#This Row],[Qty]]*Table1[[#This Row],[Cost]]</f>
        <v>75600</v>
      </c>
      <c r="O248">
        <f>Table1[[#This Row],[Revenue]]-Table1[[#This Row],[Total Cost]]</f>
        <v>8400</v>
      </c>
    </row>
    <row r="249" spans="1:15">
      <c r="A249" s="3">
        <v>248</v>
      </c>
      <c r="B249" s="4">
        <v>44913</v>
      </c>
      <c r="C249" s="4" t="str">
        <f>TEXT(Table1[[#This Row],[Date]],"YYYY")</f>
        <v>2022</v>
      </c>
      <c r="D249" s="4" t="str">
        <f>TEXT(Table1[[#This Row],[Date]],"MMM")</f>
        <v>Dec</v>
      </c>
      <c r="E249" s="5" t="s">
        <v>56</v>
      </c>
      <c r="F249" s="3" t="s">
        <v>61</v>
      </c>
      <c r="G249" s="3" t="s">
        <v>30</v>
      </c>
      <c r="H249" s="3" t="s">
        <v>28</v>
      </c>
      <c r="I249" s="3">
        <v>1</v>
      </c>
      <c r="J249" s="3">
        <v>36000</v>
      </c>
      <c r="K249" s="3">
        <v>40000</v>
      </c>
      <c r="L249" s="3">
        <v>8</v>
      </c>
      <c r="M249">
        <f>Table1[[#This Row],[Qty]]*Table1[[#This Row],[Sales Price]]</f>
        <v>320000</v>
      </c>
      <c r="N249">
        <f>Table1[[#This Row],[Qty]]*Table1[[#This Row],[Cost]]</f>
        <v>288000</v>
      </c>
      <c r="O249">
        <f>Table1[[#This Row],[Revenue]]-Table1[[#This Row],[Total Cost]]</f>
        <v>32000</v>
      </c>
    </row>
    <row r="250" spans="1:15">
      <c r="A250" s="3">
        <v>249</v>
      </c>
      <c r="B250" s="4">
        <v>44914</v>
      </c>
      <c r="C250" s="4" t="str">
        <f>TEXT(Table1[[#This Row],[Date]],"YYYY")</f>
        <v>2022</v>
      </c>
      <c r="D250" s="4" t="str">
        <f>TEXT(Table1[[#This Row],[Date]],"MMM")</f>
        <v>Dec</v>
      </c>
      <c r="E250" s="5" t="s">
        <v>54</v>
      </c>
      <c r="F250" s="3" t="s">
        <v>18</v>
      </c>
      <c r="G250" s="3" t="s">
        <v>32</v>
      </c>
      <c r="H250" s="3" t="s">
        <v>28</v>
      </c>
      <c r="I250" s="3">
        <v>1</v>
      </c>
      <c r="J250" s="3">
        <v>24300</v>
      </c>
      <c r="K250" s="3">
        <v>27000</v>
      </c>
      <c r="L250" s="3">
        <v>9</v>
      </c>
      <c r="M250">
        <f>Table1[[#This Row],[Qty]]*Table1[[#This Row],[Sales Price]]</f>
        <v>243000</v>
      </c>
      <c r="N250">
        <f>Table1[[#This Row],[Qty]]*Table1[[#This Row],[Cost]]</f>
        <v>218700</v>
      </c>
      <c r="O250">
        <f>Table1[[#This Row],[Revenue]]-Table1[[#This Row],[Total Cost]]</f>
        <v>24300</v>
      </c>
    </row>
    <row r="251" spans="1:15">
      <c r="A251" s="3">
        <v>250</v>
      </c>
      <c r="B251" s="4">
        <v>44915</v>
      </c>
      <c r="C251" s="4" t="str">
        <f>TEXT(Table1[[#This Row],[Date]],"YYYY")</f>
        <v>2022</v>
      </c>
      <c r="D251" s="4" t="str">
        <f>TEXT(Table1[[#This Row],[Date]],"MMM")</f>
        <v>Dec</v>
      </c>
      <c r="E251" s="5" t="s">
        <v>24</v>
      </c>
      <c r="F251" s="3" t="s">
        <v>15</v>
      </c>
      <c r="G251" s="3" t="s">
        <v>34</v>
      </c>
      <c r="H251" s="3" t="s">
        <v>28</v>
      </c>
      <c r="I251" s="3">
        <v>1</v>
      </c>
      <c r="J251" s="3">
        <v>9180</v>
      </c>
      <c r="K251" s="3">
        <v>10200</v>
      </c>
      <c r="L251" s="3">
        <v>2</v>
      </c>
      <c r="M251">
        <f>Table1[[#This Row],[Qty]]*Table1[[#This Row],[Sales Price]]</f>
        <v>20400</v>
      </c>
      <c r="N251">
        <f>Table1[[#This Row],[Qty]]*Table1[[#This Row],[Cost]]</f>
        <v>18360</v>
      </c>
      <c r="O251">
        <f>Table1[[#This Row],[Revenue]]-Table1[[#This Row],[Total Cost]]</f>
        <v>2040</v>
      </c>
    </row>
    <row r="252" spans="1:15">
      <c r="A252" s="3">
        <v>251</v>
      </c>
      <c r="B252" s="4">
        <v>44916</v>
      </c>
      <c r="C252" s="4" t="str">
        <f>TEXT(Table1[[#This Row],[Date]],"YYYY")</f>
        <v>2022</v>
      </c>
      <c r="D252" s="4" t="str">
        <f>TEXT(Table1[[#This Row],[Date]],"MMM")</f>
        <v>Dec</v>
      </c>
      <c r="E252" s="5" t="s">
        <v>40</v>
      </c>
      <c r="F252" s="3" t="s">
        <v>61</v>
      </c>
      <c r="G252" s="3" t="s">
        <v>36</v>
      </c>
      <c r="H252" s="3" t="s">
        <v>17</v>
      </c>
      <c r="I252" s="3">
        <v>1</v>
      </c>
      <c r="J252" s="3">
        <v>8640</v>
      </c>
      <c r="K252" s="3">
        <v>9600</v>
      </c>
      <c r="L252" s="3">
        <v>1</v>
      </c>
      <c r="M252">
        <f>Table1[[#This Row],[Qty]]*Table1[[#This Row],[Sales Price]]</f>
        <v>9600</v>
      </c>
      <c r="N252">
        <f>Table1[[#This Row],[Qty]]*Table1[[#This Row],[Cost]]</f>
        <v>8640</v>
      </c>
      <c r="O252">
        <f>Table1[[#This Row],[Revenue]]-Table1[[#This Row],[Total Cost]]</f>
        <v>960</v>
      </c>
    </row>
    <row r="253" spans="1:15">
      <c r="A253" s="3">
        <v>252</v>
      </c>
      <c r="B253" s="4">
        <v>44917</v>
      </c>
      <c r="C253" s="4" t="str">
        <f>TEXT(Table1[[#This Row],[Date]],"YYYY")</f>
        <v>2022</v>
      </c>
      <c r="D253" s="4" t="str">
        <f>TEXT(Table1[[#This Row],[Date]],"MMM")</f>
        <v>Dec</v>
      </c>
      <c r="E253" s="5" t="s">
        <v>39</v>
      </c>
      <c r="F253" s="3" t="s">
        <v>18</v>
      </c>
      <c r="G253" s="3" t="s">
        <v>37</v>
      </c>
      <c r="H253" s="3" t="s">
        <v>17</v>
      </c>
      <c r="I253" s="3">
        <v>1</v>
      </c>
      <c r="J253" s="3">
        <v>8280</v>
      </c>
      <c r="K253" s="3">
        <v>9200</v>
      </c>
      <c r="L253" s="3">
        <v>22</v>
      </c>
      <c r="M253">
        <f>Table1[[#This Row],[Qty]]*Table1[[#This Row],[Sales Price]]</f>
        <v>202400</v>
      </c>
      <c r="N253">
        <f>Table1[[#This Row],[Qty]]*Table1[[#This Row],[Cost]]</f>
        <v>182160</v>
      </c>
      <c r="O253">
        <f>Table1[[#This Row],[Revenue]]-Table1[[#This Row],[Total Cost]]</f>
        <v>20240</v>
      </c>
    </row>
    <row r="254" spans="1:15">
      <c r="A254" s="3">
        <v>253</v>
      </c>
      <c r="B254" s="4">
        <v>44918</v>
      </c>
      <c r="C254" s="4" t="str">
        <f>TEXT(Table1[[#This Row],[Date]],"YYYY")</f>
        <v>2022</v>
      </c>
      <c r="D254" s="4" t="str">
        <f>TEXT(Table1[[#This Row],[Date]],"MMM")</f>
        <v>Dec</v>
      </c>
      <c r="E254" s="5" t="s">
        <v>39</v>
      </c>
      <c r="F254" s="3" t="s">
        <v>15</v>
      </c>
      <c r="G254" s="3" t="s">
        <v>38</v>
      </c>
      <c r="H254" s="3" t="s">
        <v>17</v>
      </c>
      <c r="I254" s="3">
        <v>1</v>
      </c>
      <c r="J254" s="3">
        <v>4950</v>
      </c>
      <c r="K254" s="3">
        <v>5500</v>
      </c>
      <c r="L254" s="3">
        <v>8</v>
      </c>
      <c r="M254">
        <f>Table1[[#This Row],[Qty]]*Table1[[#This Row],[Sales Price]]</f>
        <v>44000</v>
      </c>
      <c r="N254">
        <f>Table1[[#This Row],[Qty]]*Table1[[#This Row],[Cost]]</f>
        <v>39600</v>
      </c>
      <c r="O254">
        <f>Table1[[#This Row],[Revenue]]-Table1[[#This Row],[Total Cost]]</f>
        <v>4400</v>
      </c>
    </row>
    <row r="255" spans="1:15">
      <c r="A255" s="3">
        <v>254</v>
      </c>
      <c r="B255" s="4">
        <v>44919</v>
      </c>
      <c r="C255" s="4" t="str">
        <f>TEXT(Table1[[#This Row],[Date]],"YYYY")</f>
        <v>2022</v>
      </c>
      <c r="D255" s="4" t="str">
        <f>TEXT(Table1[[#This Row],[Date]],"MMM")</f>
        <v>Dec</v>
      </c>
      <c r="E255" s="5" t="s">
        <v>39</v>
      </c>
      <c r="F255" s="3" t="s">
        <v>61</v>
      </c>
      <c r="G255" s="3" t="s">
        <v>19</v>
      </c>
      <c r="H255" s="3" t="s">
        <v>17</v>
      </c>
      <c r="I255" s="3">
        <v>1</v>
      </c>
      <c r="J255" s="3">
        <v>3150</v>
      </c>
      <c r="K255" s="3">
        <v>3500</v>
      </c>
      <c r="L255" s="3">
        <v>7</v>
      </c>
      <c r="M255">
        <f>Table1[[#This Row],[Qty]]*Table1[[#This Row],[Sales Price]]</f>
        <v>24500</v>
      </c>
      <c r="N255">
        <f>Table1[[#This Row],[Qty]]*Table1[[#This Row],[Cost]]</f>
        <v>22050</v>
      </c>
      <c r="O255">
        <f>Table1[[#This Row],[Revenue]]-Table1[[#This Row],[Total Cost]]</f>
        <v>2450</v>
      </c>
    </row>
    <row r="256" spans="1:15">
      <c r="A256" s="3">
        <v>255</v>
      </c>
      <c r="B256" s="4">
        <v>44920</v>
      </c>
      <c r="C256" s="4" t="str">
        <f>TEXT(Table1[[#This Row],[Date]],"YYYY")</f>
        <v>2022</v>
      </c>
      <c r="D256" s="4" t="str">
        <f>TEXT(Table1[[#This Row],[Date]],"MMM")</f>
        <v>Dec</v>
      </c>
      <c r="E256" s="5" t="s">
        <v>24</v>
      </c>
      <c r="F256" s="3" t="s">
        <v>18</v>
      </c>
      <c r="G256" s="3" t="s">
        <v>21</v>
      </c>
      <c r="H256" s="3" t="s">
        <v>17</v>
      </c>
      <c r="I256" s="3"/>
      <c r="J256" s="3">
        <v>2700</v>
      </c>
      <c r="K256" s="3">
        <v>3000</v>
      </c>
      <c r="L256" s="3">
        <v>56</v>
      </c>
      <c r="M256">
        <f>Table1[[#This Row],[Qty]]*Table1[[#This Row],[Sales Price]]</f>
        <v>168000</v>
      </c>
      <c r="N256">
        <f>Table1[[#This Row],[Qty]]*Table1[[#This Row],[Cost]]</f>
        <v>151200</v>
      </c>
      <c r="O256">
        <f>Table1[[#This Row],[Revenue]]-Table1[[#This Row],[Total Cost]]</f>
        <v>16800</v>
      </c>
    </row>
    <row r="257" spans="1:15">
      <c r="A257" s="3">
        <v>256</v>
      </c>
      <c r="B257" s="4">
        <v>44921</v>
      </c>
      <c r="C257" s="4" t="str">
        <f>TEXT(Table1[[#This Row],[Date]],"YYYY")</f>
        <v>2022</v>
      </c>
      <c r="D257" s="4" t="str">
        <f>TEXT(Table1[[#This Row],[Date]],"MMM")</f>
        <v>Dec</v>
      </c>
      <c r="E257" s="5" t="s">
        <v>50</v>
      </c>
      <c r="F257" s="3" t="s">
        <v>15</v>
      </c>
      <c r="G257" s="3" t="s">
        <v>23</v>
      </c>
      <c r="H257" s="3" t="s">
        <v>17</v>
      </c>
      <c r="I257" s="3"/>
      <c r="J257" s="3">
        <v>4050</v>
      </c>
      <c r="K257" s="3">
        <v>4500</v>
      </c>
      <c r="L257" s="3">
        <v>10</v>
      </c>
      <c r="M257">
        <f>Table1[[#This Row],[Qty]]*Table1[[#This Row],[Sales Price]]</f>
        <v>45000</v>
      </c>
      <c r="N257">
        <f>Table1[[#This Row],[Qty]]*Table1[[#This Row],[Cost]]</f>
        <v>40500</v>
      </c>
      <c r="O257">
        <f>Table1[[#This Row],[Revenue]]-Table1[[#This Row],[Total Cost]]</f>
        <v>4500</v>
      </c>
    </row>
    <row r="258" spans="1:15">
      <c r="A258" s="3">
        <v>257</v>
      </c>
      <c r="B258" s="4">
        <v>44922</v>
      </c>
      <c r="C258" s="4" t="str">
        <f>TEXT(Table1[[#This Row],[Date]],"YYYY")</f>
        <v>2022</v>
      </c>
      <c r="D258" s="4" t="str">
        <f>TEXT(Table1[[#This Row],[Date]],"MMM")</f>
        <v>Dec</v>
      </c>
      <c r="E258" s="5" t="s">
        <v>33</v>
      </c>
      <c r="F258" s="3" t="s">
        <v>61</v>
      </c>
      <c r="G258" s="3" t="s">
        <v>25</v>
      </c>
      <c r="H258" s="3" t="s">
        <v>17</v>
      </c>
      <c r="I258" s="3">
        <v>1</v>
      </c>
      <c r="J258" s="3">
        <v>53100</v>
      </c>
      <c r="K258" s="3">
        <v>59000</v>
      </c>
      <c r="L258" s="3">
        <v>9</v>
      </c>
      <c r="M258">
        <f>Table1[[#This Row],[Qty]]*Table1[[#This Row],[Sales Price]]</f>
        <v>531000</v>
      </c>
      <c r="N258">
        <f>Table1[[#This Row],[Qty]]*Table1[[#This Row],[Cost]]</f>
        <v>477900</v>
      </c>
      <c r="O258">
        <f>Table1[[#This Row],[Revenue]]-Table1[[#This Row],[Total Cost]]</f>
        <v>53100</v>
      </c>
    </row>
    <row r="259" spans="1:15">
      <c r="A259" s="3">
        <v>258</v>
      </c>
      <c r="B259" s="4">
        <v>44923</v>
      </c>
      <c r="C259" s="4" t="str">
        <f>TEXT(Table1[[#This Row],[Date]],"YYYY")</f>
        <v>2022</v>
      </c>
      <c r="D259" s="4" t="str">
        <f>TEXT(Table1[[#This Row],[Date]],"MMM")</f>
        <v>Dec</v>
      </c>
      <c r="E259" s="5" t="s">
        <v>40</v>
      </c>
      <c r="F259" s="3" t="s">
        <v>18</v>
      </c>
      <c r="G259" s="3" t="s">
        <v>26</v>
      </c>
      <c r="H259" s="3" t="s">
        <v>17</v>
      </c>
      <c r="I259" s="3">
        <v>1</v>
      </c>
      <c r="J259" s="3">
        <v>88200</v>
      </c>
      <c r="K259" s="3">
        <v>98000</v>
      </c>
      <c r="L259" s="3">
        <v>27</v>
      </c>
      <c r="M259">
        <f>Table1[[#This Row],[Qty]]*Table1[[#This Row],[Sales Price]]</f>
        <v>2646000</v>
      </c>
      <c r="N259">
        <f>Table1[[#This Row],[Qty]]*Table1[[#This Row],[Cost]]</f>
        <v>2381400</v>
      </c>
      <c r="O259">
        <f>Table1[[#This Row],[Revenue]]-Table1[[#This Row],[Total Cost]]</f>
        <v>264600</v>
      </c>
    </row>
    <row r="260" spans="1:15">
      <c r="A260" s="3">
        <v>259</v>
      </c>
      <c r="B260" s="4">
        <v>44924</v>
      </c>
      <c r="C260" s="4" t="str">
        <f>TEXT(Table1[[#This Row],[Date]],"YYYY")</f>
        <v>2022</v>
      </c>
      <c r="D260" s="4" t="str">
        <f>TEXT(Table1[[#This Row],[Date]],"MMM")</f>
        <v>Dec</v>
      </c>
      <c r="E260" s="5" t="s">
        <v>39</v>
      </c>
      <c r="F260" s="3" t="s">
        <v>15</v>
      </c>
      <c r="G260" s="3" t="s">
        <v>37</v>
      </c>
      <c r="H260" s="3" t="s">
        <v>17</v>
      </c>
      <c r="I260" s="3">
        <v>1</v>
      </c>
      <c r="J260" s="3">
        <v>8640</v>
      </c>
      <c r="K260" s="3">
        <v>9600</v>
      </c>
      <c r="L260" s="3">
        <v>15</v>
      </c>
      <c r="M260">
        <f>Table1[[#This Row],[Qty]]*Table1[[#This Row],[Sales Price]]</f>
        <v>144000</v>
      </c>
      <c r="N260">
        <f>Table1[[#This Row],[Qty]]*Table1[[#This Row],[Cost]]</f>
        <v>129600</v>
      </c>
      <c r="O260">
        <f>Table1[[#This Row],[Revenue]]-Table1[[#This Row],[Total Cost]]</f>
        <v>14400</v>
      </c>
    </row>
    <row r="261" spans="1:15">
      <c r="A261" s="3">
        <v>260</v>
      </c>
      <c r="B261" s="4">
        <v>44925</v>
      </c>
      <c r="C261" s="4" t="str">
        <f>TEXT(Table1[[#This Row],[Date]],"YYYY")</f>
        <v>2022</v>
      </c>
      <c r="D261" s="4" t="str">
        <f>TEXT(Table1[[#This Row],[Date]],"MMM")</f>
        <v>Dec</v>
      </c>
      <c r="E261" s="5" t="s">
        <v>31</v>
      </c>
      <c r="F261" s="3" t="s">
        <v>61</v>
      </c>
      <c r="G261" s="3" t="s">
        <v>41</v>
      </c>
      <c r="H261" s="3" t="s">
        <v>28</v>
      </c>
      <c r="I261" s="3">
        <v>0</v>
      </c>
      <c r="J261" s="3">
        <v>8280</v>
      </c>
      <c r="K261" s="3">
        <v>9200</v>
      </c>
      <c r="L261" s="3">
        <v>3</v>
      </c>
      <c r="M261">
        <f>Table1[[#This Row],[Qty]]*Table1[[#This Row],[Sales Price]]</f>
        <v>27600</v>
      </c>
      <c r="N261">
        <f>Table1[[#This Row],[Qty]]*Table1[[#This Row],[Cost]]</f>
        <v>24840</v>
      </c>
      <c r="O261">
        <f>Table1[[#This Row],[Revenue]]-Table1[[#This Row],[Total Cost]]</f>
        <v>2760</v>
      </c>
    </row>
    <row r="262" spans="1:15">
      <c r="A262" s="3">
        <v>261</v>
      </c>
      <c r="B262" s="4">
        <v>44926</v>
      </c>
      <c r="C262" s="4" t="str">
        <f>TEXT(Table1[[#This Row],[Date]],"YYYY")</f>
        <v>2022</v>
      </c>
      <c r="D262" s="4" t="str">
        <f>TEXT(Table1[[#This Row],[Date]],"MMM")</f>
        <v>Dec</v>
      </c>
      <c r="E262" s="5" t="s">
        <v>35</v>
      </c>
      <c r="F262" s="3" t="s">
        <v>18</v>
      </c>
      <c r="G262" s="3" t="s">
        <v>27</v>
      </c>
      <c r="H262" s="3" t="s">
        <v>28</v>
      </c>
      <c r="I262" s="3">
        <v>1</v>
      </c>
      <c r="J262" s="3">
        <v>4950</v>
      </c>
      <c r="K262" s="3">
        <v>5500</v>
      </c>
      <c r="L262" s="3">
        <v>9</v>
      </c>
      <c r="M262">
        <f>Table1[[#This Row],[Qty]]*Table1[[#This Row],[Sales Price]]</f>
        <v>49500</v>
      </c>
      <c r="N262">
        <f>Table1[[#This Row],[Qty]]*Table1[[#This Row],[Cost]]</f>
        <v>44550</v>
      </c>
      <c r="O262">
        <f>Table1[[#This Row],[Revenue]]-Table1[[#This Row],[Total Cost]]</f>
        <v>4950</v>
      </c>
    </row>
    <row r="263" spans="1:15">
      <c r="A263" s="3">
        <v>262</v>
      </c>
      <c r="B263" s="4">
        <v>44927</v>
      </c>
      <c r="C263" s="4" t="str">
        <f>TEXT(Table1[[#This Row],[Date]],"YYYY")</f>
        <v>2023</v>
      </c>
      <c r="D263" s="4" t="str">
        <f>TEXT(Table1[[#This Row],[Date]],"MMM")</f>
        <v>Jan</v>
      </c>
      <c r="E263" s="5" t="s">
        <v>31</v>
      </c>
      <c r="F263" s="3" t="s">
        <v>15</v>
      </c>
      <c r="G263" s="3" t="s">
        <v>32</v>
      </c>
      <c r="H263" s="3" t="s">
        <v>28</v>
      </c>
      <c r="I263" s="3">
        <v>0</v>
      </c>
      <c r="J263" s="3">
        <v>3150</v>
      </c>
      <c r="K263" s="3">
        <v>3500</v>
      </c>
      <c r="L263" s="3">
        <v>22</v>
      </c>
      <c r="M263">
        <f>Table1[[#This Row],[Qty]]*Table1[[#This Row],[Sales Price]]</f>
        <v>77000</v>
      </c>
      <c r="N263">
        <f>Table1[[#This Row],[Qty]]*Table1[[#This Row],[Cost]]</f>
        <v>69300</v>
      </c>
      <c r="O263">
        <f>Table1[[#This Row],[Revenue]]-Table1[[#This Row],[Total Cost]]</f>
        <v>7700</v>
      </c>
    </row>
    <row r="264" spans="1:15">
      <c r="A264" s="3">
        <v>263</v>
      </c>
      <c r="B264" s="4">
        <v>44928</v>
      </c>
      <c r="C264" s="4" t="str">
        <f>TEXT(Table1[[#This Row],[Date]],"YYYY")</f>
        <v>2023</v>
      </c>
      <c r="D264" s="4" t="str">
        <f>TEXT(Table1[[#This Row],[Date]],"MMM")</f>
        <v>Jan</v>
      </c>
      <c r="E264" s="5" t="s">
        <v>39</v>
      </c>
      <c r="F264" s="3" t="s">
        <v>61</v>
      </c>
      <c r="G264" s="3" t="s">
        <v>42</v>
      </c>
      <c r="H264" s="3" t="s">
        <v>43</v>
      </c>
      <c r="I264" s="3"/>
      <c r="J264" s="3">
        <v>2700</v>
      </c>
      <c r="K264" s="3">
        <v>3000</v>
      </c>
      <c r="L264" s="3">
        <v>16</v>
      </c>
      <c r="M264">
        <f>Table1[[#This Row],[Qty]]*Table1[[#This Row],[Sales Price]]</f>
        <v>48000</v>
      </c>
      <c r="N264">
        <f>Table1[[#This Row],[Qty]]*Table1[[#This Row],[Cost]]</f>
        <v>43200</v>
      </c>
      <c r="O264">
        <f>Table1[[#This Row],[Revenue]]-Table1[[#This Row],[Total Cost]]</f>
        <v>4800</v>
      </c>
    </row>
    <row r="265" spans="1:15">
      <c r="A265" s="3">
        <v>264</v>
      </c>
      <c r="B265" s="4">
        <v>44929</v>
      </c>
      <c r="C265" s="4" t="str">
        <f>TEXT(Table1[[#This Row],[Date]],"YYYY")</f>
        <v>2023</v>
      </c>
      <c r="D265" s="4" t="str">
        <f>TEXT(Table1[[#This Row],[Date]],"MMM")</f>
        <v>Jan</v>
      </c>
      <c r="E265" s="5" t="s">
        <v>39</v>
      </c>
      <c r="F265" s="3" t="s">
        <v>18</v>
      </c>
      <c r="G265" s="3" t="s">
        <v>44</v>
      </c>
      <c r="H265" s="3" t="s">
        <v>43</v>
      </c>
      <c r="I265" s="3"/>
      <c r="J265" s="3">
        <v>4050</v>
      </c>
      <c r="K265" s="3">
        <v>4500</v>
      </c>
      <c r="L265" s="3">
        <v>6</v>
      </c>
      <c r="M265">
        <f>Table1[[#This Row],[Qty]]*Table1[[#This Row],[Sales Price]]</f>
        <v>27000</v>
      </c>
      <c r="N265">
        <f>Table1[[#This Row],[Qty]]*Table1[[#This Row],[Cost]]</f>
        <v>24300</v>
      </c>
      <c r="O265">
        <f>Table1[[#This Row],[Revenue]]-Table1[[#This Row],[Total Cost]]</f>
        <v>2700</v>
      </c>
    </row>
    <row r="266" spans="1:15">
      <c r="A266" s="3">
        <v>265</v>
      </c>
      <c r="B266" s="4">
        <v>44930</v>
      </c>
      <c r="C266" s="4" t="str">
        <f>TEXT(Table1[[#This Row],[Date]],"YYYY")</f>
        <v>2023</v>
      </c>
      <c r="D266" s="4" t="str">
        <f>TEXT(Table1[[#This Row],[Date]],"MMM")</f>
        <v>Jan</v>
      </c>
      <c r="E266" s="5" t="s">
        <v>63</v>
      </c>
      <c r="F266" s="3" t="s">
        <v>15</v>
      </c>
      <c r="G266" s="3" t="s">
        <v>45</v>
      </c>
      <c r="H266" s="3" t="s">
        <v>43</v>
      </c>
      <c r="I266" s="3"/>
      <c r="J266" s="3">
        <v>53100</v>
      </c>
      <c r="K266" s="3">
        <v>59000</v>
      </c>
      <c r="L266" s="3">
        <v>3</v>
      </c>
      <c r="M266">
        <f>Table1[[#This Row],[Qty]]*Table1[[#This Row],[Sales Price]]</f>
        <v>177000</v>
      </c>
      <c r="N266">
        <f>Table1[[#This Row],[Qty]]*Table1[[#This Row],[Cost]]</f>
        <v>159300</v>
      </c>
      <c r="O266">
        <f>Table1[[#This Row],[Revenue]]-Table1[[#This Row],[Total Cost]]</f>
        <v>17700</v>
      </c>
    </row>
    <row r="267" spans="1:15">
      <c r="A267" s="3">
        <v>266</v>
      </c>
      <c r="B267" s="4">
        <v>44931</v>
      </c>
      <c r="C267" s="4" t="str">
        <f>TEXT(Table1[[#This Row],[Date]],"YYYY")</f>
        <v>2023</v>
      </c>
      <c r="D267" s="4" t="str">
        <f>TEXT(Table1[[#This Row],[Date]],"MMM")</f>
        <v>Jan</v>
      </c>
      <c r="E267" s="5" t="s">
        <v>56</v>
      </c>
      <c r="F267" s="3" t="s">
        <v>61</v>
      </c>
      <c r="G267" s="3" t="s">
        <v>47</v>
      </c>
      <c r="H267" s="3" t="s">
        <v>43</v>
      </c>
      <c r="I267" s="3">
        <v>1</v>
      </c>
      <c r="J267" s="3">
        <v>88200</v>
      </c>
      <c r="K267" s="3">
        <v>98000</v>
      </c>
      <c r="L267" s="3">
        <v>5</v>
      </c>
      <c r="M267">
        <f>Table1[[#This Row],[Qty]]*Table1[[#This Row],[Sales Price]]</f>
        <v>490000</v>
      </c>
      <c r="N267">
        <f>Table1[[#This Row],[Qty]]*Table1[[#This Row],[Cost]]</f>
        <v>441000</v>
      </c>
      <c r="O267">
        <f>Table1[[#This Row],[Revenue]]-Table1[[#This Row],[Total Cost]]</f>
        <v>49000</v>
      </c>
    </row>
    <row r="268" spans="1:15">
      <c r="A268" s="3">
        <v>267</v>
      </c>
      <c r="B268" s="4">
        <v>44932</v>
      </c>
      <c r="C268" s="4" t="str">
        <f>TEXT(Table1[[#This Row],[Date]],"YYYY")</f>
        <v>2023</v>
      </c>
      <c r="D268" s="4" t="str">
        <f>TEXT(Table1[[#This Row],[Date]],"MMM")</f>
        <v>Jan</v>
      </c>
      <c r="E268" s="5" t="s">
        <v>31</v>
      </c>
      <c r="F268" s="3" t="s">
        <v>18</v>
      </c>
      <c r="G268" s="3" t="s">
        <v>48</v>
      </c>
      <c r="H268" s="3" t="s">
        <v>43</v>
      </c>
      <c r="I268" s="3">
        <v>1</v>
      </c>
      <c r="J268" s="3">
        <v>38250</v>
      </c>
      <c r="K268" s="3">
        <v>42500</v>
      </c>
      <c r="L268" s="3">
        <v>1</v>
      </c>
      <c r="M268">
        <f>Table1[[#This Row],[Qty]]*Table1[[#This Row],[Sales Price]]</f>
        <v>42500</v>
      </c>
      <c r="N268">
        <f>Table1[[#This Row],[Qty]]*Table1[[#This Row],[Cost]]</f>
        <v>38250</v>
      </c>
      <c r="O268">
        <f>Table1[[#This Row],[Revenue]]-Table1[[#This Row],[Total Cost]]</f>
        <v>4250</v>
      </c>
    </row>
    <row r="269" spans="1:15">
      <c r="A269" s="3">
        <v>268</v>
      </c>
      <c r="B269" s="4">
        <v>44933</v>
      </c>
      <c r="C269" s="4" t="str">
        <f>TEXT(Table1[[#This Row],[Date]],"YYYY")</f>
        <v>2023</v>
      </c>
      <c r="D269" s="4" t="str">
        <f>TEXT(Table1[[#This Row],[Date]],"MMM")</f>
        <v>Jan</v>
      </c>
      <c r="E269" s="5" t="s">
        <v>40</v>
      </c>
      <c r="F269" s="3" t="s">
        <v>15</v>
      </c>
      <c r="G269" s="3" t="s">
        <v>42</v>
      </c>
      <c r="H269" s="3" t="s">
        <v>43</v>
      </c>
      <c r="I269" s="3">
        <v>0</v>
      </c>
      <c r="J269" s="3">
        <v>2700</v>
      </c>
      <c r="K269" s="3">
        <v>3000</v>
      </c>
      <c r="L269" s="3">
        <v>5</v>
      </c>
      <c r="M269">
        <f>Table1[[#This Row],[Qty]]*Table1[[#This Row],[Sales Price]]</f>
        <v>15000</v>
      </c>
      <c r="N269">
        <f>Table1[[#This Row],[Qty]]*Table1[[#This Row],[Cost]]</f>
        <v>13500</v>
      </c>
      <c r="O269">
        <f>Table1[[#This Row],[Revenue]]-Table1[[#This Row],[Total Cost]]</f>
        <v>1500</v>
      </c>
    </row>
    <row r="270" spans="1:15">
      <c r="A270" s="3">
        <v>269</v>
      </c>
      <c r="B270" s="4">
        <v>44934</v>
      </c>
      <c r="C270" s="4" t="str">
        <f>TEXT(Table1[[#This Row],[Date]],"YYYY")</f>
        <v>2023</v>
      </c>
      <c r="D270" s="4" t="str">
        <f>TEXT(Table1[[#This Row],[Date]],"MMM")</f>
        <v>Jan</v>
      </c>
      <c r="E270" s="5" t="s">
        <v>22</v>
      </c>
      <c r="F270" s="3" t="s">
        <v>61</v>
      </c>
      <c r="G270" s="3" t="s">
        <v>44</v>
      </c>
      <c r="H270" s="3" t="s">
        <v>43</v>
      </c>
      <c r="I270" s="3">
        <v>1</v>
      </c>
      <c r="J270" s="3">
        <v>23850</v>
      </c>
      <c r="K270" s="3">
        <v>26500</v>
      </c>
      <c r="L270" s="3">
        <v>7</v>
      </c>
      <c r="M270">
        <f>Table1[[#This Row],[Qty]]*Table1[[#This Row],[Sales Price]]</f>
        <v>185500</v>
      </c>
      <c r="N270">
        <f>Table1[[#This Row],[Qty]]*Table1[[#This Row],[Cost]]</f>
        <v>166950</v>
      </c>
      <c r="O270">
        <f>Table1[[#This Row],[Revenue]]-Table1[[#This Row],[Total Cost]]</f>
        <v>18550</v>
      </c>
    </row>
    <row r="271" spans="1:15">
      <c r="A271" s="3">
        <v>270</v>
      </c>
      <c r="B271" s="4">
        <v>44935</v>
      </c>
      <c r="C271" s="4" t="str">
        <f>TEXT(Table1[[#This Row],[Date]],"YYYY")</f>
        <v>2023</v>
      </c>
      <c r="D271" s="4" t="str">
        <f>TEXT(Table1[[#This Row],[Date]],"MMM")</f>
        <v>Jan</v>
      </c>
      <c r="E271" s="5" t="s">
        <v>31</v>
      </c>
      <c r="F271" s="3" t="s">
        <v>18</v>
      </c>
      <c r="G271" s="3" t="s">
        <v>45</v>
      </c>
      <c r="H271" s="3" t="s">
        <v>43</v>
      </c>
      <c r="I271" s="3">
        <v>1</v>
      </c>
      <c r="J271" s="3">
        <v>24750</v>
      </c>
      <c r="K271" s="3">
        <v>27500</v>
      </c>
      <c r="L271" s="3">
        <v>4</v>
      </c>
      <c r="M271">
        <f>Table1[[#This Row],[Qty]]*Table1[[#This Row],[Sales Price]]</f>
        <v>110000</v>
      </c>
      <c r="N271">
        <f>Table1[[#This Row],[Qty]]*Table1[[#This Row],[Cost]]</f>
        <v>99000</v>
      </c>
      <c r="O271">
        <f>Table1[[#This Row],[Revenue]]-Table1[[#This Row],[Total Cost]]</f>
        <v>11000</v>
      </c>
    </row>
    <row r="272" spans="1:15">
      <c r="A272" s="3">
        <v>271</v>
      </c>
      <c r="B272" s="4">
        <v>44936</v>
      </c>
      <c r="C272" s="4" t="str">
        <f>TEXT(Table1[[#This Row],[Date]],"YYYY")</f>
        <v>2023</v>
      </c>
      <c r="D272" s="4" t="str">
        <f>TEXT(Table1[[#This Row],[Date]],"MMM")</f>
        <v>Jan</v>
      </c>
      <c r="E272" s="5" t="s">
        <v>39</v>
      </c>
      <c r="F272" s="3" t="s">
        <v>18</v>
      </c>
      <c r="G272" s="3" t="s">
        <v>47</v>
      </c>
      <c r="H272" s="3" t="s">
        <v>43</v>
      </c>
      <c r="I272" s="3">
        <v>1</v>
      </c>
      <c r="J272" s="3">
        <v>44550</v>
      </c>
      <c r="K272" s="3">
        <v>49500</v>
      </c>
      <c r="L272" s="3">
        <v>8</v>
      </c>
      <c r="M272">
        <f>Table1[[#This Row],[Qty]]*Table1[[#This Row],[Sales Price]]</f>
        <v>396000</v>
      </c>
      <c r="N272">
        <f>Table1[[#This Row],[Qty]]*Table1[[#This Row],[Cost]]</f>
        <v>356400</v>
      </c>
      <c r="O272">
        <f>Table1[[#This Row],[Revenue]]-Table1[[#This Row],[Total Cost]]</f>
        <v>39600</v>
      </c>
    </row>
    <row r="273" spans="1:15">
      <c r="A273" s="3">
        <v>272</v>
      </c>
      <c r="B273" s="4">
        <v>44937</v>
      </c>
      <c r="C273" s="4" t="str">
        <f>TEXT(Table1[[#This Row],[Date]],"YYYY")</f>
        <v>2023</v>
      </c>
      <c r="D273" s="4" t="str">
        <f>TEXT(Table1[[#This Row],[Date]],"MMM")</f>
        <v>Jan</v>
      </c>
      <c r="E273" s="5" t="s">
        <v>24</v>
      </c>
      <c r="F273" s="3" t="s">
        <v>15</v>
      </c>
      <c r="G273" s="3" t="s">
        <v>48</v>
      </c>
      <c r="H273" s="3" t="s">
        <v>43</v>
      </c>
      <c r="I273" s="3">
        <v>1</v>
      </c>
      <c r="J273" s="3">
        <v>9000</v>
      </c>
      <c r="K273" s="3">
        <v>10000</v>
      </c>
      <c r="L273" s="3">
        <v>8</v>
      </c>
      <c r="M273">
        <f>Table1[[#This Row],[Qty]]*Table1[[#This Row],[Sales Price]]</f>
        <v>80000</v>
      </c>
      <c r="N273">
        <f>Table1[[#This Row],[Qty]]*Table1[[#This Row],[Cost]]</f>
        <v>72000</v>
      </c>
      <c r="O273">
        <f>Table1[[#This Row],[Revenue]]-Table1[[#This Row],[Total Cost]]</f>
        <v>8000</v>
      </c>
    </row>
    <row r="274" spans="1:15">
      <c r="A274" s="3">
        <v>273</v>
      </c>
      <c r="B274" s="4">
        <v>44938</v>
      </c>
      <c r="C274" s="4" t="str">
        <f>TEXT(Table1[[#This Row],[Date]],"YYYY")</f>
        <v>2023</v>
      </c>
      <c r="D274" s="4" t="str">
        <f>TEXT(Table1[[#This Row],[Date]],"MMM")</f>
        <v>Jan</v>
      </c>
      <c r="E274" s="5" t="s">
        <v>59</v>
      </c>
      <c r="F274" s="3" t="s">
        <v>61</v>
      </c>
      <c r="G274" s="3" t="s">
        <v>48</v>
      </c>
      <c r="H274" s="3" t="s">
        <v>43</v>
      </c>
      <c r="I274" s="3"/>
      <c r="J274" s="3">
        <v>8640</v>
      </c>
      <c r="K274" s="3">
        <v>9600</v>
      </c>
      <c r="L274" s="3">
        <v>9</v>
      </c>
      <c r="M274">
        <f>Table1[[#This Row],[Qty]]*Table1[[#This Row],[Sales Price]]</f>
        <v>86400</v>
      </c>
      <c r="N274">
        <f>Table1[[#This Row],[Qty]]*Table1[[#This Row],[Cost]]</f>
        <v>77760</v>
      </c>
      <c r="O274">
        <f>Table1[[#This Row],[Revenue]]-Table1[[#This Row],[Total Cost]]</f>
        <v>8640</v>
      </c>
    </row>
    <row r="275" spans="1:15">
      <c r="A275" s="3">
        <v>274</v>
      </c>
      <c r="B275" s="4">
        <v>44939</v>
      </c>
      <c r="C275" s="4" t="str">
        <f>TEXT(Table1[[#This Row],[Date]],"YYYY")</f>
        <v>2023</v>
      </c>
      <c r="D275" s="4" t="str">
        <f>TEXT(Table1[[#This Row],[Date]],"MMM")</f>
        <v>Jan</v>
      </c>
      <c r="E275" s="5" t="s">
        <v>40</v>
      </c>
      <c r="F275" s="3" t="s">
        <v>18</v>
      </c>
      <c r="G275" s="3" t="s">
        <v>42</v>
      </c>
      <c r="H275" s="3" t="s">
        <v>43</v>
      </c>
      <c r="I275" s="3"/>
      <c r="J275" s="3">
        <v>9000</v>
      </c>
      <c r="K275" s="3">
        <v>10000</v>
      </c>
      <c r="L275" s="3">
        <v>2</v>
      </c>
      <c r="M275">
        <f>Table1[[#This Row],[Qty]]*Table1[[#This Row],[Sales Price]]</f>
        <v>20000</v>
      </c>
      <c r="N275">
        <f>Table1[[#This Row],[Qty]]*Table1[[#This Row],[Cost]]</f>
        <v>18000</v>
      </c>
      <c r="O275">
        <f>Table1[[#This Row],[Revenue]]-Table1[[#This Row],[Total Cost]]</f>
        <v>2000</v>
      </c>
    </row>
    <row r="276" spans="1:15">
      <c r="A276" s="3">
        <v>275</v>
      </c>
      <c r="B276" s="4">
        <v>44940</v>
      </c>
      <c r="C276" s="4" t="str">
        <f>TEXT(Table1[[#This Row],[Date]],"YYYY")</f>
        <v>2023</v>
      </c>
      <c r="D276" s="4" t="str">
        <f>TEXT(Table1[[#This Row],[Date]],"MMM")</f>
        <v>Jan</v>
      </c>
      <c r="E276" s="5" t="s">
        <v>31</v>
      </c>
      <c r="F276" s="3" t="s">
        <v>18</v>
      </c>
      <c r="G276" s="3" t="s">
        <v>42</v>
      </c>
      <c r="H276" s="3" t="s">
        <v>43</v>
      </c>
      <c r="I276" s="3">
        <v>1</v>
      </c>
      <c r="J276" s="3">
        <v>3870</v>
      </c>
      <c r="K276" s="3">
        <v>4300</v>
      </c>
      <c r="L276" s="3">
        <v>1</v>
      </c>
      <c r="M276">
        <f>Table1[[#This Row],[Qty]]*Table1[[#This Row],[Sales Price]]</f>
        <v>4300</v>
      </c>
      <c r="N276">
        <f>Table1[[#This Row],[Qty]]*Table1[[#This Row],[Cost]]</f>
        <v>3870</v>
      </c>
      <c r="O276">
        <f>Table1[[#This Row],[Revenue]]-Table1[[#This Row],[Total Cost]]</f>
        <v>430</v>
      </c>
    </row>
    <row r="277" spans="1:15">
      <c r="A277" s="3">
        <v>276</v>
      </c>
      <c r="B277" s="4">
        <v>44941</v>
      </c>
      <c r="C277" s="4" t="str">
        <f>TEXT(Table1[[#This Row],[Date]],"YYYY")</f>
        <v>2023</v>
      </c>
      <c r="D277" s="4" t="str">
        <f>TEXT(Table1[[#This Row],[Date]],"MMM")</f>
        <v>Jan</v>
      </c>
      <c r="E277" s="5" t="s">
        <v>22</v>
      </c>
      <c r="F277" s="3" t="s">
        <v>15</v>
      </c>
      <c r="G277" s="3" t="s">
        <v>44</v>
      </c>
      <c r="H277" s="3" t="s">
        <v>43</v>
      </c>
      <c r="I277" s="3">
        <v>1</v>
      </c>
      <c r="J277" s="3">
        <v>8640</v>
      </c>
      <c r="K277" s="3">
        <v>9600</v>
      </c>
      <c r="L277" s="3">
        <v>22</v>
      </c>
      <c r="M277">
        <f>Table1[[#This Row],[Qty]]*Table1[[#This Row],[Sales Price]]</f>
        <v>211200</v>
      </c>
      <c r="N277">
        <f>Table1[[#This Row],[Qty]]*Table1[[#This Row],[Cost]]</f>
        <v>190080</v>
      </c>
      <c r="O277">
        <f>Table1[[#This Row],[Revenue]]-Table1[[#This Row],[Total Cost]]</f>
        <v>21120</v>
      </c>
    </row>
    <row r="278" spans="1:15">
      <c r="A278" s="3">
        <v>277</v>
      </c>
      <c r="B278" s="4">
        <v>44942</v>
      </c>
      <c r="C278" s="4" t="str">
        <f>TEXT(Table1[[#This Row],[Date]],"YYYY")</f>
        <v>2023</v>
      </c>
      <c r="D278" s="4" t="str">
        <f>TEXT(Table1[[#This Row],[Date]],"MMM")</f>
        <v>Jan</v>
      </c>
      <c r="E278" s="5" t="s">
        <v>24</v>
      </c>
      <c r="F278" s="3" t="s">
        <v>61</v>
      </c>
      <c r="G278" s="3" t="s">
        <v>45</v>
      </c>
      <c r="H278" s="3" t="s">
        <v>43</v>
      </c>
      <c r="I278" s="3">
        <v>1</v>
      </c>
      <c r="J278" s="3">
        <v>8280</v>
      </c>
      <c r="K278" s="3">
        <v>9200</v>
      </c>
      <c r="L278" s="3">
        <v>8</v>
      </c>
      <c r="M278">
        <f>Table1[[#This Row],[Qty]]*Table1[[#This Row],[Sales Price]]</f>
        <v>73600</v>
      </c>
      <c r="N278">
        <f>Table1[[#This Row],[Qty]]*Table1[[#This Row],[Cost]]</f>
        <v>66240</v>
      </c>
      <c r="O278">
        <f>Table1[[#This Row],[Revenue]]-Table1[[#This Row],[Total Cost]]</f>
        <v>7360</v>
      </c>
    </row>
    <row r="279" spans="1:15">
      <c r="A279" s="3">
        <v>278</v>
      </c>
      <c r="B279" s="4">
        <v>44943</v>
      </c>
      <c r="C279" s="4" t="str">
        <f>TEXT(Table1[[#This Row],[Date]],"YYYY")</f>
        <v>2023</v>
      </c>
      <c r="D279" s="4" t="str">
        <f>TEXT(Table1[[#This Row],[Date]],"MMM")</f>
        <v>Jan</v>
      </c>
      <c r="E279" s="5" t="s">
        <v>33</v>
      </c>
      <c r="F279" s="3" t="s">
        <v>18</v>
      </c>
      <c r="G279" s="3" t="s">
        <v>47</v>
      </c>
      <c r="H279" s="3" t="s">
        <v>43</v>
      </c>
      <c r="I279" s="3">
        <v>1</v>
      </c>
      <c r="J279" s="3">
        <v>4950</v>
      </c>
      <c r="K279" s="3">
        <v>5500</v>
      </c>
      <c r="L279" s="3">
        <v>7</v>
      </c>
      <c r="M279">
        <f>Table1[[#This Row],[Qty]]*Table1[[#This Row],[Sales Price]]</f>
        <v>38500</v>
      </c>
      <c r="N279">
        <f>Table1[[#This Row],[Qty]]*Table1[[#This Row],[Cost]]</f>
        <v>34650</v>
      </c>
      <c r="O279">
        <f>Table1[[#This Row],[Revenue]]-Table1[[#This Row],[Total Cost]]</f>
        <v>3850</v>
      </c>
    </row>
    <row r="280" spans="1:15">
      <c r="A280" s="3">
        <v>279</v>
      </c>
      <c r="B280" s="4">
        <v>44944</v>
      </c>
      <c r="C280" s="4" t="str">
        <f>TEXT(Table1[[#This Row],[Date]],"YYYY")</f>
        <v>2023</v>
      </c>
      <c r="D280" s="4" t="str">
        <f>TEXT(Table1[[#This Row],[Date]],"MMM")</f>
        <v>Jan</v>
      </c>
      <c r="E280" s="5" t="s">
        <v>58</v>
      </c>
      <c r="F280" s="3" t="s">
        <v>18</v>
      </c>
      <c r="G280" s="3" t="s">
        <v>48</v>
      </c>
      <c r="H280" s="3" t="s">
        <v>43</v>
      </c>
      <c r="I280" s="3">
        <v>1</v>
      </c>
      <c r="J280" s="3">
        <v>3150</v>
      </c>
      <c r="K280" s="3">
        <v>3500</v>
      </c>
      <c r="L280" s="3">
        <v>56</v>
      </c>
      <c r="M280">
        <f>Table1[[#This Row],[Qty]]*Table1[[#This Row],[Sales Price]]</f>
        <v>196000</v>
      </c>
      <c r="N280">
        <f>Table1[[#This Row],[Qty]]*Table1[[#This Row],[Cost]]</f>
        <v>176400</v>
      </c>
      <c r="O280">
        <f>Table1[[#This Row],[Revenue]]-Table1[[#This Row],[Total Cost]]</f>
        <v>19600</v>
      </c>
    </row>
    <row r="281" spans="1:15">
      <c r="A281" s="3">
        <v>280</v>
      </c>
      <c r="B281" s="4">
        <v>44945</v>
      </c>
      <c r="C281" s="4" t="str">
        <f>TEXT(Table1[[#This Row],[Date]],"YYYY")</f>
        <v>2023</v>
      </c>
      <c r="D281" s="4" t="str">
        <f>TEXT(Table1[[#This Row],[Date]],"MMM")</f>
        <v>Jan</v>
      </c>
      <c r="E281" s="5" t="s">
        <v>39</v>
      </c>
      <c r="F281" s="3" t="s">
        <v>18</v>
      </c>
      <c r="G281" s="3" t="s">
        <v>42</v>
      </c>
      <c r="H281" s="3" t="s">
        <v>43</v>
      </c>
      <c r="I281" s="3">
        <v>1</v>
      </c>
      <c r="J281" s="3">
        <v>2700</v>
      </c>
      <c r="K281" s="3">
        <v>3000</v>
      </c>
      <c r="L281" s="3">
        <v>10</v>
      </c>
      <c r="M281">
        <f>Table1[[#This Row],[Qty]]*Table1[[#This Row],[Sales Price]]</f>
        <v>30000</v>
      </c>
      <c r="N281">
        <f>Table1[[#This Row],[Qty]]*Table1[[#This Row],[Cost]]</f>
        <v>27000</v>
      </c>
      <c r="O281">
        <f>Table1[[#This Row],[Revenue]]-Table1[[#This Row],[Total Cost]]</f>
        <v>3000</v>
      </c>
    </row>
    <row r="282" spans="1:15">
      <c r="A282" s="3">
        <v>281</v>
      </c>
      <c r="B282" s="4">
        <v>44946</v>
      </c>
      <c r="C282" s="4" t="str">
        <f>TEXT(Table1[[#This Row],[Date]],"YYYY")</f>
        <v>2023</v>
      </c>
      <c r="D282" s="4" t="str">
        <f>TEXT(Table1[[#This Row],[Date]],"MMM")</f>
        <v>Jan</v>
      </c>
      <c r="E282" s="5" t="s">
        <v>53</v>
      </c>
      <c r="F282" s="3" t="s">
        <v>18</v>
      </c>
      <c r="G282" s="3" t="s">
        <v>44</v>
      </c>
      <c r="H282" s="3" t="s">
        <v>43</v>
      </c>
      <c r="I282" s="3"/>
      <c r="J282" s="3">
        <v>4050</v>
      </c>
      <c r="K282" s="3">
        <v>4500</v>
      </c>
      <c r="L282" s="3">
        <v>9</v>
      </c>
      <c r="M282">
        <f>Table1[[#This Row],[Qty]]*Table1[[#This Row],[Sales Price]]</f>
        <v>40500</v>
      </c>
      <c r="N282">
        <f>Table1[[#This Row],[Qty]]*Table1[[#This Row],[Cost]]</f>
        <v>36450</v>
      </c>
      <c r="O282">
        <f>Table1[[#This Row],[Revenue]]-Table1[[#This Row],[Total Cost]]</f>
        <v>4050</v>
      </c>
    </row>
    <row r="283" spans="1:15">
      <c r="A283" s="3">
        <v>282</v>
      </c>
      <c r="B283" s="4">
        <v>44947</v>
      </c>
      <c r="C283" s="4" t="str">
        <f>TEXT(Table1[[#This Row],[Date]],"YYYY")</f>
        <v>2023</v>
      </c>
      <c r="D283" s="4" t="str">
        <f>TEXT(Table1[[#This Row],[Date]],"MMM")</f>
        <v>Jan</v>
      </c>
      <c r="E283" s="5" t="s">
        <v>53</v>
      </c>
      <c r="F283" s="3" t="s">
        <v>18</v>
      </c>
      <c r="G283" s="3" t="s">
        <v>45</v>
      </c>
      <c r="H283" s="3" t="s">
        <v>43</v>
      </c>
      <c r="I283" s="3"/>
      <c r="J283" s="3">
        <v>53100</v>
      </c>
      <c r="K283" s="3">
        <v>59000</v>
      </c>
      <c r="L283" s="3">
        <v>27</v>
      </c>
      <c r="M283">
        <f>Table1[[#This Row],[Qty]]*Table1[[#This Row],[Sales Price]]</f>
        <v>1593000</v>
      </c>
      <c r="N283">
        <f>Table1[[#This Row],[Qty]]*Table1[[#This Row],[Cost]]</f>
        <v>1433700</v>
      </c>
      <c r="O283">
        <f>Table1[[#This Row],[Revenue]]-Table1[[#This Row],[Total Cost]]</f>
        <v>159300</v>
      </c>
    </row>
    <row r="284" spans="1:15">
      <c r="A284" s="3">
        <v>283</v>
      </c>
      <c r="B284" s="4">
        <v>44948</v>
      </c>
      <c r="C284" s="4" t="str">
        <f>TEXT(Table1[[#This Row],[Date]],"YYYY")</f>
        <v>2023</v>
      </c>
      <c r="D284" s="4" t="str">
        <f>TEXT(Table1[[#This Row],[Date]],"MMM")</f>
        <v>Jan</v>
      </c>
      <c r="E284" s="5" t="s">
        <v>14</v>
      </c>
      <c r="F284" s="3" t="s">
        <v>18</v>
      </c>
      <c r="G284" s="3" t="s">
        <v>47</v>
      </c>
      <c r="H284" s="3" t="s">
        <v>43</v>
      </c>
      <c r="I284" s="3"/>
      <c r="J284" s="3">
        <v>88200</v>
      </c>
      <c r="K284" s="3">
        <v>98000</v>
      </c>
      <c r="L284" s="3">
        <v>15</v>
      </c>
      <c r="M284">
        <f>Table1[[#This Row],[Qty]]*Table1[[#This Row],[Sales Price]]</f>
        <v>1470000</v>
      </c>
      <c r="N284">
        <f>Table1[[#This Row],[Qty]]*Table1[[#This Row],[Cost]]</f>
        <v>1323000</v>
      </c>
      <c r="O284">
        <f>Table1[[#This Row],[Revenue]]-Table1[[#This Row],[Total Cost]]</f>
        <v>147000</v>
      </c>
    </row>
    <row r="285" spans="1:15">
      <c r="A285" s="3">
        <v>284</v>
      </c>
      <c r="B285" s="4">
        <v>44949</v>
      </c>
      <c r="C285" s="4" t="str">
        <f>TEXT(Table1[[#This Row],[Date]],"YYYY")</f>
        <v>2023</v>
      </c>
      <c r="D285" s="4" t="str">
        <f>TEXT(Table1[[#This Row],[Date]],"MMM")</f>
        <v>Jan</v>
      </c>
      <c r="E285" s="5" t="s">
        <v>22</v>
      </c>
      <c r="F285" s="3" t="s">
        <v>18</v>
      </c>
      <c r="G285" s="3" t="s">
        <v>48</v>
      </c>
      <c r="H285" s="3" t="s">
        <v>43</v>
      </c>
      <c r="I285" s="3">
        <v>1</v>
      </c>
      <c r="J285" s="3">
        <v>38250</v>
      </c>
      <c r="K285" s="3">
        <v>42500</v>
      </c>
      <c r="L285" s="3">
        <v>3</v>
      </c>
      <c r="M285">
        <f>Table1[[#This Row],[Qty]]*Table1[[#This Row],[Sales Price]]</f>
        <v>127500</v>
      </c>
      <c r="N285">
        <f>Table1[[#This Row],[Qty]]*Table1[[#This Row],[Cost]]</f>
        <v>114750</v>
      </c>
      <c r="O285">
        <f>Table1[[#This Row],[Revenue]]-Table1[[#This Row],[Total Cost]]</f>
        <v>12750</v>
      </c>
    </row>
    <row r="286" spans="1:15">
      <c r="A286" s="3">
        <v>285</v>
      </c>
      <c r="B286" s="4">
        <v>44950</v>
      </c>
      <c r="C286" s="4" t="str">
        <f>TEXT(Table1[[#This Row],[Date]],"YYYY")</f>
        <v>2023</v>
      </c>
      <c r="D286" s="4" t="str">
        <f>TEXT(Table1[[#This Row],[Date]],"MMM")</f>
        <v>Jan</v>
      </c>
      <c r="E286" s="5" t="s">
        <v>56</v>
      </c>
      <c r="F286" s="3" t="s">
        <v>18</v>
      </c>
      <c r="G286" s="3" t="s">
        <v>48</v>
      </c>
      <c r="H286" s="3" t="s">
        <v>43</v>
      </c>
      <c r="I286" s="3">
        <v>1</v>
      </c>
      <c r="J286" s="3">
        <v>2700</v>
      </c>
      <c r="K286" s="3">
        <v>3000</v>
      </c>
      <c r="L286" s="3">
        <v>9</v>
      </c>
      <c r="M286">
        <f>Table1[[#This Row],[Qty]]*Table1[[#This Row],[Sales Price]]</f>
        <v>27000</v>
      </c>
      <c r="N286">
        <f>Table1[[#This Row],[Qty]]*Table1[[#This Row],[Cost]]</f>
        <v>24300</v>
      </c>
      <c r="O286">
        <f>Table1[[#This Row],[Revenue]]-Table1[[#This Row],[Total Cost]]</f>
        <v>2700</v>
      </c>
    </row>
    <row r="287" spans="1:15">
      <c r="A287" s="3">
        <v>286</v>
      </c>
      <c r="B287" s="4">
        <v>44951</v>
      </c>
      <c r="C287" s="4" t="str">
        <f>TEXT(Table1[[#This Row],[Date]],"YYYY")</f>
        <v>2023</v>
      </c>
      <c r="D287" s="4" t="str">
        <f>TEXT(Table1[[#This Row],[Date]],"MMM")</f>
        <v>Jan</v>
      </c>
      <c r="E287" s="5" t="s">
        <v>56</v>
      </c>
      <c r="F287" s="3" t="s">
        <v>18</v>
      </c>
      <c r="G287" s="3" t="s">
        <v>42</v>
      </c>
      <c r="H287" s="3" t="s">
        <v>43</v>
      </c>
      <c r="I287" s="3">
        <v>1</v>
      </c>
      <c r="J287" s="3">
        <v>23850</v>
      </c>
      <c r="K287" s="3">
        <v>26500</v>
      </c>
      <c r="L287" s="3">
        <v>22</v>
      </c>
      <c r="M287">
        <f>Table1[[#This Row],[Qty]]*Table1[[#This Row],[Sales Price]]</f>
        <v>583000</v>
      </c>
      <c r="N287">
        <f>Table1[[#This Row],[Qty]]*Table1[[#This Row],[Cost]]</f>
        <v>524700</v>
      </c>
      <c r="O287">
        <f>Table1[[#This Row],[Revenue]]-Table1[[#This Row],[Total Cost]]</f>
        <v>58300</v>
      </c>
    </row>
    <row r="288" spans="1:15">
      <c r="A288" s="3">
        <v>287</v>
      </c>
      <c r="B288" s="4">
        <v>44952</v>
      </c>
      <c r="C288" s="4" t="str">
        <f>TEXT(Table1[[#This Row],[Date]],"YYYY")</f>
        <v>2023</v>
      </c>
      <c r="D288" s="4" t="str">
        <f>TEXT(Table1[[#This Row],[Date]],"MMM")</f>
        <v>Jan</v>
      </c>
      <c r="E288" s="5" t="s">
        <v>31</v>
      </c>
      <c r="F288" s="3" t="s">
        <v>18</v>
      </c>
      <c r="G288" s="3" t="s">
        <v>38</v>
      </c>
      <c r="H288" s="3" t="s">
        <v>17</v>
      </c>
      <c r="I288" s="3">
        <v>0</v>
      </c>
      <c r="J288" s="3">
        <v>24750</v>
      </c>
      <c r="K288" s="3">
        <v>27500</v>
      </c>
      <c r="L288" s="3">
        <v>16</v>
      </c>
      <c r="M288">
        <f>Table1[[#This Row],[Qty]]*Table1[[#This Row],[Sales Price]]</f>
        <v>440000</v>
      </c>
      <c r="N288">
        <f>Table1[[#This Row],[Qty]]*Table1[[#This Row],[Cost]]</f>
        <v>396000</v>
      </c>
      <c r="O288">
        <f>Table1[[#This Row],[Revenue]]-Table1[[#This Row],[Total Cost]]</f>
        <v>44000</v>
      </c>
    </row>
    <row r="289" spans="1:15">
      <c r="A289" s="3">
        <v>288</v>
      </c>
      <c r="B289" s="4">
        <v>44953</v>
      </c>
      <c r="C289" s="4" t="str">
        <f>TEXT(Table1[[#This Row],[Date]],"YYYY")</f>
        <v>2023</v>
      </c>
      <c r="D289" s="4" t="str">
        <f>TEXT(Table1[[#This Row],[Date]],"MMM")</f>
        <v>Jan</v>
      </c>
      <c r="E289" s="5" t="s">
        <v>14</v>
      </c>
      <c r="F289" s="3" t="s">
        <v>18</v>
      </c>
      <c r="G289" s="3" t="s">
        <v>19</v>
      </c>
      <c r="H289" s="3" t="s">
        <v>17</v>
      </c>
      <c r="I289" s="3">
        <v>0</v>
      </c>
      <c r="J289" s="3">
        <v>44550</v>
      </c>
      <c r="K289" s="3">
        <v>49500</v>
      </c>
      <c r="L289" s="3">
        <v>6</v>
      </c>
      <c r="M289">
        <f>Table1[[#This Row],[Qty]]*Table1[[#This Row],[Sales Price]]</f>
        <v>297000</v>
      </c>
      <c r="N289">
        <f>Table1[[#This Row],[Qty]]*Table1[[#This Row],[Cost]]</f>
        <v>267300</v>
      </c>
      <c r="O289">
        <f>Table1[[#This Row],[Revenue]]-Table1[[#This Row],[Total Cost]]</f>
        <v>29700</v>
      </c>
    </row>
    <row r="290" spans="1:15">
      <c r="A290" s="3">
        <v>289</v>
      </c>
      <c r="B290" s="4">
        <v>44954</v>
      </c>
      <c r="C290" s="4" t="str">
        <f>TEXT(Table1[[#This Row],[Date]],"YYYY")</f>
        <v>2023</v>
      </c>
      <c r="D290" s="4" t="str">
        <f>TEXT(Table1[[#This Row],[Date]],"MMM")</f>
        <v>Jan</v>
      </c>
      <c r="E290" s="5" t="s">
        <v>22</v>
      </c>
      <c r="F290" s="3" t="s">
        <v>18</v>
      </c>
      <c r="G290" s="3" t="s">
        <v>21</v>
      </c>
      <c r="H290" s="3" t="s">
        <v>17</v>
      </c>
      <c r="I290" s="3">
        <v>0</v>
      </c>
      <c r="J290" s="3">
        <v>9000</v>
      </c>
      <c r="K290" s="3">
        <v>10000</v>
      </c>
      <c r="L290" s="3">
        <v>3</v>
      </c>
      <c r="M290">
        <f>Table1[[#This Row],[Qty]]*Table1[[#This Row],[Sales Price]]</f>
        <v>30000</v>
      </c>
      <c r="N290">
        <f>Table1[[#This Row],[Qty]]*Table1[[#This Row],[Cost]]</f>
        <v>27000</v>
      </c>
      <c r="O290">
        <f>Table1[[#This Row],[Revenue]]-Table1[[#This Row],[Total Cost]]</f>
        <v>3000</v>
      </c>
    </row>
    <row r="291" spans="1:15">
      <c r="A291" s="3">
        <v>290</v>
      </c>
      <c r="B291" s="4">
        <v>44955</v>
      </c>
      <c r="C291" s="4" t="str">
        <f>TEXT(Table1[[#This Row],[Date]],"YYYY")</f>
        <v>2023</v>
      </c>
      <c r="D291" s="4" t="str">
        <f>TEXT(Table1[[#This Row],[Date]],"MMM")</f>
        <v>Jan</v>
      </c>
      <c r="E291" s="5" t="s">
        <v>31</v>
      </c>
      <c r="F291" s="3" t="s">
        <v>18</v>
      </c>
      <c r="G291" s="3" t="s">
        <v>23</v>
      </c>
      <c r="H291" s="3" t="s">
        <v>17</v>
      </c>
      <c r="I291" s="3">
        <v>1</v>
      </c>
      <c r="J291" s="3">
        <v>8640</v>
      </c>
      <c r="K291" s="3">
        <v>9600</v>
      </c>
      <c r="L291" s="3">
        <v>5</v>
      </c>
      <c r="M291">
        <f>Table1[[#This Row],[Qty]]*Table1[[#This Row],[Sales Price]]</f>
        <v>48000</v>
      </c>
      <c r="N291">
        <f>Table1[[#This Row],[Qty]]*Table1[[#This Row],[Cost]]</f>
        <v>43200</v>
      </c>
      <c r="O291">
        <f>Table1[[#This Row],[Revenue]]-Table1[[#This Row],[Total Cost]]</f>
        <v>4800</v>
      </c>
    </row>
    <row r="292" spans="1:15">
      <c r="A292" s="3">
        <v>291</v>
      </c>
      <c r="B292" s="4">
        <v>44956</v>
      </c>
      <c r="C292" s="4" t="str">
        <f>TEXT(Table1[[#This Row],[Date]],"YYYY")</f>
        <v>2023</v>
      </c>
      <c r="D292" s="4" t="str">
        <f>TEXT(Table1[[#This Row],[Date]],"MMM")</f>
        <v>Jan</v>
      </c>
      <c r="E292" s="5" t="s">
        <v>22</v>
      </c>
      <c r="F292" s="3" t="s">
        <v>18</v>
      </c>
      <c r="G292" s="3" t="s">
        <v>25</v>
      </c>
      <c r="H292" s="3" t="s">
        <v>17</v>
      </c>
      <c r="I292" s="3"/>
      <c r="J292" s="3">
        <v>9000</v>
      </c>
      <c r="K292" s="3">
        <v>10000</v>
      </c>
      <c r="L292" s="3">
        <v>1</v>
      </c>
      <c r="M292">
        <f>Table1[[#This Row],[Qty]]*Table1[[#This Row],[Sales Price]]</f>
        <v>10000</v>
      </c>
      <c r="N292">
        <f>Table1[[#This Row],[Qty]]*Table1[[#This Row],[Cost]]</f>
        <v>9000</v>
      </c>
      <c r="O292">
        <f>Table1[[#This Row],[Revenue]]-Table1[[#This Row],[Total Cost]]</f>
        <v>1000</v>
      </c>
    </row>
    <row r="293" spans="1:15">
      <c r="A293" s="3">
        <v>292</v>
      </c>
      <c r="B293" s="4">
        <v>44957</v>
      </c>
      <c r="C293" s="4" t="str">
        <f>TEXT(Table1[[#This Row],[Date]],"YYYY")</f>
        <v>2023</v>
      </c>
      <c r="D293" s="4" t="str">
        <f>TEXT(Table1[[#This Row],[Date]],"MMM")</f>
        <v>Jan</v>
      </c>
      <c r="E293" s="5" t="s">
        <v>40</v>
      </c>
      <c r="F293" s="3" t="s">
        <v>18</v>
      </c>
      <c r="G293" s="3" t="s">
        <v>26</v>
      </c>
      <c r="H293" s="3" t="s">
        <v>17</v>
      </c>
      <c r="I293" s="3"/>
      <c r="J293" s="3">
        <v>3870</v>
      </c>
      <c r="K293" s="3">
        <v>4300</v>
      </c>
      <c r="L293" s="3">
        <v>5</v>
      </c>
      <c r="M293">
        <f>Table1[[#This Row],[Qty]]*Table1[[#This Row],[Sales Price]]</f>
        <v>21500</v>
      </c>
      <c r="N293">
        <f>Table1[[#This Row],[Qty]]*Table1[[#This Row],[Cost]]</f>
        <v>19350</v>
      </c>
      <c r="O293">
        <f>Table1[[#This Row],[Revenue]]-Table1[[#This Row],[Total Cost]]</f>
        <v>2150</v>
      </c>
    </row>
    <row r="294" spans="1:15">
      <c r="A294" s="3">
        <v>293</v>
      </c>
      <c r="B294" s="4">
        <v>44958</v>
      </c>
      <c r="C294" s="4" t="str">
        <f>TEXT(Table1[[#This Row],[Date]],"YYYY")</f>
        <v>2023</v>
      </c>
      <c r="D294" s="4" t="str">
        <f>TEXT(Table1[[#This Row],[Date]],"MMM")</f>
        <v>Feb</v>
      </c>
      <c r="E294" s="5" t="s">
        <v>49</v>
      </c>
      <c r="F294" s="3" t="s">
        <v>18</v>
      </c>
      <c r="G294" s="3" t="s">
        <v>37</v>
      </c>
      <c r="H294" s="3" t="s">
        <v>17</v>
      </c>
      <c r="I294" s="3">
        <v>1</v>
      </c>
      <c r="J294" s="3">
        <v>8280</v>
      </c>
      <c r="K294" s="3">
        <v>9200</v>
      </c>
      <c r="L294" s="3">
        <v>7</v>
      </c>
      <c r="M294">
        <f>Table1[[#This Row],[Qty]]*Table1[[#This Row],[Sales Price]]</f>
        <v>64400</v>
      </c>
      <c r="N294">
        <f>Table1[[#This Row],[Qty]]*Table1[[#This Row],[Cost]]</f>
        <v>57960</v>
      </c>
      <c r="O294">
        <f>Table1[[#This Row],[Revenue]]-Table1[[#This Row],[Total Cost]]</f>
        <v>6440</v>
      </c>
    </row>
    <row r="295" spans="1:15">
      <c r="A295" s="3">
        <v>294</v>
      </c>
      <c r="B295" s="4">
        <v>44959</v>
      </c>
      <c r="C295" s="4" t="str">
        <f>TEXT(Table1[[#This Row],[Date]],"YYYY")</f>
        <v>2023</v>
      </c>
      <c r="D295" s="4" t="str">
        <f>TEXT(Table1[[#This Row],[Date]],"MMM")</f>
        <v>Feb</v>
      </c>
      <c r="E295" s="5" t="s">
        <v>22</v>
      </c>
      <c r="F295" s="3" t="s">
        <v>18</v>
      </c>
      <c r="G295" s="3" t="s">
        <v>41</v>
      </c>
      <c r="H295" s="3" t="s">
        <v>28</v>
      </c>
      <c r="I295" s="3">
        <v>1</v>
      </c>
      <c r="J295" s="3">
        <v>4950</v>
      </c>
      <c r="K295" s="3">
        <v>5500</v>
      </c>
      <c r="L295" s="3">
        <v>4</v>
      </c>
      <c r="M295">
        <f>Table1[[#This Row],[Qty]]*Table1[[#This Row],[Sales Price]]</f>
        <v>22000</v>
      </c>
      <c r="N295">
        <f>Table1[[#This Row],[Qty]]*Table1[[#This Row],[Cost]]</f>
        <v>19800</v>
      </c>
      <c r="O295">
        <f>Table1[[#This Row],[Revenue]]-Table1[[#This Row],[Total Cost]]</f>
        <v>2200</v>
      </c>
    </row>
    <row r="296" spans="1:15">
      <c r="A296" s="3">
        <v>295</v>
      </c>
      <c r="B296" s="4">
        <v>44960</v>
      </c>
      <c r="C296" s="4" t="str">
        <f>TEXT(Table1[[#This Row],[Date]],"YYYY")</f>
        <v>2023</v>
      </c>
      <c r="D296" s="4" t="str">
        <f>TEXT(Table1[[#This Row],[Date]],"MMM")</f>
        <v>Feb</v>
      </c>
      <c r="E296" s="5" t="s">
        <v>39</v>
      </c>
      <c r="F296" s="3" t="s">
        <v>18</v>
      </c>
      <c r="G296" s="3" t="s">
        <v>27</v>
      </c>
      <c r="H296" s="3" t="s">
        <v>28</v>
      </c>
      <c r="I296" s="3">
        <v>0</v>
      </c>
      <c r="J296" s="3">
        <v>3150</v>
      </c>
      <c r="K296" s="3">
        <v>3500</v>
      </c>
      <c r="L296" s="3">
        <v>8</v>
      </c>
      <c r="M296">
        <f>Table1[[#This Row],[Qty]]*Table1[[#This Row],[Sales Price]]</f>
        <v>28000</v>
      </c>
      <c r="N296">
        <f>Table1[[#This Row],[Qty]]*Table1[[#This Row],[Cost]]</f>
        <v>25200</v>
      </c>
      <c r="O296">
        <f>Table1[[#This Row],[Revenue]]-Table1[[#This Row],[Total Cost]]</f>
        <v>2800</v>
      </c>
    </row>
    <row r="297" spans="1:15">
      <c r="A297" s="3">
        <v>296</v>
      </c>
      <c r="B297" s="4">
        <v>44961</v>
      </c>
      <c r="C297" s="4" t="str">
        <f>TEXT(Table1[[#This Row],[Date]],"YYYY")</f>
        <v>2023</v>
      </c>
      <c r="D297" s="4" t="str">
        <f>TEXT(Table1[[#This Row],[Date]],"MMM")</f>
        <v>Feb</v>
      </c>
      <c r="E297" s="5" t="s">
        <v>33</v>
      </c>
      <c r="F297" s="3" t="s">
        <v>18</v>
      </c>
      <c r="G297" s="3" t="s">
        <v>32</v>
      </c>
      <c r="H297" s="3" t="s">
        <v>28</v>
      </c>
      <c r="I297" s="3">
        <v>1</v>
      </c>
      <c r="J297" s="3">
        <v>2700</v>
      </c>
      <c r="K297" s="3">
        <v>3000</v>
      </c>
      <c r="L297" s="3">
        <v>8</v>
      </c>
      <c r="M297">
        <f>Table1[[#This Row],[Qty]]*Table1[[#This Row],[Sales Price]]</f>
        <v>24000</v>
      </c>
      <c r="N297">
        <f>Table1[[#This Row],[Qty]]*Table1[[#This Row],[Cost]]</f>
        <v>21600</v>
      </c>
      <c r="O297">
        <f>Table1[[#This Row],[Revenue]]-Table1[[#This Row],[Total Cost]]</f>
        <v>2400</v>
      </c>
    </row>
    <row r="298" spans="1:15">
      <c r="A298" s="3">
        <v>297</v>
      </c>
      <c r="B298" s="4">
        <v>44962</v>
      </c>
      <c r="C298" s="4" t="str">
        <f>TEXT(Table1[[#This Row],[Date]],"YYYY")</f>
        <v>2023</v>
      </c>
      <c r="D298" s="4" t="str">
        <f>TEXT(Table1[[#This Row],[Date]],"MMM")</f>
        <v>Feb</v>
      </c>
      <c r="E298" s="5" t="s">
        <v>56</v>
      </c>
      <c r="F298" s="3" t="s">
        <v>18</v>
      </c>
      <c r="G298" s="3" t="s">
        <v>42</v>
      </c>
      <c r="H298" s="3" t="s">
        <v>43</v>
      </c>
      <c r="I298" s="3">
        <v>1</v>
      </c>
      <c r="J298" s="3">
        <v>4050</v>
      </c>
      <c r="K298" s="3">
        <v>4500</v>
      </c>
      <c r="L298" s="3">
        <v>9</v>
      </c>
      <c r="M298">
        <f>Table1[[#This Row],[Qty]]*Table1[[#This Row],[Sales Price]]</f>
        <v>40500</v>
      </c>
      <c r="N298">
        <f>Table1[[#This Row],[Qty]]*Table1[[#This Row],[Cost]]</f>
        <v>36450</v>
      </c>
      <c r="O298">
        <f>Table1[[#This Row],[Revenue]]-Table1[[#This Row],[Total Cost]]</f>
        <v>4050</v>
      </c>
    </row>
    <row r="299" spans="1:15">
      <c r="A299" s="3">
        <v>298</v>
      </c>
      <c r="B299" s="4">
        <v>44963</v>
      </c>
      <c r="C299" s="4" t="str">
        <f>TEXT(Table1[[#This Row],[Date]],"YYYY")</f>
        <v>2023</v>
      </c>
      <c r="D299" s="4" t="str">
        <f>TEXT(Table1[[#This Row],[Date]],"MMM")</f>
        <v>Feb</v>
      </c>
      <c r="E299" s="5" t="s">
        <v>57</v>
      </c>
      <c r="F299" s="3" t="s">
        <v>18</v>
      </c>
      <c r="G299" s="3" t="s">
        <v>44</v>
      </c>
      <c r="H299" s="3" t="s">
        <v>43</v>
      </c>
      <c r="I299" s="3">
        <v>1</v>
      </c>
      <c r="J299" s="3">
        <v>8280</v>
      </c>
      <c r="K299" s="3">
        <v>9200</v>
      </c>
      <c r="L299" s="3">
        <v>2</v>
      </c>
      <c r="M299">
        <f>Table1[[#This Row],[Qty]]*Table1[[#This Row],[Sales Price]]</f>
        <v>18400</v>
      </c>
      <c r="N299">
        <f>Table1[[#This Row],[Qty]]*Table1[[#This Row],[Cost]]</f>
        <v>16560</v>
      </c>
      <c r="O299">
        <f>Table1[[#This Row],[Revenue]]-Table1[[#This Row],[Total Cost]]</f>
        <v>1840</v>
      </c>
    </row>
    <row r="300" spans="1:15">
      <c r="A300" s="3">
        <v>299</v>
      </c>
      <c r="B300" s="4">
        <v>44964</v>
      </c>
      <c r="C300" s="4" t="str">
        <f>TEXT(Table1[[#This Row],[Date]],"YYYY")</f>
        <v>2023</v>
      </c>
      <c r="D300" s="4" t="str">
        <f>TEXT(Table1[[#This Row],[Date]],"MMM")</f>
        <v>Feb</v>
      </c>
      <c r="E300" s="5" t="s">
        <v>31</v>
      </c>
      <c r="F300" s="3" t="s">
        <v>18</v>
      </c>
      <c r="G300" s="3" t="s">
        <v>45</v>
      </c>
      <c r="H300" s="3" t="s">
        <v>43</v>
      </c>
      <c r="I300" s="3"/>
      <c r="J300" s="3">
        <v>4950</v>
      </c>
      <c r="K300" s="3">
        <v>5500</v>
      </c>
      <c r="L300" s="3">
        <v>1</v>
      </c>
      <c r="M300">
        <f>Table1[[#This Row],[Qty]]*Table1[[#This Row],[Sales Price]]</f>
        <v>5500</v>
      </c>
      <c r="N300">
        <f>Table1[[#This Row],[Qty]]*Table1[[#This Row],[Cost]]</f>
        <v>4950</v>
      </c>
      <c r="O300">
        <f>Table1[[#This Row],[Revenue]]-Table1[[#This Row],[Total Cost]]</f>
        <v>550</v>
      </c>
    </row>
    <row r="301" spans="1:15">
      <c r="A301" s="3">
        <v>300</v>
      </c>
      <c r="B301" s="4">
        <v>44965</v>
      </c>
      <c r="C301" s="4" t="str">
        <f>TEXT(Table1[[#This Row],[Date]],"YYYY")</f>
        <v>2023</v>
      </c>
      <c r="D301" s="4" t="str">
        <f>TEXT(Table1[[#This Row],[Date]],"MMM")</f>
        <v>Feb</v>
      </c>
      <c r="E301" s="5" t="s">
        <v>14</v>
      </c>
      <c r="F301" s="3" t="s">
        <v>18</v>
      </c>
      <c r="G301" s="3" t="s">
        <v>47</v>
      </c>
      <c r="H301" s="3" t="s">
        <v>43</v>
      </c>
      <c r="I301" s="3"/>
      <c r="J301" s="3">
        <v>3150</v>
      </c>
      <c r="K301" s="3">
        <v>3500</v>
      </c>
      <c r="L301" s="3">
        <v>22</v>
      </c>
      <c r="M301">
        <f>Table1[[#This Row],[Qty]]*Table1[[#This Row],[Sales Price]]</f>
        <v>77000</v>
      </c>
      <c r="N301">
        <f>Table1[[#This Row],[Qty]]*Table1[[#This Row],[Cost]]</f>
        <v>69300</v>
      </c>
      <c r="O301">
        <f>Table1[[#This Row],[Revenue]]-Table1[[#This Row],[Total Cost]]</f>
        <v>7700</v>
      </c>
    </row>
    <row r="302" spans="1:15">
      <c r="A302" s="3">
        <v>301</v>
      </c>
      <c r="B302" s="4">
        <v>44966</v>
      </c>
      <c r="C302" s="4" t="str">
        <f>TEXT(Table1[[#This Row],[Date]],"YYYY")</f>
        <v>2023</v>
      </c>
      <c r="D302" s="4" t="str">
        <f>TEXT(Table1[[#This Row],[Date]],"MMM")</f>
        <v>Feb</v>
      </c>
      <c r="E302" s="5" t="s">
        <v>40</v>
      </c>
      <c r="F302" s="3" t="s">
        <v>61</v>
      </c>
      <c r="G302" s="3" t="s">
        <v>48</v>
      </c>
      <c r="H302" s="3" t="s">
        <v>43</v>
      </c>
      <c r="I302" s="3"/>
      <c r="J302" s="3">
        <v>2700</v>
      </c>
      <c r="K302" s="3">
        <v>3000</v>
      </c>
      <c r="L302" s="3">
        <v>8</v>
      </c>
      <c r="M302">
        <f>Table1[[#This Row],[Qty]]*Table1[[#This Row],[Sales Price]]</f>
        <v>24000</v>
      </c>
      <c r="N302">
        <f>Table1[[#This Row],[Qty]]*Table1[[#This Row],[Cost]]</f>
        <v>21600</v>
      </c>
      <c r="O302">
        <f>Table1[[#This Row],[Revenue]]-Table1[[#This Row],[Total Cost]]</f>
        <v>2400</v>
      </c>
    </row>
    <row r="303" spans="1:15">
      <c r="A303" s="3">
        <v>302</v>
      </c>
      <c r="B303" s="4">
        <v>44967</v>
      </c>
      <c r="C303" s="4" t="str">
        <f>TEXT(Table1[[#This Row],[Date]],"YYYY")</f>
        <v>2023</v>
      </c>
      <c r="D303" s="4" t="str">
        <f>TEXT(Table1[[#This Row],[Date]],"MMM")</f>
        <v>Feb</v>
      </c>
      <c r="E303" s="5" t="s">
        <v>35</v>
      </c>
      <c r="F303" s="3" t="s">
        <v>61</v>
      </c>
      <c r="G303" s="3" t="s">
        <v>42</v>
      </c>
      <c r="H303" s="3" t="s">
        <v>43</v>
      </c>
      <c r="I303" s="3">
        <v>1</v>
      </c>
      <c r="J303" s="3">
        <v>4050</v>
      </c>
      <c r="K303" s="3">
        <v>4500</v>
      </c>
      <c r="L303" s="3">
        <v>7</v>
      </c>
      <c r="M303">
        <f>Table1[[#This Row],[Qty]]*Table1[[#This Row],[Sales Price]]</f>
        <v>31500</v>
      </c>
      <c r="N303">
        <f>Table1[[#This Row],[Qty]]*Table1[[#This Row],[Cost]]</f>
        <v>28350</v>
      </c>
      <c r="O303">
        <f>Table1[[#This Row],[Revenue]]-Table1[[#This Row],[Total Cost]]</f>
        <v>3150</v>
      </c>
    </row>
    <row r="304" spans="1:15">
      <c r="A304" s="3">
        <v>303</v>
      </c>
      <c r="B304" s="4">
        <v>44968</v>
      </c>
      <c r="C304" s="4" t="str">
        <f>TEXT(Table1[[#This Row],[Date]],"YYYY")</f>
        <v>2023</v>
      </c>
      <c r="D304" s="4" t="str">
        <f>TEXT(Table1[[#This Row],[Date]],"MMM")</f>
        <v>Feb</v>
      </c>
      <c r="E304" s="5" t="s">
        <v>56</v>
      </c>
      <c r="F304" s="3" t="s">
        <v>61</v>
      </c>
      <c r="G304" s="3" t="s">
        <v>44</v>
      </c>
      <c r="H304" s="3" t="s">
        <v>43</v>
      </c>
      <c r="I304" s="3">
        <v>1</v>
      </c>
      <c r="J304" s="3">
        <v>8280</v>
      </c>
      <c r="K304" s="3">
        <v>9200</v>
      </c>
      <c r="L304" s="3">
        <v>56</v>
      </c>
      <c r="M304">
        <f>Table1[[#This Row],[Qty]]*Table1[[#This Row],[Sales Price]]</f>
        <v>515200</v>
      </c>
      <c r="N304">
        <f>Table1[[#This Row],[Qty]]*Table1[[#This Row],[Cost]]</f>
        <v>463680</v>
      </c>
      <c r="O304">
        <f>Table1[[#This Row],[Revenue]]-Table1[[#This Row],[Total Cost]]</f>
        <v>51520</v>
      </c>
    </row>
    <row r="305" spans="1:15">
      <c r="A305" s="3">
        <v>304</v>
      </c>
      <c r="B305" s="4">
        <v>44969</v>
      </c>
      <c r="C305" s="4" t="str">
        <f>TEXT(Table1[[#This Row],[Date]],"YYYY")</f>
        <v>2023</v>
      </c>
      <c r="D305" s="4" t="str">
        <f>TEXT(Table1[[#This Row],[Date]],"MMM")</f>
        <v>Feb</v>
      </c>
      <c r="E305" s="5" t="s">
        <v>56</v>
      </c>
      <c r="F305" s="3" t="s">
        <v>61</v>
      </c>
      <c r="G305" s="3" t="s">
        <v>45</v>
      </c>
      <c r="H305" s="3" t="s">
        <v>43</v>
      </c>
      <c r="I305" s="3">
        <v>1</v>
      </c>
      <c r="J305" s="3">
        <v>4950</v>
      </c>
      <c r="K305" s="3">
        <v>5500</v>
      </c>
      <c r="L305" s="3">
        <v>10</v>
      </c>
      <c r="M305">
        <f>Table1[[#This Row],[Qty]]*Table1[[#This Row],[Sales Price]]</f>
        <v>55000</v>
      </c>
      <c r="N305">
        <f>Table1[[#This Row],[Qty]]*Table1[[#This Row],[Cost]]</f>
        <v>49500</v>
      </c>
      <c r="O305">
        <f>Table1[[#This Row],[Revenue]]-Table1[[#This Row],[Total Cost]]</f>
        <v>5500</v>
      </c>
    </row>
    <row r="306" spans="1:15">
      <c r="A306" s="3">
        <v>305</v>
      </c>
      <c r="B306" s="4">
        <v>44970</v>
      </c>
      <c r="C306" s="4" t="str">
        <f>TEXT(Table1[[#This Row],[Date]],"YYYY")</f>
        <v>2023</v>
      </c>
      <c r="D306" s="4" t="str">
        <f>TEXT(Table1[[#This Row],[Date]],"MMM")</f>
        <v>Feb</v>
      </c>
      <c r="E306" s="5" t="s">
        <v>63</v>
      </c>
      <c r="F306" s="3" t="s">
        <v>61</v>
      </c>
      <c r="G306" s="3" t="s">
        <v>47</v>
      </c>
      <c r="H306" s="3" t="s">
        <v>43</v>
      </c>
      <c r="I306" s="3">
        <v>1</v>
      </c>
      <c r="J306" s="3">
        <v>3150</v>
      </c>
      <c r="K306" s="3">
        <v>3500</v>
      </c>
      <c r="L306" s="3">
        <v>9</v>
      </c>
      <c r="M306">
        <f>Table1[[#This Row],[Qty]]*Table1[[#This Row],[Sales Price]]</f>
        <v>31500</v>
      </c>
      <c r="N306">
        <f>Table1[[#This Row],[Qty]]*Table1[[#This Row],[Cost]]</f>
        <v>28350</v>
      </c>
      <c r="O306">
        <f>Table1[[#This Row],[Revenue]]-Table1[[#This Row],[Total Cost]]</f>
        <v>3150</v>
      </c>
    </row>
    <row r="307" spans="1:15">
      <c r="A307" s="3">
        <v>306</v>
      </c>
      <c r="B307" s="4">
        <v>44971</v>
      </c>
      <c r="C307" s="4" t="str">
        <f>TEXT(Table1[[#This Row],[Date]],"YYYY")</f>
        <v>2023</v>
      </c>
      <c r="D307" s="4" t="str">
        <f>TEXT(Table1[[#This Row],[Date]],"MMM")</f>
        <v>Feb</v>
      </c>
      <c r="E307" s="5" t="s">
        <v>31</v>
      </c>
      <c r="F307" s="3" t="s">
        <v>61</v>
      </c>
      <c r="G307" s="3" t="s">
        <v>48</v>
      </c>
      <c r="H307" s="3" t="s">
        <v>43</v>
      </c>
      <c r="I307" s="3">
        <v>1</v>
      </c>
      <c r="J307" s="3">
        <v>2700</v>
      </c>
      <c r="K307" s="3">
        <v>3000</v>
      </c>
      <c r="L307" s="3">
        <v>27</v>
      </c>
      <c r="M307">
        <f>Table1[[#This Row],[Qty]]*Table1[[#This Row],[Sales Price]]</f>
        <v>81000</v>
      </c>
      <c r="N307">
        <f>Table1[[#This Row],[Qty]]*Table1[[#This Row],[Cost]]</f>
        <v>72900</v>
      </c>
      <c r="O307">
        <f>Table1[[#This Row],[Revenue]]-Table1[[#This Row],[Total Cost]]</f>
        <v>8100</v>
      </c>
    </row>
    <row r="308" spans="1:15">
      <c r="A308" s="3">
        <v>307</v>
      </c>
      <c r="B308" s="4">
        <v>44972</v>
      </c>
      <c r="C308" s="4" t="str">
        <f>TEXT(Table1[[#This Row],[Date]],"YYYY")</f>
        <v>2023</v>
      </c>
      <c r="D308" s="4" t="str">
        <f>TEXT(Table1[[#This Row],[Date]],"MMM")</f>
        <v>Feb</v>
      </c>
      <c r="E308" s="5" t="s">
        <v>22</v>
      </c>
      <c r="F308" s="3" t="s">
        <v>61</v>
      </c>
      <c r="G308" s="3" t="s">
        <v>48</v>
      </c>
      <c r="H308" s="3" t="s">
        <v>43</v>
      </c>
      <c r="I308" s="3">
        <v>1</v>
      </c>
      <c r="J308" s="3">
        <v>4050</v>
      </c>
      <c r="K308" s="3">
        <v>4500</v>
      </c>
      <c r="L308" s="3">
        <v>15</v>
      </c>
      <c r="M308">
        <f>Table1[[#This Row],[Qty]]*Table1[[#This Row],[Sales Price]]</f>
        <v>67500</v>
      </c>
      <c r="N308">
        <f>Table1[[#This Row],[Qty]]*Table1[[#This Row],[Cost]]</f>
        <v>60750</v>
      </c>
      <c r="O308">
        <f>Table1[[#This Row],[Revenue]]-Table1[[#This Row],[Total Cost]]</f>
        <v>6750</v>
      </c>
    </row>
    <row r="309" spans="1:15">
      <c r="A309" s="3">
        <v>308</v>
      </c>
      <c r="B309" s="4">
        <v>44973</v>
      </c>
      <c r="C309" s="4" t="str">
        <f>TEXT(Table1[[#This Row],[Date]],"YYYY")</f>
        <v>2023</v>
      </c>
      <c r="D309" s="4" t="str">
        <f>TEXT(Table1[[#This Row],[Date]],"MMM")</f>
        <v>Feb</v>
      </c>
      <c r="E309" s="5" t="s">
        <v>56</v>
      </c>
      <c r="F309" s="3" t="s">
        <v>61</v>
      </c>
      <c r="G309" s="3" t="s">
        <v>42</v>
      </c>
      <c r="H309" s="3" t="s">
        <v>43</v>
      </c>
      <c r="I309" s="3">
        <v>1</v>
      </c>
      <c r="J309" s="3">
        <v>8280</v>
      </c>
      <c r="K309" s="3">
        <v>9200</v>
      </c>
      <c r="L309" s="3">
        <v>3</v>
      </c>
      <c r="M309">
        <f>Table1[[#This Row],[Qty]]*Table1[[#This Row],[Sales Price]]</f>
        <v>27600</v>
      </c>
      <c r="N309">
        <f>Table1[[#This Row],[Qty]]*Table1[[#This Row],[Cost]]</f>
        <v>24840</v>
      </c>
      <c r="O309">
        <f>Table1[[#This Row],[Revenue]]-Table1[[#This Row],[Total Cost]]</f>
        <v>2760</v>
      </c>
    </row>
    <row r="310" spans="1:15">
      <c r="A310" s="3">
        <v>309</v>
      </c>
      <c r="B310" s="4">
        <v>44974</v>
      </c>
      <c r="C310" s="4" t="str">
        <f>TEXT(Table1[[#This Row],[Date]],"YYYY")</f>
        <v>2023</v>
      </c>
      <c r="D310" s="4" t="str">
        <f>TEXT(Table1[[#This Row],[Date]],"MMM")</f>
        <v>Feb</v>
      </c>
      <c r="E310" s="5" t="s">
        <v>53</v>
      </c>
      <c r="F310" s="3" t="s">
        <v>61</v>
      </c>
      <c r="G310" s="3" t="s">
        <v>16</v>
      </c>
      <c r="H310" s="3" t="s">
        <v>17</v>
      </c>
      <c r="I310" s="3"/>
      <c r="J310" s="3">
        <v>4950</v>
      </c>
      <c r="K310" s="3">
        <v>5500</v>
      </c>
      <c r="L310" s="3">
        <v>9</v>
      </c>
      <c r="M310">
        <f>Table1[[#This Row],[Qty]]*Table1[[#This Row],[Sales Price]]</f>
        <v>49500</v>
      </c>
      <c r="N310">
        <f>Table1[[#This Row],[Qty]]*Table1[[#This Row],[Cost]]</f>
        <v>44550</v>
      </c>
      <c r="O310">
        <f>Table1[[#This Row],[Revenue]]-Table1[[#This Row],[Total Cost]]</f>
        <v>4950</v>
      </c>
    </row>
    <row r="311" spans="1:15">
      <c r="A311" s="3">
        <v>310</v>
      </c>
      <c r="B311" s="4">
        <v>44975</v>
      </c>
      <c r="C311" s="4" t="str">
        <f>TEXT(Table1[[#This Row],[Date]],"YYYY")</f>
        <v>2023</v>
      </c>
      <c r="D311" s="4" t="str">
        <f>TEXT(Table1[[#This Row],[Date]],"MMM")</f>
        <v>Feb</v>
      </c>
      <c r="E311" s="5" t="s">
        <v>22</v>
      </c>
      <c r="F311" s="3" t="s">
        <v>61</v>
      </c>
      <c r="G311" s="3" t="s">
        <v>19</v>
      </c>
      <c r="H311" s="3" t="s">
        <v>17</v>
      </c>
      <c r="I311" s="3"/>
      <c r="J311" s="3">
        <v>3150</v>
      </c>
      <c r="K311" s="3">
        <v>3500</v>
      </c>
      <c r="L311" s="3">
        <v>22</v>
      </c>
      <c r="M311">
        <f>Table1[[#This Row],[Qty]]*Table1[[#This Row],[Sales Price]]</f>
        <v>77000</v>
      </c>
      <c r="N311">
        <f>Table1[[#This Row],[Qty]]*Table1[[#This Row],[Cost]]</f>
        <v>69300</v>
      </c>
      <c r="O311">
        <f>Table1[[#This Row],[Revenue]]-Table1[[#This Row],[Total Cost]]</f>
        <v>7700</v>
      </c>
    </row>
    <row r="312" spans="1:15">
      <c r="A312" s="3">
        <v>311</v>
      </c>
      <c r="B312" s="4">
        <v>44976</v>
      </c>
      <c r="C312" s="4" t="str">
        <f>TEXT(Table1[[#This Row],[Date]],"YYYY")</f>
        <v>2023</v>
      </c>
      <c r="D312" s="4" t="str">
        <f>TEXT(Table1[[#This Row],[Date]],"MMM")</f>
        <v>Feb</v>
      </c>
      <c r="E312" s="5" t="s">
        <v>33</v>
      </c>
      <c r="F312" s="3" t="s">
        <v>61</v>
      </c>
      <c r="G312" s="3" t="s">
        <v>21</v>
      </c>
      <c r="H312" s="3" t="s">
        <v>17</v>
      </c>
      <c r="I312" s="3">
        <v>1</v>
      </c>
      <c r="J312" s="3">
        <v>2700</v>
      </c>
      <c r="K312" s="3">
        <v>3000</v>
      </c>
      <c r="L312" s="3">
        <v>16</v>
      </c>
      <c r="M312">
        <f>Table1[[#This Row],[Qty]]*Table1[[#This Row],[Sales Price]]</f>
        <v>48000</v>
      </c>
      <c r="N312">
        <f>Table1[[#This Row],[Qty]]*Table1[[#This Row],[Cost]]</f>
        <v>43200</v>
      </c>
      <c r="O312">
        <f>Table1[[#This Row],[Revenue]]-Table1[[#This Row],[Total Cost]]</f>
        <v>4800</v>
      </c>
    </row>
    <row r="313" spans="1:15">
      <c r="A313" s="3">
        <v>312</v>
      </c>
      <c r="B313" s="4">
        <v>44977</v>
      </c>
      <c r="C313" s="4" t="str">
        <f>TEXT(Table1[[#This Row],[Date]],"YYYY")</f>
        <v>2023</v>
      </c>
      <c r="D313" s="4" t="str">
        <f>TEXT(Table1[[#This Row],[Date]],"MMM")</f>
        <v>Feb</v>
      </c>
      <c r="E313" s="5" t="s">
        <v>39</v>
      </c>
      <c r="F313" s="3" t="s">
        <v>61</v>
      </c>
      <c r="G313" s="3" t="s">
        <v>23</v>
      </c>
      <c r="H313" s="3" t="s">
        <v>17</v>
      </c>
      <c r="I313" s="3">
        <v>1</v>
      </c>
      <c r="J313" s="3">
        <v>4050</v>
      </c>
      <c r="K313" s="3">
        <v>4500</v>
      </c>
      <c r="L313" s="3">
        <v>6</v>
      </c>
      <c r="M313">
        <f>Table1[[#This Row],[Qty]]*Table1[[#This Row],[Sales Price]]</f>
        <v>27000</v>
      </c>
      <c r="N313">
        <f>Table1[[#This Row],[Qty]]*Table1[[#This Row],[Cost]]</f>
        <v>24300</v>
      </c>
      <c r="O313">
        <f>Table1[[#This Row],[Revenue]]-Table1[[#This Row],[Total Cost]]</f>
        <v>2700</v>
      </c>
    </row>
    <row r="314" spans="1:15">
      <c r="A314" s="3">
        <v>313</v>
      </c>
      <c r="B314" s="4">
        <v>44978</v>
      </c>
      <c r="C314" s="4" t="str">
        <f>TEXT(Table1[[#This Row],[Date]],"YYYY")</f>
        <v>2023</v>
      </c>
      <c r="D314" s="4" t="str">
        <f>TEXT(Table1[[#This Row],[Date]],"MMM")</f>
        <v>Feb</v>
      </c>
      <c r="E314" s="5" t="s">
        <v>39</v>
      </c>
      <c r="F314" s="3" t="s">
        <v>61</v>
      </c>
      <c r="G314" s="3" t="s">
        <v>25</v>
      </c>
      <c r="H314" s="3" t="s">
        <v>17</v>
      </c>
      <c r="I314" s="3">
        <v>1</v>
      </c>
      <c r="J314" s="3">
        <v>38250</v>
      </c>
      <c r="K314" s="3">
        <v>42500</v>
      </c>
      <c r="L314" s="3">
        <v>3</v>
      </c>
      <c r="M314">
        <f>Table1[[#This Row],[Qty]]*Table1[[#This Row],[Sales Price]]</f>
        <v>127500</v>
      </c>
      <c r="N314">
        <f>Table1[[#This Row],[Qty]]*Table1[[#This Row],[Cost]]</f>
        <v>114750</v>
      </c>
      <c r="O314">
        <f>Table1[[#This Row],[Revenue]]-Table1[[#This Row],[Total Cost]]</f>
        <v>12750</v>
      </c>
    </row>
    <row r="315" spans="1:15">
      <c r="A315" s="3">
        <v>314</v>
      </c>
      <c r="B315" s="4">
        <v>44979</v>
      </c>
      <c r="C315" s="4" t="str">
        <f>TEXT(Table1[[#This Row],[Date]],"YYYY")</f>
        <v>2023</v>
      </c>
      <c r="D315" s="4" t="str">
        <f>TEXT(Table1[[#This Row],[Date]],"MMM")</f>
        <v>Feb</v>
      </c>
      <c r="E315" s="5" t="s">
        <v>49</v>
      </c>
      <c r="F315" s="3" t="s">
        <v>18</v>
      </c>
      <c r="G315" s="3" t="s">
        <v>26</v>
      </c>
      <c r="H315" s="3" t="s">
        <v>17</v>
      </c>
      <c r="I315" s="3">
        <v>0</v>
      </c>
      <c r="J315" s="3">
        <v>2700</v>
      </c>
      <c r="K315" s="3">
        <v>3000</v>
      </c>
      <c r="L315" s="3">
        <v>5</v>
      </c>
      <c r="M315">
        <f>Table1[[#This Row],[Qty]]*Table1[[#This Row],[Sales Price]]</f>
        <v>15000</v>
      </c>
      <c r="N315">
        <f>Table1[[#This Row],[Qty]]*Table1[[#This Row],[Cost]]</f>
        <v>13500</v>
      </c>
      <c r="O315">
        <f>Table1[[#This Row],[Revenue]]-Table1[[#This Row],[Total Cost]]</f>
        <v>1500</v>
      </c>
    </row>
    <row r="316" spans="1:15">
      <c r="A316" s="3">
        <v>315</v>
      </c>
      <c r="B316" s="4">
        <v>44980</v>
      </c>
      <c r="C316" s="4" t="str">
        <f>TEXT(Table1[[#This Row],[Date]],"YYYY")</f>
        <v>2023</v>
      </c>
      <c r="D316" s="4" t="str">
        <f>TEXT(Table1[[#This Row],[Date]],"MMM")</f>
        <v>Feb</v>
      </c>
      <c r="E316" s="5" t="s">
        <v>50</v>
      </c>
      <c r="F316" s="3" t="s">
        <v>18</v>
      </c>
      <c r="G316" s="3" t="s">
        <v>27</v>
      </c>
      <c r="H316" s="3" t="s">
        <v>28</v>
      </c>
      <c r="I316" s="3">
        <v>0</v>
      </c>
      <c r="J316" s="3">
        <v>23850</v>
      </c>
      <c r="K316" s="3">
        <v>26500</v>
      </c>
      <c r="L316" s="3">
        <v>1</v>
      </c>
      <c r="M316">
        <f>Table1[[#This Row],[Qty]]*Table1[[#This Row],[Sales Price]]</f>
        <v>26500</v>
      </c>
      <c r="N316">
        <f>Table1[[#This Row],[Qty]]*Table1[[#This Row],[Cost]]</f>
        <v>23850</v>
      </c>
      <c r="O316">
        <f>Table1[[#This Row],[Revenue]]-Table1[[#This Row],[Total Cost]]</f>
        <v>2650</v>
      </c>
    </row>
    <row r="317" spans="1:15">
      <c r="A317" s="3">
        <v>316</v>
      </c>
      <c r="B317" s="4">
        <v>44981</v>
      </c>
      <c r="C317" s="4" t="str">
        <f>TEXT(Table1[[#This Row],[Date]],"YYYY")</f>
        <v>2023</v>
      </c>
      <c r="D317" s="4" t="str">
        <f>TEXT(Table1[[#This Row],[Date]],"MMM")</f>
        <v>Feb</v>
      </c>
      <c r="E317" s="5" t="s">
        <v>14</v>
      </c>
      <c r="F317" s="3" t="s">
        <v>18</v>
      </c>
      <c r="G317" s="3" t="s">
        <v>30</v>
      </c>
      <c r="H317" s="3" t="s">
        <v>28</v>
      </c>
      <c r="I317" s="3">
        <v>1</v>
      </c>
      <c r="J317" s="3">
        <v>24750</v>
      </c>
      <c r="K317" s="3">
        <v>27500</v>
      </c>
      <c r="L317" s="3">
        <v>5</v>
      </c>
      <c r="M317">
        <f>Table1[[#This Row],[Qty]]*Table1[[#This Row],[Sales Price]]</f>
        <v>137500</v>
      </c>
      <c r="N317">
        <f>Table1[[#This Row],[Qty]]*Table1[[#This Row],[Cost]]</f>
        <v>123750</v>
      </c>
      <c r="O317">
        <f>Table1[[#This Row],[Revenue]]-Table1[[#This Row],[Total Cost]]</f>
        <v>13750</v>
      </c>
    </row>
    <row r="318" spans="1:15">
      <c r="A318" s="3">
        <v>317</v>
      </c>
      <c r="B318" s="4">
        <v>44982</v>
      </c>
      <c r="C318" s="4" t="str">
        <f>TEXT(Table1[[#This Row],[Date]],"YYYY")</f>
        <v>2023</v>
      </c>
      <c r="D318" s="4" t="str">
        <f>TEXT(Table1[[#This Row],[Date]],"MMM")</f>
        <v>Feb</v>
      </c>
      <c r="E318" s="5" t="s">
        <v>39</v>
      </c>
      <c r="F318" s="3" t="s">
        <v>18</v>
      </c>
      <c r="G318" s="3" t="s">
        <v>32</v>
      </c>
      <c r="H318" s="3" t="s">
        <v>28</v>
      </c>
      <c r="I318" s="3"/>
      <c r="J318" s="3">
        <v>44550</v>
      </c>
      <c r="K318" s="3">
        <v>49500</v>
      </c>
      <c r="L318" s="3">
        <v>7</v>
      </c>
      <c r="M318">
        <f>Table1[[#This Row],[Qty]]*Table1[[#This Row],[Sales Price]]</f>
        <v>346500</v>
      </c>
      <c r="N318">
        <f>Table1[[#This Row],[Qty]]*Table1[[#This Row],[Cost]]</f>
        <v>311850</v>
      </c>
      <c r="O318">
        <f>Table1[[#This Row],[Revenue]]-Table1[[#This Row],[Total Cost]]</f>
        <v>34650</v>
      </c>
    </row>
    <row r="319" spans="1:15">
      <c r="A319" s="3">
        <v>318</v>
      </c>
      <c r="B319" s="4">
        <v>44983</v>
      </c>
      <c r="C319" s="4" t="str">
        <f>TEXT(Table1[[#This Row],[Date]],"YYYY")</f>
        <v>2023</v>
      </c>
      <c r="D319" s="4" t="str">
        <f>TEXT(Table1[[#This Row],[Date]],"MMM")</f>
        <v>Feb</v>
      </c>
      <c r="E319" s="5" t="s">
        <v>56</v>
      </c>
      <c r="F319" s="3" t="s">
        <v>18</v>
      </c>
      <c r="G319" s="3" t="s">
        <v>34</v>
      </c>
      <c r="H319" s="3" t="s">
        <v>28</v>
      </c>
      <c r="I319" s="3"/>
      <c r="J319" s="3">
        <v>9000</v>
      </c>
      <c r="K319" s="3">
        <v>10000</v>
      </c>
      <c r="L319" s="3">
        <v>4</v>
      </c>
      <c r="M319">
        <f>Table1[[#This Row],[Qty]]*Table1[[#This Row],[Sales Price]]</f>
        <v>40000</v>
      </c>
      <c r="N319">
        <f>Table1[[#This Row],[Qty]]*Table1[[#This Row],[Cost]]</f>
        <v>36000</v>
      </c>
      <c r="O319">
        <f>Table1[[#This Row],[Revenue]]-Table1[[#This Row],[Total Cost]]</f>
        <v>4000</v>
      </c>
    </row>
    <row r="320" spans="1:15">
      <c r="A320" s="3">
        <v>319</v>
      </c>
      <c r="B320" s="4">
        <v>44984</v>
      </c>
      <c r="C320" s="4" t="str">
        <f>TEXT(Table1[[#This Row],[Date]],"YYYY")</f>
        <v>2023</v>
      </c>
      <c r="D320" s="4" t="str">
        <f>TEXT(Table1[[#This Row],[Date]],"MMM")</f>
        <v>Feb</v>
      </c>
      <c r="E320" s="5" t="s">
        <v>24</v>
      </c>
      <c r="F320" s="3" t="s">
        <v>18</v>
      </c>
      <c r="G320" s="3" t="s">
        <v>36</v>
      </c>
      <c r="H320" s="3" t="s">
        <v>17</v>
      </c>
      <c r="I320" s="3">
        <v>1</v>
      </c>
      <c r="J320" s="3">
        <v>8640</v>
      </c>
      <c r="K320" s="3">
        <v>9600</v>
      </c>
      <c r="L320" s="3">
        <v>8</v>
      </c>
      <c r="M320">
        <f>Table1[[#This Row],[Qty]]*Table1[[#This Row],[Sales Price]]</f>
        <v>76800</v>
      </c>
      <c r="N320">
        <f>Table1[[#This Row],[Qty]]*Table1[[#This Row],[Cost]]</f>
        <v>69120</v>
      </c>
      <c r="O320">
        <f>Table1[[#This Row],[Revenue]]-Table1[[#This Row],[Total Cost]]</f>
        <v>7680</v>
      </c>
    </row>
    <row r="321" spans="1:15">
      <c r="A321" s="3">
        <v>320</v>
      </c>
      <c r="B321" s="4">
        <v>44985</v>
      </c>
      <c r="C321" s="4" t="str">
        <f>TEXT(Table1[[#This Row],[Date]],"YYYY")</f>
        <v>2023</v>
      </c>
      <c r="D321" s="4" t="str">
        <f>TEXT(Table1[[#This Row],[Date]],"MMM")</f>
        <v>Feb</v>
      </c>
      <c r="E321" s="5" t="s">
        <v>33</v>
      </c>
      <c r="F321" s="3" t="s">
        <v>18</v>
      </c>
      <c r="G321" s="3" t="s">
        <v>37</v>
      </c>
      <c r="H321" s="3" t="s">
        <v>17</v>
      </c>
      <c r="I321" s="3">
        <v>0</v>
      </c>
      <c r="J321" s="3">
        <v>9000</v>
      </c>
      <c r="K321" s="3">
        <v>10000</v>
      </c>
      <c r="L321" s="3">
        <v>8</v>
      </c>
      <c r="M321">
        <f>Table1[[#This Row],[Qty]]*Table1[[#This Row],[Sales Price]]</f>
        <v>80000</v>
      </c>
      <c r="N321">
        <f>Table1[[#This Row],[Qty]]*Table1[[#This Row],[Cost]]</f>
        <v>72000</v>
      </c>
      <c r="O321">
        <f>Table1[[#This Row],[Revenue]]-Table1[[#This Row],[Total Cost]]</f>
        <v>8000</v>
      </c>
    </row>
    <row r="322" spans="1:15">
      <c r="A322" s="3">
        <v>321</v>
      </c>
      <c r="B322" s="4">
        <v>44986</v>
      </c>
      <c r="C322" s="4" t="str">
        <f>TEXT(Table1[[#This Row],[Date]],"YYYY")</f>
        <v>2023</v>
      </c>
      <c r="D322" s="4" t="str">
        <f>TEXT(Table1[[#This Row],[Date]],"MMM")</f>
        <v>Mar</v>
      </c>
      <c r="E322" s="5" t="s">
        <v>40</v>
      </c>
      <c r="F322" s="3" t="s">
        <v>18</v>
      </c>
      <c r="G322" s="3" t="s">
        <v>38</v>
      </c>
      <c r="H322" s="3" t="s">
        <v>17</v>
      </c>
      <c r="I322" s="3">
        <v>1</v>
      </c>
      <c r="J322" s="3">
        <v>3870</v>
      </c>
      <c r="K322" s="3">
        <v>4300</v>
      </c>
      <c r="L322" s="3">
        <v>9</v>
      </c>
      <c r="M322">
        <f>Table1[[#This Row],[Qty]]*Table1[[#This Row],[Sales Price]]</f>
        <v>38700</v>
      </c>
      <c r="N322">
        <f>Table1[[#This Row],[Qty]]*Table1[[#This Row],[Cost]]</f>
        <v>34830</v>
      </c>
      <c r="O322">
        <f>Table1[[#This Row],[Revenue]]-Table1[[#This Row],[Total Cost]]</f>
        <v>3870</v>
      </c>
    </row>
    <row r="323" spans="1:15">
      <c r="A323" s="3">
        <v>322</v>
      </c>
      <c r="B323" s="4">
        <v>44987</v>
      </c>
      <c r="C323" s="4" t="str">
        <f>TEXT(Table1[[#This Row],[Date]],"YYYY")</f>
        <v>2023</v>
      </c>
      <c r="D323" s="4" t="str">
        <f>TEXT(Table1[[#This Row],[Date]],"MMM")</f>
        <v>Mar</v>
      </c>
      <c r="E323" s="5" t="s">
        <v>54</v>
      </c>
      <c r="F323" s="3" t="s">
        <v>18</v>
      </c>
      <c r="G323" s="3" t="s">
        <v>19</v>
      </c>
      <c r="H323" s="3" t="s">
        <v>17</v>
      </c>
      <c r="I323" s="3">
        <v>1</v>
      </c>
      <c r="J323" s="3">
        <v>45450</v>
      </c>
      <c r="K323" s="3">
        <v>50500</v>
      </c>
      <c r="L323" s="3">
        <v>2</v>
      </c>
      <c r="M323">
        <f>Table1[[#This Row],[Qty]]*Table1[[#This Row],[Sales Price]]</f>
        <v>101000</v>
      </c>
      <c r="N323">
        <f>Table1[[#This Row],[Qty]]*Table1[[#This Row],[Cost]]</f>
        <v>90900</v>
      </c>
      <c r="O323">
        <f>Table1[[#This Row],[Revenue]]-Table1[[#This Row],[Total Cost]]</f>
        <v>10100</v>
      </c>
    </row>
    <row r="324" spans="1:15">
      <c r="A324" s="3">
        <v>323</v>
      </c>
      <c r="B324" s="4">
        <v>44988</v>
      </c>
      <c r="C324" s="4" t="str">
        <f>TEXT(Table1[[#This Row],[Date]],"YYYY")</f>
        <v>2023</v>
      </c>
      <c r="D324" s="4" t="str">
        <f>TEXT(Table1[[#This Row],[Date]],"MMM")</f>
        <v>Mar</v>
      </c>
      <c r="E324" s="5" t="s">
        <v>52</v>
      </c>
      <c r="F324" s="3" t="s">
        <v>18</v>
      </c>
      <c r="G324" s="3" t="s">
        <v>21</v>
      </c>
      <c r="H324" s="3" t="s">
        <v>17</v>
      </c>
      <c r="I324" s="3">
        <v>1</v>
      </c>
      <c r="J324" s="3">
        <v>18225</v>
      </c>
      <c r="K324" s="3">
        <v>20250</v>
      </c>
      <c r="L324" s="3">
        <v>1</v>
      </c>
      <c r="M324">
        <f>Table1[[#This Row],[Qty]]*Table1[[#This Row],[Sales Price]]</f>
        <v>20250</v>
      </c>
      <c r="N324">
        <f>Table1[[#This Row],[Qty]]*Table1[[#This Row],[Cost]]</f>
        <v>18225</v>
      </c>
      <c r="O324">
        <f>Table1[[#This Row],[Revenue]]-Table1[[#This Row],[Total Cost]]</f>
        <v>2025</v>
      </c>
    </row>
    <row r="325" spans="1:15">
      <c r="A325" s="3">
        <v>324</v>
      </c>
      <c r="B325" s="4">
        <v>44989</v>
      </c>
      <c r="C325" s="4" t="str">
        <f>TEXT(Table1[[#This Row],[Date]],"YYYY")</f>
        <v>2023</v>
      </c>
      <c r="D325" s="4" t="str">
        <f>TEXT(Table1[[#This Row],[Date]],"MMM")</f>
        <v>Mar</v>
      </c>
      <c r="E325" s="5" t="s">
        <v>65</v>
      </c>
      <c r="F325" s="3" t="s">
        <v>18</v>
      </c>
      <c r="G325" s="3" t="s">
        <v>23</v>
      </c>
      <c r="H325" s="3" t="s">
        <v>17</v>
      </c>
      <c r="I325" s="3">
        <v>1</v>
      </c>
      <c r="J325" s="3">
        <v>1800</v>
      </c>
      <c r="K325" s="3">
        <v>2000</v>
      </c>
      <c r="L325" s="3">
        <v>22</v>
      </c>
      <c r="M325">
        <f>Table1[[#This Row],[Qty]]*Table1[[#This Row],[Sales Price]]</f>
        <v>44000</v>
      </c>
      <c r="N325">
        <f>Table1[[#This Row],[Qty]]*Table1[[#This Row],[Cost]]</f>
        <v>39600</v>
      </c>
      <c r="O325">
        <f>Table1[[#This Row],[Revenue]]-Table1[[#This Row],[Total Cost]]</f>
        <v>4400</v>
      </c>
    </row>
    <row r="326" spans="1:15">
      <c r="A326" s="3">
        <v>325</v>
      </c>
      <c r="B326" s="4">
        <v>44990</v>
      </c>
      <c r="C326" s="4" t="str">
        <f>TEXT(Table1[[#This Row],[Date]],"YYYY")</f>
        <v>2023</v>
      </c>
      <c r="D326" s="4" t="str">
        <f>TEXT(Table1[[#This Row],[Date]],"MMM")</f>
        <v>Mar</v>
      </c>
      <c r="E326" s="5" t="s">
        <v>14</v>
      </c>
      <c r="F326" s="3" t="s">
        <v>18</v>
      </c>
      <c r="G326" s="3" t="s">
        <v>25</v>
      </c>
      <c r="H326" s="3" t="s">
        <v>17</v>
      </c>
      <c r="I326" s="3"/>
      <c r="J326" s="3">
        <v>48600</v>
      </c>
      <c r="K326" s="3">
        <v>54000</v>
      </c>
      <c r="L326" s="3">
        <v>8</v>
      </c>
      <c r="M326">
        <f>Table1[[#This Row],[Qty]]*Table1[[#This Row],[Sales Price]]</f>
        <v>432000</v>
      </c>
      <c r="N326">
        <f>Table1[[#This Row],[Qty]]*Table1[[#This Row],[Cost]]</f>
        <v>388800</v>
      </c>
      <c r="O326">
        <f>Table1[[#This Row],[Revenue]]-Table1[[#This Row],[Total Cost]]</f>
        <v>43200</v>
      </c>
    </row>
    <row r="327" spans="1:15">
      <c r="A327" s="3">
        <v>326</v>
      </c>
      <c r="B327" s="4">
        <v>44991</v>
      </c>
      <c r="C327" s="4" t="str">
        <f>TEXT(Table1[[#This Row],[Date]],"YYYY")</f>
        <v>2023</v>
      </c>
      <c r="D327" s="4" t="str">
        <f>TEXT(Table1[[#This Row],[Date]],"MMM")</f>
        <v>Mar</v>
      </c>
      <c r="E327" s="5" t="s">
        <v>39</v>
      </c>
      <c r="F327" s="3" t="s">
        <v>18</v>
      </c>
      <c r="G327" s="3" t="s">
        <v>26</v>
      </c>
      <c r="H327" s="3" t="s">
        <v>17</v>
      </c>
      <c r="I327" s="3"/>
      <c r="J327" s="3">
        <v>72900</v>
      </c>
      <c r="K327" s="3">
        <v>81000</v>
      </c>
      <c r="L327" s="3">
        <v>7</v>
      </c>
      <c r="M327">
        <f>Table1[[#This Row],[Qty]]*Table1[[#This Row],[Sales Price]]</f>
        <v>567000</v>
      </c>
      <c r="N327">
        <f>Table1[[#This Row],[Qty]]*Table1[[#This Row],[Cost]]</f>
        <v>510300</v>
      </c>
      <c r="O327">
        <f>Table1[[#This Row],[Revenue]]-Table1[[#This Row],[Total Cost]]</f>
        <v>56700</v>
      </c>
    </row>
    <row r="328" spans="1:15">
      <c r="A328" s="3">
        <v>327</v>
      </c>
      <c r="B328" s="4">
        <v>44992</v>
      </c>
      <c r="C328" s="4" t="str">
        <f>TEXT(Table1[[#This Row],[Date]],"YYYY")</f>
        <v>2023</v>
      </c>
      <c r="D328" s="4" t="str">
        <f>TEXT(Table1[[#This Row],[Date]],"MMM")</f>
        <v>Mar</v>
      </c>
      <c r="E328" s="5" t="s">
        <v>63</v>
      </c>
      <c r="F328" s="3" t="s">
        <v>18</v>
      </c>
      <c r="G328" s="3" t="s">
        <v>37</v>
      </c>
      <c r="H328" s="3" t="s">
        <v>17</v>
      </c>
      <c r="I328" s="3">
        <v>1</v>
      </c>
      <c r="J328" s="3">
        <v>9450</v>
      </c>
      <c r="K328" s="3">
        <v>10500</v>
      </c>
      <c r="L328" s="3">
        <v>56</v>
      </c>
      <c r="M328">
        <f>Table1[[#This Row],[Qty]]*Table1[[#This Row],[Sales Price]]</f>
        <v>588000</v>
      </c>
      <c r="N328">
        <f>Table1[[#This Row],[Qty]]*Table1[[#This Row],[Cost]]</f>
        <v>529200</v>
      </c>
      <c r="O328">
        <f>Table1[[#This Row],[Revenue]]-Table1[[#This Row],[Total Cost]]</f>
        <v>58800</v>
      </c>
    </row>
    <row r="329" spans="1:15">
      <c r="A329" s="3">
        <v>328</v>
      </c>
      <c r="B329" s="4">
        <v>44993</v>
      </c>
      <c r="C329" s="4" t="str">
        <f>TEXT(Table1[[#This Row],[Date]],"YYYY")</f>
        <v>2023</v>
      </c>
      <c r="D329" s="4" t="str">
        <f>TEXT(Table1[[#This Row],[Date]],"MMM")</f>
        <v>Mar</v>
      </c>
      <c r="E329" s="5" t="s">
        <v>39</v>
      </c>
      <c r="F329" s="3" t="s">
        <v>18</v>
      </c>
      <c r="G329" s="3" t="s">
        <v>41</v>
      </c>
      <c r="H329" s="3" t="s">
        <v>28</v>
      </c>
      <c r="I329" s="3">
        <v>1</v>
      </c>
      <c r="J329" s="3">
        <v>36000</v>
      </c>
      <c r="K329" s="3">
        <v>40000</v>
      </c>
      <c r="L329" s="3">
        <v>10</v>
      </c>
      <c r="M329">
        <f>Table1[[#This Row],[Qty]]*Table1[[#This Row],[Sales Price]]</f>
        <v>400000</v>
      </c>
      <c r="N329">
        <f>Table1[[#This Row],[Qty]]*Table1[[#This Row],[Cost]]</f>
        <v>360000</v>
      </c>
      <c r="O329">
        <f>Table1[[#This Row],[Revenue]]-Table1[[#This Row],[Total Cost]]</f>
        <v>40000</v>
      </c>
    </row>
    <row r="330" spans="1:15">
      <c r="A330" s="3">
        <v>329</v>
      </c>
      <c r="B330" s="4">
        <v>44994</v>
      </c>
      <c r="C330" s="4" t="str">
        <f>TEXT(Table1[[#This Row],[Date]],"YYYY")</f>
        <v>2023</v>
      </c>
      <c r="D330" s="4" t="str">
        <f>TEXT(Table1[[#This Row],[Date]],"MMM")</f>
        <v>Mar</v>
      </c>
      <c r="E330" s="5" t="s">
        <v>39</v>
      </c>
      <c r="F330" s="3" t="s">
        <v>18</v>
      </c>
      <c r="G330" s="3" t="s">
        <v>27</v>
      </c>
      <c r="H330" s="3" t="s">
        <v>28</v>
      </c>
      <c r="I330" s="3">
        <v>1</v>
      </c>
      <c r="J330" s="3">
        <v>24300</v>
      </c>
      <c r="K330" s="3">
        <v>27000</v>
      </c>
      <c r="L330" s="3">
        <v>9</v>
      </c>
      <c r="M330">
        <f>Table1[[#This Row],[Qty]]*Table1[[#This Row],[Sales Price]]</f>
        <v>243000</v>
      </c>
      <c r="N330">
        <f>Table1[[#This Row],[Qty]]*Table1[[#This Row],[Cost]]</f>
        <v>218700</v>
      </c>
      <c r="O330">
        <f>Table1[[#This Row],[Revenue]]-Table1[[#This Row],[Total Cost]]</f>
        <v>24300</v>
      </c>
    </row>
    <row r="331" spans="1:15">
      <c r="A331" s="3">
        <v>330</v>
      </c>
      <c r="B331" s="4">
        <v>44995</v>
      </c>
      <c r="C331" s="4" t="str">
        <f>TEXT(Table1[[#This Row],[Date]],"YYYY")</f>
        <v>2023</v>
      </c>
      <c r="D331" s="4" t="str">
        <f>TEXT(Table1[[#This Row],[Date]],"MMM")</f>
        <v>Mar</v>
      </c>
      <c r="E331" s="5" t="s">
        <v>31</v>
      </c>
      <c r="F331" s="3" t="s">
        <v>18</v>
      </c>
      <c r="G331" s="3" t="s">
        <v>32</v>
      </c>
      <c r="H331" s="3" t="s">
        <v>28</v>
      </c>
      <c r="I331" s="3">
        <v>1</v>
      </c>
      <c r="J331" s="3">
        <v>9180</v>
      </c>
      <c r="K331" s="3">
        <v>10200</v>
      </c>
      <c r="L331" s="3">
        <v>27</v>
      </c>
      <c r="M331">
        <f>Table1[[#This Row],[Qty]]*Table1[[#This Row],[Sales Price]]</f>
        <v>275400</v>
      </c>
      <c r="N331">
        <f>Table1[[#This Row],[Qty]]*Table1[[#This Row],[Cost]]</f>
        <v>247860</v>
      </c>
      <c r="O331">
        <f>Table1[[#This Row],[Revenue]]-Table1[[#This Row],[Total Cost]]</f>
        <v>27540</v>
      </c>
    </row>
    <row r="332" spans="1:15">
      <c r="A332" s="3">
        <v>331</v>
      </c>
      <c r="B332" s="4">
        <v>44996</v>
      </c>
      <c r="C332" s="4" t="str">
        <f>TEXT(Table1[[#This Row],[Date]],"YYYY")</f>
        <v>2023</v>
      </c>
      <c r="D332" s="4" t="str">
        <f>TEXT(Table1[[#This Row],[Date]],"MMM")</f>
        <v>Mar</v>
      </c>
      <c r="E332" s="5" t="s">
        <v>50</v>
      </c>
      <c r="F332" s="3" t="s">
        <v>18</v>
      </c>
      <c r="G332" s="3" t="s">
        <v>42</v>
      </c>
      <c r="H332" s="3" t="s">
        <v>43</v>
      </c>
      <c r="I332" s="3">
        <v>1</v>
      </c>
      <c r="J332" s="3">
        <v>8640</v>
      </c>
      <c r="K332" s="3">
        <v>9600</v>
      </c>
      <c r="L332" s="3">
        <v>15</v>
      </c>
      <c r="M332">
        <f>Table1[[#This Row],[Qty]]*Table1[[#This Row],[Sales Price]]</f>
        <v>144000</v>
      </c>
      <c r="N332">
        <f>Table1[[#This Row],[Qty]]*Table1[[#This Row],[Cost]]</f>
        <v>129600</v>
      </c>
      <c r="O332">
        <f>Table1[[#This Row],[Revenue]]-Table1[[#This Row],[Total Cost]]</f>
        <v>14400</v>
      </c>
    </row>
    <row r="333" spans="1:15">
      <c r="A333" s="3">
        <v>332</v>
      </c>
      <c r="B333" s="4">
        <v>44997</v>
      </c>
      <c r="C333" s="4" t="str">
        <f>TEXT(Table1[[#This Row],[Date]],"YYYY")</f>
        <v>2023</v>
      </c>
      <c r="D333" s="4" t="str">
        <f>TEXT(Table1[[#This Row],[Date]],"MMM")</f>
        <v>Mar</v>
      </c>
      <c r="E333" s="5" t="s">
        <v>58</v>
      </c>
      <c r="F333" s="3" t="s">
        <v>18</v>
      </c>
      <c r="G333" s="3" t="s">
        <v>44</v>
      </c>
      <c r="H333" s="3" t="s">
        <v>43</v>
      </c>
      <c r="I333" s="3">
        <v>1</v>
      </c>
      <c r="J333" s="3">
        <v>8280</v>
      </c>
      <c r="K333" s="3">
        <v>9200</v>
      </c>
      <c r="L333" s="3">
        <v>3</v>
      </c>
      <c r="M333">
        <f>Table1[[#This Row],[Qty]]*Table1[[#This Row],[Sales Price]]</f>
        <v>27600</v>
      </c>
      <c r="N333">
        <f>Table1[[#This Row],[Qty]]*Table1[[#This Row],[Cost]]</f>
        <v>24840</v>
      </c>
      <c r="O333">
        <f>Table1[[#This Row],[Revenue]]-Table1[[#This Row],[Total Cost]]</f>
        <v>2760</v>
      </c>
    </row>
    <row r="334" spans="1:15">
      <c r="A334" s="3">
        <v>333</v>
      </c>
      <c r="B334" s="4">
        <v>44998</v>
      </c>
      <c r="C334" s="4" t="str">
        <f>TEXT(Table1[[#This Row],[Date]],"YYYY")</f>
        <v>2023</v>
      </c>
      <c r="D334" s="4" t="str">
        <f>TEXT(Table1[[#This Row],[Date]],"MMM")</f>
        <v>Mar</v>
      </c>
      <c r="E334" s="5" t="s">
        <v>58</v>
      </c>
      <c r="F334" s="3" t="s">
        <v>18</v>
      </c>
      <c r="G334" s="3" t="s">
        <v>45</v>
      </c>
      <c r="H334" s="3" t="s">
        <v>43</v>
      </c>
      <c r="I334" s="3"/>
      <c r="J334" s="3">
        <v>4950</v>
      </c>
      <c r="K334" s="3">
        <v>5500</v>
      </c>
      <c r="L334" s="3">
        <v>9</v>
      </c>
      <c r="M334">
        <f>Table1[[#This Row],[Qty]]*Table1[[#This Row],[Sales Price]]</f>
        <v>49500</v>
      </c>
      <c r="N334">
        <f>Table1[[#This Row],[Qty]]*Table1[[#This Row],[Cost]]</f>
        <v>44550</v>
      </c>
      <c r="O334">
        <f>Table1[[#This Row],[Revenue]]-Table1[[#This Row],[Total Cost]]</f>
        <v>4950</v>
      </c>
    </row>
    <row r="335" spans="1:15">
      <c r="A335" s="3">
        <v>334</v>
      </c>
      <c r="B335" s="4">
        <v>44999</v>
      </c>
      <c r="C335" s="4" t="str">
        <f>TEXT(Table1[[#This Row],[Date]],"YYYY")</f>
        <v>2023</v>
      </c>
      <c r="D335" s="4" t="str">
        <f>TEXT(Table1[[#This Row],[Date]],"MMM")</f>
        <v>Mar</v>
      </c>
      <c r="E335" s="5" t="s">
        <v>14</v>
      </c>
      <c r="F335" s="3" t="s">
        <v>18</v>
      </c>
      <c r="G335" s="3" t="s">
        <v>47</v>
      </c>
      <c r="H335" s="3" t="s">
        <v>43</v>
      </c>
      <c r="I335" s="3"/>
      <c r="J335" s="3">
        <v>3150</v>
      </c>
      <c r="K335" s="3">
        <v>3500</v>
      </c>
      <c r="L335" s="3">
        <v>22</v>
      </c>
      <c r="M335">
        <f>Table1[[#This Row],[Qty]]*Table1[[#This Row],[Sales Price]]</f>
        <v>77000</v>
      </c>
      <c r="N335">
        <f>Table1[[#This Row],[Qty]]*Table1[[#This Row],[Cost]]</f>
        <v>69300</v>
      </c>
      <c r="O335">
        <f>Table1[[#This Row],[Revenue]]-Table1[[#This Row],[Total Cost]]</f>
        <v>7700</v>
      </c>
    </row>
    <row r="336" spans="1:15">
      <c r="A336" s="3">
        <v>335</v>
      </c>
      <c r="B336" s="4">
        <v>45000</v>
      </c>
      <c r="C336" s="4" t="str">
        <f>TEXT(Table1[[#This Row],[Date]],"YYYY")</f>
        <v>2023</v>
      </c>
      <c r="D336" s="4" t="str">
        <f>TEXT(Table1[[#This Row],[Date]],"MMM")</f>
        <v>Mar</v>
      </c>
      <c r="E336" s="5" t="s">
        <v>49</v>
      </c>
      <c r="F336" s="3" t="s">
        <v>61</v>
      </c>
      <c r="G336" s="3" t="s">
        <v>48</v>
      </c>
      <c r="H336" s="3" t="s">
        <v>43</v>
      </c>
      <c r="I336" s="3"/>
      <c r="J336" s="3">
        <v>2700</v>
      </c>
      <c r="K336" s="3">
        <v>3000</v>
      </c>
      <c r="L336" s="3">
        <v>16</v>
      </c>
      <c r="M336">
        <f>Table1[[#This Row],[Qty]]*Table1[[#This Row],[Sales Price]]</f>
        <v>48000</v>
      </c>
      <c r="N336">
        <f>Table1[[#This Row],[Qty]]*Table1[[#This Row],[Cost]]</f>
        <v>43200</v>
      </c>
      <c r="O336">
        <f>Table1[[#This Row],[Revenue]]-Table1[[#This Row],[Total Cost]]</f>
        <v>4800</v>
      </c>
    </row>
    <row r="337" spans="1:15">
      <c r="A337" s="3">
        <v>336</v>
      </c>
      <c r="B337" s="4">
        <v>45001</v>
      </c>
      <c r="C337" s="4" t="str">
        <f>TEXT(Table1[[#This Row],[Date]],"YYYY")</f>
        <v>2023</v>
      </c>
      <c r="D337" s="4" t="str">
        <f>TEXT(Table1[[#This Row],[Date]],"MMM")</f>
        <v>Mar</v>
      </c>
      <c r="E337" s="5" t="s">
        <v>63</v>
      </c>
      <c r="F337" s="3" t="s">
        <v>61</v>
      </c>
      <c r="G337" s="3" t="s">
        <v>42</v>
      </c>
      <c r="H337" s="3" t="s">
        <v>43</v>
      </c>
      <c r="I337" s="3">
        <v>1</v>
      </c>
      <c r="J337" s="3">
        <v>4050</v>
      </c>
      <c r="K337" s="3">
        <v>4500</v>
      </c>
      <c r="L337" s="3">
        <v>6</v>
      </c>
      <c r="M337">
        <f>Table1[[#This Row],[Qty]]*Table1[[#This Row],[Sales Price]]</f>
        <v>27000</v>
      </c>
      <c r="N337">
        <f>Table1[[#This Row],[Qty]]*Table1[[#This Row],[Cost]]</f>
        <v>24300</v>
      </c>
      <c r="O337">
        <f>Table1[[#This Row],[Revenue]]-Table1[[#This Row],[Total Cost]]</f>
        <v>2700</v>
      </c>
    </row>
    <row r="338" spans="1:15">
      <c r="A338" s="3">
        <v>337</v>
      </c>
      <c r="B338" s="4">
        <v>45002</v>
      </c>
      <c r="C338" s="4" t="str">
        <f>TEXT(Table1[[#This Row],[Date]],"YYYY")</f>
        <v>2023</v>
      </c>
      <c r="D338" s="4" t="str">
        <f>TEXT(Table1[[#This Row],[Date]],"MMM")</f>
        <v>Mar</v>
      </c>
      <c r="E338" s="5" t="s">
        <v>22</v>
      </c>
      <c r="F338" s="3" t="s">
        <v>61</v>
      </c>
      <c r="G338" s="3" t="s">
        <v>44</v>
      </c>
      <c r="H338" s="3" t="s">
        <v>43</v>
      </c>
      <c r="I338" s="3">
        <v>1</v>
      </c>
      <c r="J338" s="3">
        <v>53100</v>
      </c>
      <c r="K338" s="3">
        <v>59000</v>
      </c>
      <c r="L338" s="3">
        <v>3</v>
      </c>
      <c r="M338">
        <f>Table1[[#This Row],[Qty]]*Table1[[#This Row],[Sales Price]]</f>
        <v>177000</v>
      </c>
      <c r="N338">
        <f>Table1[[#This Row],[Qty]]*Table1[[#This Row],[Cost]]</f>
        <v>159300</v>
      </c>
      <c r="O338">
        <f>Table1[[#This Row],[Revenue]]-Table1[[#This Row],[Total Cost]]</f>
        <v>17700</v>
      </c>
    </row>
    <row r="339" spans="1:15">
      <c r="A339" s="3">
        <v>338</v>
      </c>
      <c r="B339" s="4">
        <v>45003</v>
      </c>
      <c r="C339" s="4" t="str">
        <f>TEXT(Table1[[#This Row],[Date]],"YYYY")</f>
        <v>2023</v>
      </c>
      <c r="D339" s="4" t="str">
        <f>TEXT(Table1[[#This Row],[Date]],"MMM")</f>
        <v>Mar</v>
      </c>
      <c r="E339" s="5" t="s">
        <v>24</v>
      </c>
      <c r="F339" s="3" t="s">
        <v>61</v>
      </c>
      <c r="G339" s="3" t="s">
        <v>45</v>
      </c>
      <c r="H339" s="3" t="s">
        <v>43</v>
      </c>
      <c r="I339" s="3">
        <v>1</v>
      </c>
      <c r="J339" s="3">
        <v>88200</v>
      </c>
      <c r="K339" s="3">
        <v>98000</v>
      </c>
      <c r="L339" s="3">
        <v>5</v>
      </c>
      <c r="M339">
        <f>Table1[[#This Row],[Qty]]*Table1[[#This Row],[Sales Price]]</f>
        <v>490000</v>
      </c>
      <c r="N339">
        <f>Table1[[#This Row],[Qty]]*Table1[[#This Row],[Cost]]</f>
        <v>441000</v>
      </c>
      <c r="O339">
        <f>Table1[[#This Row],[Revenue]]-Table1[[#This Row],[Total Cost]]</f>
        <v>49000</v>
      </c>
    </row>
    <row r="340" spans="1:15">
      <c r="A340" s="3">
        <v>339</v>
      </c>
      <c r="B340" s="4">
        <v>45004</v>
      </c>
      <c r="C340" s="4" t="str">
        <f>TEXT(Table1[[#This Row],[Date]],"YYYY")</f>
        <v>2023</v>
      </c>
      <c r="D340" s="4" t="str">
        <f>TEXT(Table1[[#This Row],[Date]],"MMM")</f>
        <v>Mar</v>
      </c>
      <c r="E340" s="5" t="s">
        <v>39</v>
      </c>
      <c r="F340" s="3" t="s">
        <v>61</v>
      </c>
      <c r="G340" s="3" t="s">
        <v>47</v>
      </c>
      <c r="H340" s="3" t="s">
        <v>43</v>
      </c>
      <c r="I340" s="3">
        <v>0</v>
      </c>
      <c r="J340" s="3">
        <v>38250</v>
      </c>
      <c r="K340" s="3">
        <v>42500</v>
      </c>
      <c r="L340" s="3">
        <v>1</v>
      </c>
      <c r="M340">
        <f>Table1[[#This Row],[Qty]]*Table1[[#This Row],[Sales Price]]</f>
        <v>42500</v>
      </c>
      <c r="N340">
        <f>Table1[[#This Row],[Qty]]*Table1[[#This Row],[Cost]]</f>
        <v>38250</v>
      </c>
      <c r="O340">
        <f>Table1[[#This Row],[Revenue]]-Table1[[#This Row],[Total Cost]]</f>
        <v>4250</v>
      </c>
    </row>
    <row r="341" spans="1:15">
      <c r="A341" s="3">
        <v>340</v>
      </c>
      <c r="B341" s="4">
        <v>45005</v>
      </c>
      <c r="C341" s="4" t="str">
        <f>TEXT(Table1[[#This Row],[Date]],"YYYY")</f>
        <v>2023</v>
      </c>
      <c r="D341" s="4" t="str">
        <f>TEXT(Table1[[#This Row],[Date]],"MMM")</f>
        <v>Mar</v>
      </c>
      <c r="E341" s="5" t="s">
        <v>39</v>
      </c>
      <c r="F341" s="3" t="s">
        <v>61</v>
      </c>
      <c r="G341" s="3" t="s">
        <v>48</v>
      </c>
      <c r="H341" s="3" t="s">
        <v>43</v>
      </c>
      <c r="I341" s="3">
        <v>0</v>
      </c>
      <c r="J341" s="3">
        <v>2700</v>
      </c>
      <c r="K341" s="3">
        <v>3000</v>
      </c>
      <c r="L341" s="3">
        <v>5</v>
      </c>
      <c r="M341">
        <f>Table1[[#This Row],[Qty]]*Table1[[#This Row],[Sales Price]]</f>
        <v>15000</v>
      </c>
      <c r="N341">
        <f>Table1[[#This Row],[Qty]]*Table1[[#This Row],[Cost]]</f>
        <v>13500</v>
      </c>
      <c r="O341">
        <f>Table1[[#This Row],[Revenue]]-Table1[[#This Row],[Total Cost]]</f>
        <v>1500</v>
      </c>
    </row>
    <row r="342" spans="1:15">
      <c r="A342" s="3">
        <v>341</v>
      </c>
      <c r="B342" s="4">
        <v>45006</v>
      </c>
      <c r="C342" s="4" t="str">
        <f>TEXT(Table1[[#This Row],[Date]],"YYYY")</f>
        <v>2023</v>
      </c>
      <c r="D342" s="4" t="str">
        <f>TEXT(Table1[[#This Row],[Date]],"MMM")</f>
        <v>Mar</v>
      </c>
      <c r="E342" s="5" t="s">
        <v>56</v>
      </c>
      <c r="F342" s="3" t="s">
        <v>61</v>
      </c>
      <c r="G342" s="3" t="s">
        <v>48</v>
      </c>
      <c r="H342" s="3" t="s">
        <v>43</v>
      </c>
      <c r="I342" s="3">
        <v>0</v>
      </c>
      <c r="J342" s="3">
        <v>23850</v>
      </c>
      <c r="K342" s="3">
        <v>26500</v>
      </c>
      <c r="L342" s="3">
        <v>7</v>
      </c>
      <c r="M342">
        <f>Table1[[#This Row],[Qty]]*Table1[[#This Row],[Sales Price]]</f>
        <v>185500</v>
      </c>
      <c r="N342">
        <f>Table1[[#This Row],[Qty]]*Table1[[#This Row],[Cost]]</f>
        <v>166950</v>
      </c>
      <c r="O342">
        <f>Table1[[#This Row],[Revenue]]-Table1[[#This Row],[Total Cost]]</f>
        <v>18550</v>
      </c>
    </row>
    <row r="343" spans="1:15">
      <c r="A343" s="3">
        <v>342</v>
      </c>
      <c r="B343" s="4">
        <v>45007</v>
      </c>
      <c r="C343" s="4" t="str">
        <f>TEXT(Table1[[#This Row],[Date]],"YYYY")</f>
        <v>2023</v>
      </c>
      <c r="D343" s="4" t="str">
        <f>TEXT(Table1[[#This Row],[Date]],"MMM")</f>
        <v>Mar</v>
      </c>
      <c r="E343" s="5" t="s">
        <v>22</v>
      </c>
      <c r="F343" s="3" t="s">
        <v>61</v>
      </c>
      <c r="G343" s="3" t="s">
        <v>42</v>
      </c>
      <c r="H343" s="3" t="s">
        <v>43</v>
      </c>
      <c r="I343" s="3">
        <v>1</v>
      </c>
      <c r="J343" s="3">
        <v>24750</v>
      </c>
      <c r="K343" s="3">
        <v>27500</v>
      </c>
      <c r="L343" s="3">
        <v>4</v>
      </c>
      <c r="M343">
        <f>Table1[[#This Row],[Qty]]*Table1[[#This Row],[Sales Price]]</f>
        <v>110000</v>
      </c>
      <c r="N343">
        <f>Table1[[#This Row],[Qty]]*Table1[[#This Row],[Cost]]</f>
        <v>99000</v>
      </c>
      <c r="O343">
        <f>Table1[[#This Row],[Revenue]]-Table1[[#This Row],[Total Cost]]</f>
        <v>11000</v>
      </c>
    </row>
    <row r="344" spans="1:15">
      <c r="A344" s="3">
        <v>343</v>
      </c>
      <c r="B344" s="4">
        <v>45008</v>
      </c>
      <c r="C344" s="4" t="str">
        <f>TEXT(Table1[[#This Row],[Date]],"YYYY")</f>
        <v>2023</v>
      </c>
      <c r="D344" s="4" t="str">
        <f>TEXT(Table1[[#This Row],[Date]],"MMM")</f>
        <v>Mar</v>
      </c>
      <c r="E344" s="5" t="s">
        <v>14</v>
      </c>
      <c r="F344" s="3" t="s">
        <v>61</v>
      </c>
      <c r="G344" s="3" t="s">
        <v>27</v>
      </c>
      <c r="H344" s="3" t="s">
        <v>28</v>
      </c>
      <c r="I344" s="3"/>
      <c r="J344" s="3">
        <v>44550</v>
      </c>
      <c r="K344" s="3">
        <v>49500</v>
      </c>
      <c r="L344" s="3">
        <v>8</v>
      </c>
      <c r="M344">
        <f>Table1[[#This Row],[Qty]]*Table1[[#This Row],[Sales Price]]</f>
        <v>396000</v>
      </c>
      <c r="N344">
        <f>Table1[[#This Row],[Qty]]*Table1[[#This Row],[Cost]]</f>
        <v>356400</v>
      </c>
      <c r="O344">
        <f>Table1[[#This Row],[Revenue]]-Table1[[#This Row],[Total Cost]]</f>
        <v>39600</v>
      </c>
    </row>
    <row r="345" spans="1:15">
      <c r="A345" s="3">
        <v>344</v>
      </c>
      <c r="B345" s="4">
        <v>45009</v>
      </c>
      <c r="C345" s="4" t="str">
        <f>TEXT(Table1[[#This Row],[Date]],"YYYY")</f>
        <v>2023</v>
      </c>
      <c r="D345" s="4" t="str">
        <f>TEXT(Table1[[#This Row],[Date]],"MMM")</f>
        <v>Mar</v>
      </c>
      <c r="E345" s="5" t="s">
        <v>22</v>
      </c>
      <c r="F345" s="3" t="s">
        <v>61</v>
      </c>
      <c r="G345" s="3" t="s">
        <v>30</v>
      </c>
      <c r="H345" s="3" t="s">
        <v>28</v>
      </c>
      <c r="I345" s="3"/>
      <c r="J345" s="3">
        <v>9000</v>
      </c>
      <c r="K345" s="3">
        <v>10000</v>
      </c>
      <c r="L345" s="3">
        <v>8</v>
      </c>
      <c r="M345">
        <f>Table1[[#This Row],[Qty]]*Table1[[#This Row],[Sales Price]]</f>
        <v>80000</v>
      </c>
      <c r="N345">
        <f>Table1[[#This Row],[Qty]]*Table1[[#This Row],[Cost]]</f>
        <v>72000</v>
      </c>
      <c r="O345">
        <f>Table1[[#This Row],[Revenue]]-Table1[[#This Row],[Total Cost]]</f>
        <v>8000</v>
      </c>
    </row>
    <row r="346" spans="1:15">
      <c r="A346" s="3">
        <v>345</v>
      </c>
      <c r="B346" s="4">
        <v>45010</v>
      </c>
      <c r="C346" s="4" t="str">
        <f>TEXT(Table1[[#This Row],[Date]],"YYYY")</f>
        <v>2023</v>
      </c>
      <c r="D346" s="4" t="str">
        <f>TEXT(Table1[[#This Row],[Date]],"MMM")</f>
        <v>Mar</v>
      </c>
      <c r="E346" s="5" t="s">
        <v>33</v>
      </c>
      <c r="F346" s="3" t="s">
        <v>61</v>
      </c>
      <c r="G346" s="3" t="s">
        <v>32</v>
      </c>
      <c r="H346" s="3" t="s">
        <v>28</v>
      </c>
      <c r="I346" s="3">
        <v>1</v>
      </c>
      <c r="J346" s="3">
        <v>8640</v>
      </c>
      <c r="K346" s="3">
        <v>9600</v>
      </c>
      <c r="L346" s="3">
        <v>9</v>
      </c>
      <c r="M346">
        <f>Table1[[#This Row],[Qty]]*Table1[[#This Row],[Sales Price]]</f>
        <v>86400</v>
      </c>
      <c r="N346">
        <f>Table1[[#This Row],[Qty]]*Table1[[#This Row],[Cost]]</f>
        <v>77760</v>
      </c>
      <c r="O346">
        <f>Table1[[#This Row],[Revenue]]-Table1[[#This Row],[Total Cost]]</f>
        <v>8640</v>
      </c>
    </row>
    <row r="347" spans="1:15">
      <c r="A347" s="3">
        <v>346</v>
      </c>
      <c r="B347" s="4">
        <v>45011</v>
      </c>
      <c r="C347" s="4" t="str">
        <f>TEXT(Table1[[#This Row],[Date]],"YYYY")</f>
        <v>2023</v>
      </c>
      <c r="D347" s="4" t="str">
        <f>TEXT(Table1[[#This Row],[Date]],"MMM")</f>
        <v>Mar</v>
      </c>
      <c r="E347" s="5" t="s">
        <v>58</v>
      </c>
      <c r="F347" s="3" t="s">
        <v>61</v>
      </c>
      <c r="G347" s="3" t="s">
        <v>34</v>
      </c>
      <c r="H347" s="3" t="s">
        <v>28</v>
      </c>
      <c r="I347" s="3">
        <v>1</v>
      </c>
      <c r="J347" s="3">
        <v>9000</v>
      </c>
      <c r="K347" s="3">
        <v>10000</v>
      </c>
      <c r="L347" s="3">
        <v>2</v>
      </c>
      <c r="M347">
        <f>Table1[[#This Row],[Qty]]*Table1[[#This Row],[Sales Price]]</f>
        <v>20000</v>
      </c>
      <c r="N347">
        <f>Table1[[#This Row],[Qty]]*Table1[[#This Row],[Cost]]</f>
        <v>18000</v>
      </c>
      <c r="O347">
        <f>Table1[[#This Row],[Revenue]]-Table1[[#This Row],[Total Cost]]</f>
        <v>2000</v>
      </c>
    </row>
    <row r="348" spans="1:15">
      <c r="A348" s="3">
        <v>347</v>
      </c>
      <c r="B348" s="4">
        <v>45012</v>
      </c>
      <c r="C348" s="4" t="str">
        <f>TEXT(Table1[[#This Row],[Date]],"YYYY")</f>
        <v>2023</v>
      </c>
      <c r="D348" s="4" t="str">
        <f>TEXT(Table1[[#This Row],[Date]],"MMM")</f>
        <v>Mar</v>
      </c>
      <c r="E348" s="5" t="s">
        <v>50</v>
      </c>
      <c r="F348" s="3" t="s">
        <v>61</v>
      </c>
      <c r="G348" s="3" t="s">
        <v>41</v>
      </c>
      <c r="H348" s="3" t="s">
        <v>28</v>
      </c>
      <c r="I348" s="3">
        <v>1</v>
      </c>
      <c r="J348" s="3">
        <v>3870</v>
      </c>
      <c r="K348" s="3">
        <v>4300</v>
      </c>
      <c r="L348" s="3">
        <v>1</v>
      </c>
      <c r="M348">
        <f>Table1[[#This Row],[Qty]]*Table1[[#This Row],[Sales Price]]</f>
        <v>4300</v>
      </c>
      <c r="N348">
        <f>Table1[[#This Row],[Qty]]*Table1[[#This Row],[Cost]]</f>
        <v>3870</v>
      </c>
      <c r="O348">
        <f>Table1[[#This Row],[Revenue]]-Table1[[#This Row],[Total Cost]]</f>
        <v>430</v>
      </c>
    </row>
    <row r="349" spans="1:15">
      <c r="A349" s="3">
        <v>348</v>
      </c>
      <c r="B349" s="4">
        <v>45013</v>
      </c>
      <c r="C349" s="4" t="str">
        <f>TEXT(Table1[[#This Row],[Date]],"YYYY")</f>
        <v>2023</v>
      </c>
      <c r="D349" s="4" t="str">
        <f>TEXT(Table1[[#This Row],[Date]],"MMM")</f>
        <v>Mar</v>
      </c>
      <c r="E349" s="5" t="s">
        <v>39</v>
      </c>
      <c r="F349" s="3" t="s">
        <v>61</v>
      </c>
      <c r="G349" s="3" t="s">
        <v>27</v>
      </c>
      <c r="H349" s="3" t="s">
        <v>28</v>
      </c>
      <c r="I349" s="3">
        <v>1</v>
      </c>
      <c r="J349" s="3">
        <v>45450</v>
      </c>
      <c r="K349" s="3">
        <v>50500</v>
      </c>
      <c r="L349" s="3">
        <v>22</v>
      </c>
      <c r="M349">
        <f>Table1[[#This Row],[Qty]]*Table1[[#This Row],[Sales Price]]</f>
        <v>1111000</v>
      </c>
      <c r="N349">
        <f>Table1[[#This Row],[Qty]]*Table1[[#This Row],[Cost]]</f>
        <v>999900</v>
      </c>
      <c r="O349">
        <f>Table1[[#This Row],[Revenue]]-Table1[[#This Row],[Total Cost]]</f>
        <v>111100</v>
      </c>
    </row>
    <row r="350" spans="1:15">
      <c r="A350" s="3">
        <v>349</v>
      </c>
      <c r="B350" s="4">
        <v>45014</v>
      </c>
      <c r="C350" s="4" t="str">
        <f>TEXT(Table1[[#This Row],[Date]],"YYYY")</f>
        <v>2023</v>
      </c>
      <c r="D350" s="4" t="str">
        <f>TEXT(Table1[[#This Row],[Date]],"MMM")</f>
        <v>Mar</v>
      </c>
      <c r="E350" s="5" t="s">
        <v>58</v>
      </c>
      <c r="F350" s="3" t="s">
        <v>61</v>
      </c>
      <c r="G350" s="3" t="s">
        <v>32</v>
      </c>
      <c r="H350" s="3" t="s">
        <v>28</v>
      </c>
      <c r="I350" s="3">
        <v>1</v>
      </c>
      <c r="J350" s="3">
        <v>18225</v>
      </c>
      <c r="K350" s="3">
        <v>20250</v>
      </c>
      <c r="L350" s="3">
        <v>8</v>
      </c>
      <c r="M350">
        <f>Table1[[#This Row],[Qty]]*Table1[[#This Row],[Sales Price]]</f>
        <v>162000</v>
      </c>
      <c r="N350">
        <f>Table1[[#This Row],[Qty]]*Table1[[#This Row],[Cost]]</f>
        <v>145800</v>
      </c>
      <c r="O350">
        <f>Table1[[#This Row],[Revenue]]-Table1[[#This Row],[Total Cost]]</f>
        <v>16200</v>
      </c>
    </row>
    <row r="351" spans="1:15">
      <c r="A351" s="3">
        <v>350</v>
      </c>
      <c r="B351" s="4">
        <v>45015</v>
      </c>
      <c r="C351" s="4" t="str">
        <f>TEXT(Table1[[#This Row],[Date]],"YYYY")</f>
        <v>2023</v>
      </c>
      <c r="D351" s="4" t="str">
        <f>TEXT(Table1[[#This Row],[Date]],"MMM")</f>
        <v>Mar</v>
      </c>
      <c r="E351" s="5" t="s">
        <v>39</v>
      </c>
      <c r="F351" s="3" t="s">
        <v>61</v>
      </c>
      <c r="G351" s="3" t="s">
        <v>27</v>
      </c>
      <c r="H351" s="3" t="s">
        <v>28</v>
      </c>
      <c r="I351" s="3">
        <v>1</v>
      </c>
      <c r="J351" s="3">
        <v>1800</v>
      </c>
      <c r="K351" s="3">
        <v>2000</v>
      </c>
      <c r="L351" s="3">
        <v>7</v>
      </c>
      <c r="M351">
        <f>Table1[[#This Row],[Qty]]*Table1[[#This Row],[Sales Price]]</f>
        <v>14000</v>
      </c>
      <c r="N351">
        <f>Table1[[#This Row],[Qty]]*Table1[[#This Row],[Cost]]</f>
        <v>12600</v>
      </c>
      <c r="O351">
        <f>Table1[[#This Row],[Revenue]]-Table1[[#This Row],[Total Cost]]</f>
        <v>1400</v>
      </c>
    </row>
    <row r="352" spans="1:15">
      <c r="A352" s="3">
        <v>351</v>
      </c>
      <c r="B352" s="4">
        <v>45016</v>
      </c>
      <c r="C352" s="4" t="str">
        <f>TEXT(Table1[[#This Row],[Date]],"YYYY")</f>
        <v>2023</v>
      </c>
      <c r="D352" s="4" t="str">
        <f>TEXT(Table1[[#This Row],[Date]],"MMM")</f>
        <v>Mar</v>
      </c>
      <c r="E352" s="5" t="s">
        <v>66</v>
      </c>
      <c r="F352" s="3" t="s">
        <v>61</v>
      </c>
      <c r="G352" s="3" t="s">
        <v>30</v>
      </c>
      <c r="H352" s="3" t="s">
        <v>28</v>
      </c>
      <c r="I352" s="3"/>
      <c r="J352" s="3">
        <v>48600</v>
      </c>
      <c r="K352" s="3">
        <v>54000</v>
      </c>
      <c r="L352" s="3">
        <v>56</v>
      </c>
      <c r="M352">
        <f>Table1[[#This Row],[Qty]]*Table1[[#This Row],[Sales Price]]</f>
        <v>3024000</v>
      </c>
      <c r="N352">
        <f>Table1[[#This Row],[Qty]]*Table1[[#This Row],[Cost]]</f>
        <v>2721600</v>
      </c>
      <c r="O352">
        <f>Table1[[#This Row],[Revenue]]-Table1[[#This Row],[Total Cost]]</f>
        <v>302400</v>
      </c>
    </row>
    <row r="353" spans="1:15">
      <c r="A353" s="3">
        <v>352</v>
      </c>
      <c r="B353" s="4">
        <v>45017</v>
      </c>
      <c r="C353" s="4" t="str">
        <f>TEXT(Table1[[#This Row],[Date]],"YYYY")</f>
        <v>2023</v>
      </c>
      <c r="D353" s="4" t="str">
        <f>TEXT(Table1[[#This Row],[Date]],"MMM")</f>
        <v>Apr</v>
      </c>
      <c r="E353" s="5" t="s">
        <v>39</v>
      </c>
      <c r="F353" s="3" t="s">
        <v>61</v>
      </c>
      <c r="G353" s="3" t="s">
        <v>32</v>
      </c>
      <c r="H353" s="3" t="s">
        <v>28</v>
      </c>
      <c r="I353" s="3"/>
      <c r="J353" s="3">
        <v>72900</v>
      </c>
      <c r="K353" s="3">
        <v>81000</v>
      </c>
      <c r="L353" s="3">
        <v>10</v>
      </c>
      <c r="M353">
        <f>Table1[[#This Row],[Qty]]*Table1[[#This Row],[Sales Price]]</f>
        <v>810000</v>
      </c>
      <c r="N353">
        <f>Table1[[#This Row],[Qty]]*Table1[[#This Row],[Cost]]</f>
        <v>729000</v>
      </c>
      <c r="O353">
        <f>Table1[[#This Row],[Revenue]]-Table1[[#This Row],[Total Cost]]</f>
        <v>81000</v>
      </c>
    </row>
    <row r="354" spans="1:15">
      <c r="A354" s="3">
        <v>353</v>
      </c>
      <c r="B354" s="4">
        <v>45018</v>
      </c>
      <c r="C354" s="4" t="str">
        <f>TEXT(Table1[[#This Row],[Date]],"YYYY")</f>
        <v>2023</v>
      </c>
      <c r="D354" s="4" t="str">
        <f>TEXT(Table1[[#This Row],[Date]],"MMM")</f>
        <v>Apr</v>
      </c>
      <c r="E354" s="5" t="s">
        <v>31</v>
      </c>
      <c r="F354" s="3" t="s">
        <v>61</v>
      </c>
      <c r="G354" s="3" t="s">
        <v>34</v>
      </c>
      <c r="H354" s="3" t="s">
        <v>28</v>
      </c>
      <c r="I354" s="3"/>
      <c r="J354" s="3">
        <v>9450</v>
      </c>
      <c r="K354" s="3">
        <v>10500</v>
      </c>
      <c r="L354" s="3">
        <v>9</v>
      </c>
      <c r="M354">
        <f>Table1[[#This Row],[Qty]]*Table1[[#This Row],[Sales Price]]</f>
        <v>94500</v>
      </c>
      <c r="N354">
        <f>Table1[[#This Row],[Qty]]*Table1[[#This Row],[Cost]]</f>
        <v>85050</v>
      </c>
      <c r="O354">
        <f>Table1[[#This Row],[Revenue]]-Table1[[#This Row],[Total Cost]]</f>
        <v>9450</v>
      </c>
    </row>
    <row r="355" spans="1:15">
      <c r="A355" s="3">
        <v>354</v>
      </c>
      <c r="B355" s="4">
        <v>45019</v>
      </c>
      <c r="C355" s="4" t="str">
        <f>TEXT(Table1[[#This Row],[Date]],"YYYY")</f>
        <v>2023</v>
      </c>
      <c r="D355" s="4" t="str">
        <f>TEXT(Table1[[#This Row],[Date]],"MMM")</f>
        <v>Apr</v>
      </c>
      <c r="E355" s="5" t="s">
        <v>66</v>
      </c>
      <c r="F355" s="3" t="s">
        <v>61</v>
      </c>
      <c r="G355" s="3" t="s">
        <v>41</v>
      </c>
      <c r="H355" s="3" t="s">
        <v>28</v>
      </c>
      <c r="I355" s="3">
        <v>1</v>
      </c>
      <c r="J355" s="3">
        <v>36000</v>
      </c>
      <c r="K355" s="3">
        <v>40000</v>
      </c>
      <c r="L355" s="3">
        <v>27</v>
      </c>
      <c r="M355">
        <f>Table1[[#This Row],[Qty]]*Table1[[#This Row],[Sales Price]]</f>
        <v>1080000</v>
      </c>
      <c r="N355">
        <f>Table1[[#This Row],[Qty]]*Table1[[#This Row],[Cost]]</f>
        <v>972000</v>
      </c>
      <c r="O355">
        <f>Table1[[#This Row],[Revenue]]-Table1[[#This Row],[Total Cost]]</f>
        <v>108000</v>
      </c>
    </row>
    <row r="356" spans="1:15">
      <c r="A356" s="3">
        <v>355</v>
      </c>
      <c r="B356" s="4">
        <v>45020</v>
      </c>
      <c r="C356" s="4" t="str">
        <f>TEXT(Table1[[#This Row],[Date]],"YYYY")</f>
        <v>2023</v>
      </c>
      <c r="D356" s="4" t="str">
        <f>TEXT(Table1[[#This Row],[Date]],"MMM")</f>
        <v>Apr</v>
      </c>
      <c r="E356" s="5" t="s">
        <v>54</v>
      </c>
      <c r="F356" s="3" t="s">
        <v>61</v>
      </c>
      <c r="G356" s="3" t="s">
        <v>27</v>
      </c>
      <c r="H356" s="3" t="s">
        <v>28</v>
      </c>
      <c r="I356" s="3">
        <v>1</v>
      </c>
      <c r="J356" s="3">
        <v>24300</v>
      </c>
      <c r="K356" s="3">
        <v>27000</v>
      </c>
      <c r="L356" s="3">
        <v>15</v>
      </c>
      <c r="M356">
        <f>Table1[[#This Row],[Qty]]*Table1[[#This Row],[Sales Price]]</f>
        <v>405000</v>
      </c>
      <c r="N356">
        <f>Table1[[#This Row],[Qty]]*Table1[[#This Row],[Cost]]</f>
        <v>364500</v>
      </c>
      <c r="O356">
        <f>Table1[[#This Row],[Revenue]]-Table1[[#This Row],[Total Cost]]</f>
        <v>40500</v>
      </c>
    </row>
    <row r="357" spans="1:15">
      <c r="A357" s="3">
        <v>356</v>
      </c>
      <c r="B357" s="4">
        <v>45021</v>
      </c>
      <c r="C357" s="4" t="str">
        <f>TEXT(Table1[[#This Row],[Date]],"YYYY")</f>
        <v>2023</v>
      </c>
      <c r="D357" s="4" t="str">
        <f>TEXT(Table1[[#This Row],[Date]],"MMM")</f>
        <v>Apr</v>
      </c>
      <c r="E357" s="5" t="s">
        <v>39</v>
      </c>
      <c r="F357" s="3" t="s">
        <v>61</v>
      </c>
      <c r="G357" s="3" t="s">
        <v>32</v>
      </c>
      <c r="H357" s="3" t="s">
        <v>28</v>
      </c>
      <c r="I357" s="3">
        <v>1</v>
      </c>
      <c r="J357" s="3">
        <v>9180</v>
      </c>
      <c r="K357" s="3">
        <v>10200</v>
      </c>
      <c r="L357" s="3">
        <v>3</v>
      </c>
      <c r="M357">
        <f>Table1[[#This Row],[Qty]]*Table1[[#This Row],[Sales Price]]</f>
        <v>30600</v>
      </c>
      <c r="N357">
        <f>Table1[[#This Row],[Qty]]*Table1[[#This Row],[Cost]]</f>
        <v>27540</v>
      </c>
      <c r="O357">
        <f>Table1[[#This Row],[Revenue]]-Table1[[#This Row],[Total Cost]]</f>
        <v>3060</v>
      </c>
    </row>
    <row r="358" spans="1:15">
      <c r="A358" s="3">
        <v>357</v>
      </c>
      <c r="B358" s="4">
        <v>45022</v>
      </c>
      <c r="C358" s="4" t="str">
        <f>TEXT(Table1[[#This Row],[Date]],"YYYY")</f>
        <v>2023</v>
      </c>
      <c r="D358" s="4" t="str">
        <f>TEXT(Table1[[#This Row],[Date]],"MMM")</f>
        <v>Apr</v>
      </c>
      <c r="E358" s="5" t="s">
        <v>22</v>
      </c>
      <c r="F358" s="3" t="s">
        <v>61</v>
      </c>
      <c r="G358" s="3" t="s">
        <v>42</v>
      </c>
      <c r="H358" s="3" t="s">
        <v>43</v>
      </c>
      <c r="I358" s="3">
        <v>1</v>
      </c>
      <c r="J358" s="3">
        <v>8640</v>
      </c>
      <c r="K358" s="3">
        <v>9600</v>
      </c>
      <c r="L358" s="3">
        <v>9</v>
      </c>
      <c r="M358">
        <f>Table1[[#This Row],[Qty]]*Table1[[#This Row],[Sales Price]]</f>
        <v>86400</v>
      </c>
      <c r="N358">
        <f>Table1[[#This Row],[Qty]]*Table1[[#This Row],[Cost]]</f>
        <v>77760</v>
      </c>
      <c r="O358">
        <f>Table1[[#This Row],[Revenue]]-Table1[[#This Row],[Total Cost]]</f>
        <v>8640</v>
      </c>
    </row>
    <row r="359" spans="1:15">
      <c r="A359" s="3">
        <v>358</v>
      </c>
      <c r="B359" s="4">
        <v>45023</v>
      </c>
      <c r="C359" s="4" t="str">
        <f>TEXT(Table1[[#This Row],[Date]],"YYYY")</f>
        <v>2023</v>
      </c>
      <c r="D359" s="4" t="str">
        <f>TEXT(Table1[[#This Row],[Date]],"MMM")</f>
        <v>Apr</v>
      </c>
      <c r="E359" s="5" t="s">
        <v>40</v>
      </c>
      <c r="F359" s="3" t="s">
        <v>15</v>
      </c>
      <c r="G359" s="3" t="s">
        <v>44</v>
      </c>
      <c r="H359" s="3" t="s">
        <v>43</v>
      </c>
      <c r="I359" s="3">
        <v>1</v>
      </c>
      <c r="J359" s="3">
        <v>8280</v>
      </c>
      <c r="K359" s="3">
        <v>9200</v>
      </c>
      <c r="L359" s="3">
        <v>22</v>
      </c>
      <c r="M359">
        <f>Table1[[#This Row],[Qty]]*Table1[[#This Row],[Sales Price]]</f>
        <v>202400</v>
      </c>
      <c r="N359">
        <f>Table1[[#This Row],[Qty]]*Table1[[#This Row],[Cost]]</f>
        <v>182160</v>
      </c>
      <c r="O359">
        <f>Table1[[#This Row],[Revenue]]-Table1[[#This Row],[Total Cost]]</f>
        <v>20240</v>
      </c>
    </row>
    <row r="360" spans="1:15">
      <c r="A360" s="3">
        <v>359</v>
      </c>
      <c r="B360" s="4">
        <v>45024</v>
      </c>
      <c r="C360" s="4" t="str">
        <f>TEXT(Table1[[#This Row],[Date]],"YYYY")</f>
        <v>2023</v>
      </c>
      <c r="D360" s="4" t="str">
        <f>TEXT(Table1[[#This Row],[Date]],"MMM")</f>
        <v>Apr</v>
      </c>
      <c r="E360" s="5" t="s">
        <v>50</v>
      </c>
      <c r="F360" s="3" t="s">
        <v>15</v>
      </c>
      <c r="G360" s="3" t="s">
        <v>45</v>
      </c>
      <c r="H360" s="3" t="s">
        <v>43</v>
      </c>
      <c r="I360" s="3">
        <v>1</v>
      </c>
      <c r="J360" s="3">
        <v>4950</v>
      </c>
      <c r="K360" s="3">
        <v>5500</v>
      </c>
      <c r="L360" s="3">
        <v>16</v>
      </c>
      <c r="M360">
        <f>Table1[[#This Row],[Qty]]*Table1[[#This Row],[Sales Price]]</f>
        <v>88000</v>
      </c>
      <c r="N360">
        <f>Table1[[#This Row],[Qty]]*Table1[[#This Row],[Cost]]</f>
        <v>79200</v>
      </c>
      <c r="O360">
        <f>Table1[[#This Row],[Revenue]]-Table1[[#This Row],[Total Cost]]</f>
        <v>8800</v>
      </c>
    </row>
    <row r="361" spans="1:15">
      <c r="A361" s="3">
        <v>360</v>
      </c>
      <c r="B361" s="4">
        <v>45025</v>
      </c>
      <c r="C361" s="4" t="str">
        <f>TEXT(Table1[[#This Row],[Date]],"YYYY")</f>
        <v>2023</v>
      </c>
      <c r="D361" s="4" t="str">
        <f>TEXT(Table1[[#This Row],[Date]],"MMM")</f>
        <v>Apr</v>
      </c>
      <c r="E361" s="5" t="s">
        <v>56</v>
      </c>
      <c r="F361" s="3" t="s">
        <v>15</v>
      </c>
      <c r="G361" s="3" t="s">
        <v>47</v>
      </c>
      <c r="H361" s="3" t="s">
        <v>43</v>
      </c>
      <c r="I361" s="3">
        <v>1</v>
      </c>
      <c r="J361" s="3">
        <v>3150</v>
      </c>
      <c r="K361" s="3">
        <v>3500</v>
      </c>
      <c r="L361" s="3">
        <v>6</v>
      </c>
      <c r="M361">
        <f>Table1[[#This Row],[Qty]]*Table1[[#This Row],[Sales Price]]</f>
        <v>21000</v>
      </c>
      <c r="N361">
        <f>Table1[[#This Row],[Qty]]*Table1[[#This Row],[Cost]]</f>
        <v>18900</v>
      </c>
      <c r="O361">
        <f>Table1[[#This Row],[Revenue]]-Table1[[#This Row],[Total Cost]]</f>
        <v>2100</v>
      </c>
    </row>
    <row r="362" spans="1:15">
      <c r="A362" s="3">
        <v>361</v>
      </c>
      <c r="B362" s="4">
        <v>45026</v>
      </c>
      <c r="C362" s="4" t="str">
        <f>TEXT(Table1[[#This Row],[Date]],"YYYY")</f>
        <v>2023</v>
      </c>
      <c r="D362" s="4" t="str">
        <f>TEXT(Table1[[#This Row],[Date]],"MMM")</f>
        <v>Apr</v>
      </c>
      <c r="E362" s="5" t="s">
        <v>22</v>
      </c>
      <c r="F362" s="3" t="s">
        <v>15</v>
      </c>
      <c r="G362" s="3" t="s">
        <v>48</v>
      </c>
      <c r="H362" s="3" t="s">
        <v>43</v>
      </c>
      <c r="I362" s="3"/>
      <c r="J362" s="3">
        <v>2700</v>
      </c>
      <c r="K362" s="3">
        <v>3000</v>
      </c>
      <c r="L362" s="3">
        <v>3</v>
      </c>
      <c r="M362">
        <f>Table1[[#This Row],[Qty]]*Table1[[#This Row],[Sales Price]]</f>
        <v>9000</v>
      </c>
      <c r="N362">
        <f>Table1[[#This Row],[Qty]]*Table1[[#This Row],[Cost]]</f>
        <v>8100</v>
      </c>
      <c r="O362">
        <f>Table1[[#This Row],[Revenue]]-Table1[[#This Row],[Total Cost]]</f>
        <v>900</v>
      </c>
    </row>
    <row r="363" spans="1:15">
      <c r="A363" s="3">
        <v>362</v>
      </c>
      <c r="B363" s="4">
        <v>45027</v>
      </c>
      <c r="C363" s="4" t="str">
        <f>TEXT(Table1[[#This Row],[Date]],"YYYY")</f>
        <v>2023</v>
      </c>
      <c r="D363" s="4" t="str">
        <f>TEXT(Table1[[#This Row],[Date]],"MMM")</f>
        <v>Apr</v>
      </c>
      <c r="E363" s="5" t="s">
        <v>22</v>
      </c>
      <c r="F363" s="3" t="s">
        <v>15</v>
      </c>
      <c r="G363" s="3" t="s">
        <v>42</v>
      </c>
      <c r="H363" s="3" t="s">
        <v>43</v>
      </c>
      <c r="I363" s="3"/>
      <c r="J363" s="3">
        <v>4050</v>
      </c>
      <c r="K363" s="3">
        <v>4500</v>
      </c>
      <c r="L363" s="3">
        <v>5</v>
      </c>
      <c r="M363">
        <f>Table1[[#This Row],[Qty]]*Table1[[#This Row],[Sales Price]]</f>
        <v>22500</v>
      </c>
      <c r="N363">
        <f>Table1[[#This Row],[Qty]]*Table1[[#This Row],[Cost]]</f>
        <v>20250</v>
      </c>
      <c r="O363">
        <f>Table1[[#This Row],[Revenue]]-Table1[[#This Row],[Total Cost]]</f>
        <v>2250</v>
      </c>
    </row>
    <row r="364" spans="1:15">
      <c r="A364" s="3">
        <v>363</v>
      </c>
      <c r="B364" s="4">
        <v>45028</v>
      </c>
      <c r="C364" s="4" t="str">
        <f>TEXT(Table1[[#This Row],[Date]],"YYYY")</f>
        <v>2023</v>
      </c>
      <c r="D364" s="4" t="str">
        <f>TEXT(Table1[[#This Row],[Date]],"MMM")</f>
        <v>Apr</v>
      </c>
      <c r="E364" s="5" t="s">
        <v>24</v>
      </c>
      <c r="F364" s="3" t="s">
        <v>15</v>
      </c>
      <c r="G364" s="3" t="s">
        <v>44</v>
      </c>
      <c r="H364" s="3" t="s">
        <v>43</v>
      </c>
      <c r="I364" s="3">
        <v>1</v>
      </c>
      <c r="J364" s="3">
        <v>53100</v>
      </c>
      <c r="K364" s="3">
        <v>59000</v>
      </c>
      <c r="L364" s="3">
        <v>1</v>
      </c>
      <c r="M364">
        <f>Table1[[#This Row],[Qty]]*Table1[[#This Row],[Sales Price]]</f>
        <v>59000</v>
      </c>
      <c r="N364">
        <f>Table1[[#This Row],[Qty]]*Table1[[#This Row],[Cost]]</f>
        <v>53100</v>
      </c>
      <c r="O364">
        <f>Table1[[#This Row],[Revenue]]-Table1[[#This Row],[Total Cost]]</f>
        <v>5900</v>
      </c>
    </row>
    <row r="365" spans="1:15">
      <c r="A365" s="3">
        <v>364</v>
      </c>
      <c r="B365" s="4">
        <v>45029</v>
      </c>
      <c r="C365" s="4" t="str">
        <f>TEXT(Table1[[#This Row],[Date]],"YYYY")</f>
        <v>2023</v>
      </c>
      <c r="D365" s="4" t="str">
        <f>TEXT(Table1[[#This Row],[Date]],"MMM")</f>
        <v>Apr</v>
      </c>
      <c r="E365" s="5" t="s">
        <v>57</v>
      </c>
      <c r="F365" s="3" t="s">
        <v>15</v>
      </c>
      <c r="G365" s="3" t="s">
        <v>45</v>
      </c>
      <c r="H365" s="3" t="s">
        <v>43</v>
      </c>
      <c r="I365" s="3">
        <v>1</v>
      </c>
      <c r="J365" s="3">
        <v>88200</v>
      </c>
      <c r="K365" s="3">
        <v>98000</v>
      </c>
      <c r="L365" s="3">
        <v>5</v>
      </c>
      <c r="M365">
        <f>Table1[[#This Row],[Qty]]*Table1[[#This Row],[Sales Price]]</f>
        <v>490000</v>
      </c>
      <c r="N365">
        <f>Table1[[#This Row],[Qty]]*Table1[[#This Row],[Cost]]</f>
        <v>441000</v>
      </c>
      <c r="O365">
        <f>Table1[[#This Row],[Revenue]]-Table1[[#This Row],[Total Cost]]</f>
        <v>49000</v>
      </c>
    </row>
    <row r="366" spans="1:15">
      <c r="A366" s="3">
        <v>365</v>
      </c>
      <c r="B366" s="4">
        <v>45030</v>
      </c>
      <c r="C366" s="4" t="str">
        <f>TEXT(Table1[[#This Row],[Date]],"YYYY")</f>
        <v>2023</v>
      </c>
      <c r="D366" s="4" t="str">
        <f>TEXT(Table1[[#This Row],[Date]],"MMM")</f>
        <v>Apr</v>
      </c>
      <c r="E366" s="5" t="s">
        <v>59</v>
      </c>
      <c r="F366" s="3" t="s">
        <v>15</v>
      </c>
      <c r="G366" s="3" t="s">
        <v>47</v>
      </c>
      <c r="H366" s="3" t="s">
        <v>43</v>
      </c>
      <c r="I366" s="3">
        <v>1</v>
      </c>
      <c r="J366" s="3">
        <v>8640</v>
      </c>
      <c r="K366" s="3">
        <v>9600</v>
      </c>
      <c r="L366" s="3">
        <v>7</v>
      </c>
      <c r="M366">
        <f>Table1[[#This Row],[Qty]]*Table1[[#This Row],[Sales Price]]</f>
        <v>67200</v>
      </c>
      <c r="N366">
        <f>Table1[[#This Row],[Qty]]*Table1[[#This Row],[Cost]]</f>
        <v>60480</v>
      </c>
      <c r="O366">
        <f>Table1[[#This Row],[Revenue]]-Table1[[#This Row],[Total Cost]]</f>
        <v>6720</v>
      </c>
    </row>
    <row r="367" spans="1:15">
      <c r="A367" s="3">
        <v>366</v>
      </c>
      <c r="B367" s="4">
        <v>45031</v>
      </c>
      <c r="C367" s="4" t="str">
        <f>TEXT(Table1[[#This Row],[Date]],"YYYY")</f>
        <v>2023</v>
      </c>
      <c r="D367" s="4" t="str">
        <f>TEXT(Table1[[#This Row],[Date]],"MMM")</f>
        <v>Apr</v>
      </c>
      <c r="E367" s="5" t="s">
        <v>22</v>
      </c>
      <c r="F367" s="3" t="s">
        <v>15</v>
      </c>
      <c r="G367" s="3" t="s">
        <v>48</v>
      </c>
      <c r="H367" s="3" t="s">
        <v>43</v>
      </c>
      <c r="I367" s="3">
        <v>0</v>
      </c>
      <c r="J367" s="3">
        <v>8280</v>
      </c>
      <c r="K367" s="3">
        <v>9200</v>
      </c>
      <c r="L367" s="3">
        <v>4</v>
      </c>
      <c r="M367">
        <f>Table1[[#This Row],[Qty]]*Table1[[#This Row],[Sales Price]]</f>
        <v>36800</v>
      </c>
      <c r="N367">
        <f>Table1[[#This Row],[Qty]]*Table1[[#This Row],[Cost]]</f>
        <v>33120</v>
      </c>
      <c r="O367">
        <f>Table1[[#This Row],[Revenue]]-Table1[[#This Row],[Total Cost]]</f>
        <v>3680</v>
      </c>
    </row>
    <row r="368" spans="1:15">
      <c r="A368" s="3">
        <v>367</v>
      </c>
      <c r="B368" s="4">
        <v>44608</v>
      </c>
      <c r="C368" s="4" t="str">
        <f>TEXT(Table1[[#This Row],[Date]],"YYYY")</f>
        <v>2022</v>
      </c>
      <c r="D368" s="4" t="str">
        <f>TEXT(Table1[[#This Row],[Date]],"MMM")</f>
        <v>Feb</v>
      </c>
      <c r="E368" s="5" t="s">
        <v>39</v>
      </c>
      <c r="F368" s="3" t="s">
        <v>15</v>
      </c>
      <c r="G368" s="3" t="s">
        <v>48</v>
      </c>
      <c r="H368" s="3" t="s">
        <v>43</v>
      </c>
      <c r="I368" s="3">
        <v>1</v>
      </c>
      <c r="J368" s="3">
        <v>4950</v>
      </c>
      <c r="K368" s="3">
        <v>5500</v>
      </c>
      <c r="L368" s="3">
        <v>8</v>
      </c>
      <c r="M368">
        <f>Table1[[#This Row],[Qty]]*Table1[[#This Row],[Sales Price]]</f>
        <v>44000</v>
      </c>
      <c r="N368">
        <f>Table1[[#This Row],[Qty]]*Table1[[#This Row],[Cost]]</f>
        <v>39600</v>
      </c>
      <c r="O368">
        <f>Table1[[#This Row],[Revenue]]-Table1[[#This Row],[Total Cost]]</f>
        <v>4400</v>
      </c>
    </row>
    <row r="369" spans="1:15">
      <c r="A369" s="3">
        <v>368</v>
      </c>
      <c r="B369" s="4">
        <v>44608</v>
      </c>
      <c r="C369" s="4" t="str">
        <f>TEXT(Table1[[#This Row],[Date]],"YYYY")</f>
        <v>2022</v>
      </c>
      <c r="D369" s="4" t="str">
        <f>TEXT(Table1[[#This Row],[Date]],"MMM")</f>
        <v>Feb</v>
      </c>
      <c r="E369" s="5" t="s">
        <v>58</v>
      </c>
      <c r="F369" s="3" t="s">
        <v>15</v>
      </c>
      <c r="G369" s="3" t="s">
        <v>42</v>
      </c>
      <c r="H369" s="3" t="s">
        <v>43</v>
      </c>
      <c r="I369" s="3">
        <v>0</v>
      </c>
      <c r="J369" s="3">
        <v>3150</v>
      </c>
      <c r="K369" s="3">
        <v>3500</v>
      </c>
      <c r="L369" s="3">
        <v>8</v>
      </c>
      <c r="M369">
        <f>Table1[[#This Row],[Qty]]*Table1[[#This Row],[Sales Price]]</f>
        <v>28000</v>
      </c>
      <c r="N369">
        <f>Table1[[#This Row],[Qty]]*Table1[[#This Row],[Cost]]</f>
        <v>25200</v>
      </c>
      <c r="O369">
        <f>Table1[[#This Row],[Revenue]]-Table1[[#This Row],[Total Cost]]</f>
        <v>2800</v>
      </c>
    </row>
    <row r="370" spans="1:15">
      <c r="A370" s="3">
        <v>369</v>
      </c>
      <c r="B370" s="4">
        <v>44608</v>
      </c>
      <c r="C370" s="4" t="str">
        <f>TEXT(Table1[[#This Row],[Date]],"YYYY")</f>
        <v>2022</v>
      </c>
      <c r="D370" s="4" t="str">
        <f>TEXT(Table1[[#This Row],[Date]],"MMM")</f>
        <v>Feb</v>
      </c>
      <c r="E370" s="5" t="s">
        <v>63</v>
      </c>
      <c r="F370" s="3" t="s">
        <v>15</v>
      </c>
      <c r="G370" s="3" t="s">
        <v>27</v>
      </c>
      <c r="H370" s="3" t="s">
        <v>28</v>
      </c>
      <c r="I370" s="3"/>
      <c r="J370" s="3">
        <v>2700</v>
      </c>
      <c r="K370" s="3">
        <v>3000</v>
      </c>
      <c r="L370" s="3">
        <v>9</v>
      </c>
      <c r="M370">
        <f>Table1[[#This Row],[Qty]]*Table1[[#This Row],[Sales Price]]</f>
        <v>27000</v>
      </c>
      <c r="N370">
        <f>Table1[[#This Row],[Qty]]*Table1[[#This Row],[Cost]]</f>
        <v>24300</v>
      </c>
      <c r="O370">
        <f>Table1[[#This Row],[Revenue]]-Table1[[#This Row],[Total Cost]]</f>
        <v>2700</v>
      </c>
    </row>
    <row r="371" spans="1:15">
      <c r="A371" s="3">
        <v>370</v>
      </c>
      <c r="B371" s="4">
        <v>44608</v>
      </c>
      <c r="C371" s="4" t="str">
        <f>TEXT(Table1[[#This Row],[Date]],"YYYY")</f>
        <v>2022</v>
      </c>
      <c r="D371" s="4" t="str">
        <f>TEXT(Table1[[#This Row],[Date]],"MMM")</f>
        <v>Feb</v>
      </c>
      <c r="E371" s="5" t="s">
        <v>50</v>
      </c>
      <c r="F371" s="3" t="s">
        <v>15</v>
      </c>
      <c r="G371" s="3" t="s">
        <v>30</v>
      </c>
      <c r="H371" s="3" t="s">
        <v>28</v>
      </c>
      <c r="I371" s="3"/>
      <c r="J371" s="3">
        <v>4050</v>
      </c>
      <c r="K371" s="3">
        <v>4500</v>
      </c>
      <c r="L371" s="3">
        <v>2</v>
      </c>
      <c r="M371">
        <f>Table1[[#This Row],[Qty]]*Table1[[#This Row],[Sales Price]]</f>
        <v>9000</v>
      </c>
      <c r="N371">
        <f>Table1[[#This Row],[Qty]]*Table1[[#This Row],[Cost]]</f>
        <v>8100</v>
      </c>
      <c r="O371">
        <f>Table1[[#This Row],[Revenue]]-Table1[[#This Row],[Total Cost]]</f>
        <v>900</v>
      </c>
    </row>
    <row r="372" spans="1:15">
      <c r="A372" s="3">
        <v>371</v>
      </c>
      <c r="B372" s="4">
        <v>44608</v>
      </c>
      <c r="C372" s="4" t="str">
        <f>TEXT(Table1[[#This Row],[Date]],"YYYY")</f>
        <v>2022</v>
      </c>
      <c r="D372" s="4" t="str">
        <f>TEXT(Table1[[#This Row],[Date]],"MMM")</f>
        <v>Feb</v>
      </c>
      <c r="E372" s="5" t="s">
        <v>40</v>
      </c>
      <c r="F372" s="3" t="s">
        <v>15</v>
      </c>
      <c r="G372" s="3" t="s">
        <v>32</v>
      </c>
      <c r="H372" s="3" t="s">
        <v>28</v>
      </c>
      <c r="I372" s="3"/>
      <c r="J372" s="3">
        <v>53100</v>
      </c>
      <c r="K372" s="3">
        <v>59000</v>
      </c>
      <c r="L372" s="3">
        <v>1</v>
      </c>
      <c r="M372">
        <f>Table1[[#This Row],[Qty]]*Table1[[#This Row],[Sales Price]]</f>
        <v>59000</v>
      </c>
      <c r="N372">
        <f>Table1[[#This Row],[Qty]]*Table1[[#This Row],[Cost]]</f>
        <v>53100</v>
      </c>
      <c r="O372">
        <f>Table1[[#This Row],[Revenue]]-Table1[[#This Row],[Total Cost]]</f>
        <v>5900</v>
      </c>
    </row>
    <row r="373" spans="1:15">
      <c r="A373" s="3">
        <v>372</v>
      </c>
      <c r="B373" s="4">
        <v>44608</v>
      </c>
      <c r="C373" s="4" t="str">
        <f>TEXT(Table1[[#This Row],[Date]],"YYYY")</f>
        <v>2022</v>
      </c>
      <c r="D373" s="4" t="str">
        <f>TEXT(Table1[[#This Row],[Date]],"MMM")</f>
        <v>Feb</v>
      </c>
      <c r="E373" s="5" t="s">
        <v>39</v>
      </c>
      <c r="F373" s="3" t="s">
        <v>15</v>
      </c>
      <c r="G373" s="3" t="s">
        <v>34</v>
      </c>
      <c r="H373" s="3" t="s">
        <v>28</v>
      </c>
      <c r="I373" s="3">
        <v>1</v>
      </c>
      <c r="J373" s="3">
        <v>88200</v>
      </c>
      <c r="K373" s="3">
        <v>98000</v>
      </c>
      <c r="L373" s="3">
        <v>22</v>
      </c>
      <c r="M373">
        <f>Table1[[#This Row],[Qty]]*Table1[[#This Row],[Sales Price]]</f>
        <v>2156000</v>
      </c>
      <c r="N373">
        <f>Table1[[#This Row],[Qty]]*Table1[[#This Row],[Cost]]</f>
        <v>1940400</v>
      </c>
      <c r="O373">
        <f>Table1[[#This Row],[Revenue]]-Table1[[#This Row],[Total Cost]]</f>
        <v>215600</v>
      </c>
    </row>
    <row r="374" spans="1:15">
      <c r="A374" s="3">
        <v>373</v>
      </c>
      <c r="B374" s="4">
        <v>44608</v>
      </c>
      <c r="C374" s="4" t="str">
        <f>TEXT(Table1[[#This Row],[Date]],"YYYY")</f>
        <v>2022</v>
      </c>
      <c r="D374" s="4" t="str">
        <f>TEXT(Table1[[#This Row],[Date]],"MMM")</f>
        <v>Feb</v>
      </c>
      <c r="E374" s="5" t="s">
        <v>39</v>
      </c>
      <c r="F374" s="3" t="s">
        <v>15</v>
      </c>
      <c r="G374" s="3" t="s">
        <v>41</v>
      </c>
      <c r="H374" s="3" t="s">
        <v>28</v>
      </c>
      <c r="I374" s="3">
        <v>1</v>
      </c>
      <c r="J374" s="3">
        <v>38250</v>
      </c>
      <c r="K374" s="3">
        <v>42500</v>
      </c>
      <c r="L374" s="3">
        <v>8</v>
      </c>
      <c r="M374">
        <f>Table1[[#This Row],[Qty]]*Table1[[#This Row],[Sales Price]]</f>
        <v>340000</v>
      </c>
      <c r="N374">
        <f>Table1[[#This Row],[Qty]]*Table1[[#This Row],[Cost]]</f>
        <v>306000</v>
      </c>
      <c r="O374">
        <f>Table1[[#This Row],[Revenue]]-Table1[[#This Row],[Total Cost]]</f>
        <v>34000</v>
      </c>
    </row>
    <row r="375" spans="1:15">
      <c r="A375" s="3">
        <v>374</v>
      </c>
      <c r="B375" s="4">
        <v>44608</v>
      </c>
      <c r="C375" s="4" t="str">
        <f>TEXT(Table1[[#This Row],[Date]],"YYYY")</f>
        <v>2022</v>
      </c>
      <c r="D375" s="4" t="str">
        <f>TEXT(Table1[[#This Row],[Date]],"MMM")</f>
        <v>Feb</v>
      </c>
      <c r="E375" s="5" t="s">
        <v>39</v>
      </c>
      <c r="F375" s="3" t="s">
        <v>15</v>
      </c>
      <c r="G375" s="3" t="s">
        <v>27</v>
      </c>
      <c r="H375" s="3" t="s">
        <v>28</v>
      </c>
      <c r="I375" s="3">
        <v>0</v>
      </c>
      <c r="J375" s="3">
        <v>2700</v>
      </c>
      <c r="K375" s="3">
        <v>3000</v>
      </c>
      <c r="L375" s="3">
        <v>7</v>
      </c>
      <c r="M375">
        <f>Table1[[#This Row],[Qty]]*Table1[[#This Row],[Sales Price]]</f>
        <v>21000</v>
      </c>
      <c r="N375">
        <f>Table1[[#This Row],[Qty]]*Table1[[#This Row],[Cost]]</f>
        <v>18900</v>
      </c>
      <c r="O375">
        <f>Table1[[#This Row],[Revenue]]-Table1[[#This Row],[Total Cost]]</f>
        <v>2100</v>
      </c>
    </row>
    <row r="376" spans="1:15">
      <c r="A376" s="3">
        <v>375</v>
      </c>
      <c r="B376" s="4">
        <v>44608</v>
      </c>
      <c r="C376" s="4" t="str">
        <f>TEXT(Table1[[#This Row],[Date]],"YYYY")</f>
        <v>2022</v>
      </c>
      <c r="D376" s="4" t="str">
        <f>TEXT(Table1[[#This Row],[Date]],"MMM")</f>
        <v>Feb</v>
      </c>
      <c r="E376" s="5" t="s">
        <v>22</v>
      </c>
      <c r="F376" s="3" t="s">
        <v>15</v>
      </c>
      <c r="G376" s="3" t="s">
        <v>32</v>
      </c>
      <c r="H376" s="3" t="s">
        <v>28</v>
      </c>
      <c r="I376" s="3">
        <v>1</v>
      </c>
      <c r="J376" s="3">
        <v>23850</v>
      </c>
      <c r="K376" s="3">
        <v>26500</v>
      </c>
      <c r="L376" s="3">
        <v>56</v>
      </c>
      <c r="M376">
        <f>Table1[[#This Row],[Qty]]*Table1[[#This Row],[Sales Price]]</f>
        <v>1484000</v>
      </c>
      <c r="N376">
        <f>Table1[[#This Row],[Qty]]*Table1[[#This Row],[Cost]]</f>
        <v>1335600</v>
      </c>
      <c r="O376">
        <f>Table1[[#This Row],[Revenue]]-Table1[[#This Row],[Total Cost]]</f>
        <v>148400</v>
      </c>
    </row>
    <row r="377" spans="1:15">
      <c r="A377" s="3">
        <v>376</v>
      </c>
      <c r="B377" s="4">
        <v>45041</v>
      </c>
      <c r="C377" s="4" t="str">
        <f>TEXT(Table1[[#This Row],[Date]],"YYYY")</f>
        <v>2023</v>
      </c>
      <c r="D377" s="4" t="str">
        <f>TEXT(Table1[[#This Row],[Date]],"MMM")</f>
        <v>Apr</v>
      </c>
      <c r="E377" s="5" t="s">
        <v>39</v>
      </c>
      <c r="F377" s="3" t="s">
        <v>15</v>
      </c>
      <c r="G377" s="3" t="s">
        <v>27</v>
      </c>
      <c r="H377" s="3" t="s">
        <v>28</v>
      </c>
      <c r="I377" s="3">
        <v>1</v>
      </c>
      <c r="J377" s="3">
        <v>24750</v>
      </c>
      <c r="K377" s="3">
        <v>27500</v>
      </c>
      <c r="L377" s="3">
        <v>10</v>
      </c>
      <c r="M377">
        <f>Table1[[#This Row],[Qty]]*Table1[[#This Row],[Sales Price]]</f>
        <v>275000</v>
      </c>
      <c r="N377">
        <f>Table1[[#This Row],[Qty]]*Table1[[#This Row],[Cost]]</f>
        <v>247500</v>
      </c>
      <c r="O377">
        <f>Table1[[#This Row],[Revenue]]-Table1[[#This Row],[Total Cost]]</f>
        <v>27500</v>
      </c>
    </row>
    <row r="378" spans="1:15">
      <c r="A378" s="3">
        <v>377</v>
      </c>
      <c r="B378" s="4">
        <v>45042</v>
      </c>
      <c r="C378" s="4" t="str">
        <f>TEXT(Table1[[#This Row],[Date]],"YYYY")</f>
        <v>2023</v>
      </c>
      <c r="D378" s="4" t="str">
        <f>TEXT(Table1[[#This Row],[Date]],"MMM")</f>
        <v>Apr</v>
      </c>
      <c r="E378" s="5" t="s">
        <v>39</v>
      </c>
      <c r="F378" s="3" t="s">
        <v>15</v>
      </c>
      <c r="G378" s="3" t="s">
        <v>16</v>
      </c>
      <c r="H378" s="3" t="s">
        <v>17</v>
      </c>
      <c r="I378" s="3">
        <v>1</v>
      </c>
      <c r="J378" s="3">
        <v>44550</v>
      </c>
      <c r="K378" s="3">
        <v>49500</v>
      </c>
      <c r="L378" s="3">
        <v>9</v>
      </c>
      <c r="M378">
        <f>Table1[[#This Row],[Qty]]*Table1[[#This Row],[Sales Price]]</f>
        <v>445500</v>
      </c>
      <c r="N378">
        <f>Table1[[#This Row],[Qty]]*Table1[[#This Row],[Cost]]</f>
        <v>400950</v>
      </c>
      <c r="O378">
        <f>Table1[[#This Row],[Revenue]]-Table1[[#This Row],[Total Cost]]</f>
        <v>44550</v>
      </c>
    </row>
    <row r="379" spans="1:15">
      <c r="A379" s="3">
        <v>378</v>
      </c>
      <c r="B379" s="4">
        <v>45043</v>
      </c>
      <c r="C379" s="4" t="str">
        <f>TEXT(Table1[[#This Row],[Date]],"YYYY")</f>
        <v>2023</v>
      </c>
      <c r="D379" s="4" t="str">
        <f>TEXT(Table1[[#This Row],[Date]],"MMM")</f>
        <v>Apr</v>
      </c>
      <c r="E379" s="5" t="s">
        <v>22</v>
      </c>
      <c r="F379" s="3" t="s">
        <v>15</v>
      </c>
      <c r="G379" s="3" t="s">
        <v>19</v>
      </c>
      <c r="H379" s="3" t="s">
        <v>17</v>
      </c>
      <c r="I379" s="3">
        <v>1</v>
      </c>
      <c r="J379" s="3">
        <v>9000</v>
      </c>
      <c r="K379" s="3">
        <v>10000</v>
      </c>
      <c r="L379" s="3">
        <v>27</v>
      </c>
      <c r="M379">
        <f>Table1[[#This Row],[Qty]]*Table1[[#This Row],[Sales Price]]</f>
        <v>270000</v>
      </c>
      <c r="N379">
        <f>Table1[[#This Row],[Qty]]*Table1[[#This Row],[Cost]]</f>
        <v>243000</v>
      </c>
      <c r="O379">
        <f>Table1[[#This Row],[Revenue]]-Table1[[#This Row],[Total Cost]]</f>
        <v>27000</v>
      </c>
    </row>
    <row r="380" spans="1:15">
      <c r="A380" s="3">
        <v>379</v>
      </c>
      <c r="B380" s="4">
        <v>45044</v>
      </c>
      <c r="C380" s="4" t="str">
        <f>TEXT(Table1[[#This Row],[Date]],"YYYY")</f>
        <v>2023</v>
      </c>
      <c r="D380" s="4" t="str">
        <f>TEXT(Table1[[#This Row],[Date]],"MMM")</f>
        <v>Apr</v>
      </c>
      <c r="E380" s="5" t="s">
        <v>22</v>
      </c>
      <c r="F380" s="3" t="s">
        <v>15</v>
      </c>
      <c r="G380" s="3" t="s">
        <v>21</v>
      </c>
      <c r="H380" s="3" t="s">
        <v>17</v>
      </c>
      <c r="I380" s="3"/>
      <c r="J380" s="3">
        <v>8640</v>
      </c>
      <c r="K380" s="3">
        <v>9600</v>
      </c>
      <c r="L380" s="3">
        <v>15</v>
      </c>
      <c r="M380">
        <f>Table1[[#This Row],[Qty]]*Table1[[#This Row],[Sales Price]]</f>
        <v>144000</v>
      </c>
      <c r="N380">
        <f>Table1[[#This Row],[Qty]]*Table1[[#This Row],[Cost]]</f>
        <v>129600</v>
      </c>
      <c r="O380">
        <f>Table1[[#This Row],[Revenue]]-Table1[[#This Row],[Total Cost]]</f>
        <v>14400</v>
      </c>
    </row>
    <row r="381" spans="1:15">
      <c r="A381" s="3">
        <v>380</v>
      </c>
      <c r="B381" s="4">
        <v>45045</v>
      </c>
      <c r="C381" s="4" t="str">
        <f>TEXT(Table1[[#This Row],[Date]],"YYYY")</f>
        <v>2023</v>
      </c>
      <c r="D381" s="4" t="str">
        <f>TEXT(Table1[[#This Row],[Date]],"MMM")</f>
        <v>Apr</v>
      </c>
      <c r="E381" s="5" t="s">
        <v>39</v>
      </c>
      <c r="F381" s="3" t="s">
        <v>15</v>
      </c>
      <c r="G381" s="3" t="s">
        <v>23</v>
      </c>
      <c r="H381" s="3" t="s">
        <v>17</v>
      </c>
      <c r="I381" s="3"/>
      <c r="J381" s="3">
        <v>9000</v>
      </c>
      <c r="K381" s="3">
        <v>10000</v>
      </c>
      <c r="L381" s="3">
        <v>3</v>
      </c>
      <c r="M381">
        <f>Table1[[#This Row],[Qty]]*Table1[[#This Row],[Sales Price]]</f>
        <v>30000</v>
      </c>
      <c r="N381">
        <f>Table1[[#This Row],[Qty]]*Table1[[#This Row],[Cost]]</f>
        <v>27000</v>
      </c>
      <c r="O381">
        <f>Table1[[#This Row],[Revenue]]-Table1[[#This Row],[Total Cost]]</f>
        <v>3000</v>
      </c>
    </row>
    <row r="382" spans="1:15">
      <c r="A382" s="3">
        <v>381</v>
      </c>
      <c r="B382" s="4">
        <v>45046</v>
      </c>
      <c r="C382" s="4" t="str">
        <f>TEXT(Table1[[#This Row],[Date]],"YYYY")</f>
        <v>2023</v>
      </c>
      <c r="D382" s="4" t="str">
        <f>TEXT(Table1[[#This Row],[Date]],"MMM")</f>
        <v>Apr</v>
      </c>
      <c r="E382" s="5" t="s">
        <v>39</v>
      </c>
      <c r="F382" s="3" t="s">
        <v>15</v>
      </c>
      <c r="G382" s="3" t="s">
        <v>25</v>
      </c>
      <c r="H382" s="3" t="s">
        <v>17</v>
      </c>
      <c r="I382" s="3">
        <v>1</v>
      </c>
      <c r="J382" s="3">
        <v>3870</v>
      </c>
      <c r="K382" s="3">
        <v>4300</v>
      </c>
      <c r="L382" s="3">
        <v>9</v>
      </c>
      <c r="M382">
        <f>Table1[[#This Row],[Qty]]*Table1[[#This Row],[Sales Price]]</f>
        <v>38700</v>
      </c>
      <c r="N382">
        <f>Table1[[#This Row],[Qty]]*Table1[[#This Row],[Cost]]</f>
        <v>34830</v>
      </c>
      <c r="O382">
        <f>Table1[[#This Row],[Revenue]]-Table1[[#This Row],[Total Cost]]</f>
        <v>3870</v>
      </c>
    </row>
    <row r="383" spans="1:15">
      <c r="A383" s="3">
        <v>382</v>
      </c>
      <c r="B383" s="4">
        <v>45047</v>
      </c>
      <c r="C383" s="4" t="str">
        <f>TEXT(Table1[[#This Row],[Date]],"YYYY")</f>
        <v>2023</v>
      </c>
      <c r="D383" s="4" t="str">
        <f>TEXT(Table1[[#This Row],[Date]],"MMM")</f>
        <v>May</v>
      </c>
      <c r="E383" s="5" t="s">
        <v>63</v>
      </c>
      <c r="F383" s="3" t="s">
        <v>15</v>
      </c>
      <c r="G383" s="3" t="s">
        <v>26</v>
      </c>
      <c r="H383" s="3" t="s">
        <v>17</v>
      </c>
      <c r="I383" s="3">
        <v>1</v>
      </c>
      <c r="J383" s="3">
        <v>8640</v>
      </c>
      <c r="K383" s="3">
        <v>9600</v>
      </c>
      <c r="L383" s="3">
        <v>22</v>
      </c>
      <c r="M383">
        <f>Table1[[#This Row],[Qty]]*Table1[[#This Row],[Sales Price]]</f>
        <v>211200</v>
      </c>
      <c r="N383">
        <f>Table1[[#This Row],[Qty]]*Table1[[#This Row],[Cost]]</f>
        <v>190080</v>
      </c>
      <c r="O383">
        <f>Table1[[#This Row],[Revenue]]-Table1[[#This Row],[Total Cost]]</f>
        <v>21120</v>
      </c>
    </row>
    <row r="384" spans="1:15">
      <c r="A384" s="3">
        <v>383</v>
      </c>
      <c r="B384" s="4">
        <v>45048</v>
      </c>
      <c r="C384" s="4" t="str">
        <f>TEXT(Table1[[#This Row],[Date]],"YYYY")</f>
        <v>2023</v>
      </c>
      <c r="D384" s="4" t="str">
        <f>TEXT(Table1[[#This Row],[Date]],"MMM")</f>
        <v>May</v>
      </c>
      <c r="E384" s="5" t="s">
        <v>33</v>
      </c>
      <c r="F384" s="3" t="s">
        <v>15</v>
      </c>
      <c r="G384" s="3" t="s">
        <v>27</v>
      </c>
      <c r="H384" s="3" t="s">
        <v>28</v>
      </c>
      <c r="I384" s="3">
        <v>1</v>
      </c>
      <c r="J384" s="3">
        <v>8280</v>
      </c>
      <c r="K384" s="3">
        <v>9200</v>
      </c>
      <c r="L384" s="3">
        <v>16</v>
      </c>
      <c r="M384">
        <f>Table1[[#This Row],[Qty]]*Table1[[#This Row],[Sales Price]]</f>
        <v>147200</v>
      </c>
      <c r="N384">
        <f>Table1[[#This Row],[Qty]]*Table1[[#This Row],[Cost]]</f>
        <v>132480</v>
      </c>
      <c r="O384">
        <f>Table1[[#This Row],[Revenue]]-Table1[[#This Row],[Total Cost]]</f>
        <v>14720</v>
      </c>
    </row>
    <row r="385" spans="1:15">
      <c r="A385" s="3">
        <v>384</v>
      </c>
      <c r="B385" s="4">
        <v>45049</v>
      </c>
      <c r="C385" s="4" t="str">
        <f>TEXT(Table1[[#This Row],[Date]],"YYYY")</f>
        <v>2023</v>
      </c>
      <c r="D385" s="4" t="str">
        <f>TEXT(Table1[[#This Row],[Date]],"MMM")</f>
        <v>May</v>
      </c>
      <c r="E385" s="5" t="s">
        <v>22</v>
      </c>
      <c r="F385" s="3" t="s">
        <v>15</v>
      </c>
      <c r="G385" s="3" t="s">
        <v>30</v>
      </c>
      <c r="H385" s="3" t="s">
        <v>28</v>
      </c>
      <c r="I385" s="3">
        <v>1</v>
      </c>
      <c r="J385" s="3">
        <v>4950</v>
      </c>
      <c r="K385" s="3">
        <v>5500</v>
      </c>
      <c r="L385" s="3">
        <v>6</v>
      </c>
      <c r="M385">
        <f>Table1[[#This Row],[Qty]]*Table1[[#This Row],[Sales Price]]</f>
        <v>33000</v>
      </c>
      <c r="N385">
        <f>Table1[[#This Row],[Qty]]*Table1[[#This Row],[Cost]]</f>
        <v>29700</v>
      </c>
      <c r="O385">
        <f>Table1[[#This Row],[Revenue]]-Table1[[#This Row],[Total Cost]]</f>
        <v>3300</v>
      </c>
    </row>
    <row r="386" spans="1:15">
      <c r="A386" s="3">
        <v>385</v>
      </c>
      <c r="B386" s="4">
        <v>45050</v>
      </c>
      <c r="C386" s="4" t="str">
        <f>TEXT(Table1[[#This Row],[Date]],"YYYY")</f>
        <v>2023</v>
      </c>
      <c r="D386" s="4" t="str">
        <f>TEXT(Table1[[#This Row],[Date]],"MMM")</f>
        <v>May</v>
      </c>
      <c r="E386" s="5" t="s">
        <v>39</v>
      </c>
      <c r="F386" s="3" t="s">
        <v>15</v>
      </c>
      <c r="G386" s="3" t="s">
        <v>32</v>
      </c>
      <c r="H386" s="3" t="s">
        <v>28</v>
      </c>
      <c r="I386" s="3">
        <v>1</v>
      </c>
      <c r="J386" s="3">
        <v>3150</v>
      </c>
      <c r="K386" s="3">
        <v>3500</v>
      </c>
      <c r="L386" s="3">
        <v>3</v>
      </c>
      <c r="M386">
        <f>Table1[[#This Row],[Qty]]*Table1[[#This Row],[Sales Price]]</f>
        <v>10500</v>
      </c>
      <c r="N386">
        <f>Table1[[#This Row],[Qty]]*Table1[[#This Row],[Cost]]</f>
        <v>9450</v>
      </c>
      <c r="O386">
        <f>Table1[[#This Row],[Revenue]]-Table1[[#This Row],[Total Cost]]</f>
        <v>1050</v>
      </c>
    </row>
    <row r="387" spans="1:15">
      <c r="A387" s="3">
        <v>386</v>
      </c>
      <c r="B387" s="4">
        <v>45051</v>
      </c>
      <c r="C387" s="4" t="str">
        <f>TEXT(Table1[[#This Row],[Date]],"YYYY")</f>
        <v>2023</v>
      </c>
      <c r="D387" s="4" t="str">
        <f>TEXT(Table1[[#This Row],[Date]],"MMM")</f>
        <v>May</v>
      </c>
      <c r="E387" s="5" t="s">
        <v>40</v>
      </c>
      <c r="F387" s="3" t="s">
        <v>15</v>
      </c>
      <c r="G387" s="3" t="s">
        <v>34</v>
      </c>
      <c r="H387" s="3" t="s">
        <v>28</v>
      </c>
      <c r="I387" s="3">
        <v>1</v>
      </c>
      <c r="J387" s="3">
        <v>2700</v>
      </c>
      <c r="K387" s="3">
        <v>3000</v>
      </c>
      <c r="L387" s="3">
        <v>5</v>
      </c>
      <c r="M387">
        <f>Table1[[#This Row],[Qty]]*Table1[[#This Row],[Sales Price]]</f>
        <v>15000</v>
      </c>
      <c r="N387">
        <f>Table1[[#This Row],[Qty]]*Table1[[#This Row],[Cost]]</f>
        <v>13500</v>
      </c>
      <c r="O387">
        <f>Table1[[#This Row],[Revenue]]-Table1[[#This Row],[Total Cost]]</f>
        <v>1500</v>
      </c>
    </row>
    <row r="388" spans="1:15">
      <c r="A388" s="3">
        <v>387</v>
      </c>
      <c r="B388" s="4">
        <v>45052</v>
      </c>
      <c r="C388" s="4" t="str">
        <f>TEXT(Table1[[#This Row],[Date]],"YYYY")</f>
        <v>2023</v>
      </c>
      <c r="D388" s="4" t="str">
        <f>TEXT(Table1[[#This Row],[Date]],"MMM")</f>
        <v>May</v>
      </c>
      <c r="E388" s="5" t="s">
        <v>39</v>
      </c>
      <c r="F388" s="3" t="s">
        <v>15</v>
      </c>
      <c r="G388" s="3" t="s">
        <v>36</v>
      </c>
      <c r="H388" s="3" t="s">
        <v>17</v>
      </c>
      <c r="I388" s="3"/>
      <c r="J388" s="3">
        <v>4050</v>
      </c>
      <c r="K388" s="3">
        <v>4500</v>
      </c>
      <c r="L388" s="3">
        <v>1</v>
      </c>
      <c r="M388">
        <f>Table1[[#This Row],[Qty]]*Table1[[#This Row],[Sales Price]]</f>
        <v>4500</v>
      </c>
      <c r="N388">
        <f>Table1[[#This Row],[Qty]]*Table1[[#This Row],[Cost]]</f>
        <v>4050</v>
      </c>
      <c r="O388">
        <f>Table1[[#This Row],[Revenue]]-Table1[[#This Row],[Total Cost]]</f>
        <v>450</v>
      </c>
    </row>
    <row r="389" spans="1:15">
      <c r="A389" s="3">
        <v>388</v>
      </c>
      <c r="B389" s="4">
        <v>45053</v>
      </c>
      <c r="C389" s="4" t="str">
        <f>TEXT(Table1[[#This Row],[Date]],"YYYY")</f>
        <v>2023</v>
      </c>
      <c r="D389" s="4" t="str">
        <f>TEXT(Table1[[#This Row],[Date]],"MMM")</f>
        <v>May</v>
      </c>
      <c r="E389" s="5" t="s">
        <v>39</v>
      </c>
      <c r="F389" s="3" t="s">
        <v>15</v>
      </c>
      <c r="G389" s="3" t="s">
        <v>37</v>
      </c>
      <c r="H389" s="3" t="s">
        <v>17</v>
      </c>
      <c r="I389" s="3"/>
      <c r="J389" s="3">
        <v>53100</v>
      </c>
      <c r="K389" s="3">
        <v>59000</v>
      </c>
      <c r="L389" s="3">
        <v>5</v>
      </c>
      <c r="M389">
        <f>Table1[[#This Row],[Qty]]*Table1[[#This Row],[Sales Price]]</f>
        <v>295000</v>
      </c>
      <c r="N389">
        <f>Table1[[#This Row],[Qty]]*Table1[[#This Row],[Cost]]</f>
        <v>265500</v>
      </c>
      <c r="O389">
        <f>Table1[[#This Row],[Revenue]]-Table1[[#This Row],[Total Cost]]</f>
        <v>29500</v>
      </c>
    </row>
    <row r="390" spans="1:15">
      <c r="A390" s="3">
        <v>389</v>
      </c>
      <c r="B390" s="4">
        <v>45054</v>
      </c>
      <c r="C390" s="4" t="str">
        <f>TEXT(Table1[[#This Row],[Date]],"YYYY")</f>
        <v>2023</v>
      </c>
      <c r="D390" s="4" t="str">
        <f>TEXT(Table1[[#This Row],[Date]],"MMM")</f>
        <v>May</v>
      </c>
      <c r="E390" s="5" t="s">
        <v>35</v>
      </c>
      <c r="F390" s="3" t="s">
        <v>15</v>
      </c>
      <c r="G390" s="3" t="s">
        <v>38</v>
      </c>
      <c r="H390" s="3" t="s">
        <v>17</v>
      </c>
      <c r="I390" s="3"/>
      <c r="J390" s="3">
        <v>88200</v>
      </c>
      <c r="K390" s="3">
        <v>98000</v>
      </c>
      <c r="L390" s="3">
        <v>7</v>
      </c>
      <c r="M390">
        <f>Table1[[#This Row],[Qty]]*Table1[[#This Row],[Sales Price]]</f>
        <v>686000</v>
      </c>
      <c r="N390">
        <f>Table1[[#This Row],[Qty]]*Table1[[#This Row],[Cost]]</f>
        <v>617400</v>
      </c>
      <c r="O390">
        <f>Table1[[#This Row],[Revenue]]-Table1[[#This Row],[Total Cost]]</f>
        <v>68600</v>
      </c>
    </row>
    <row r="391" spans="1:15">
      <c r="A391" s="3">
        <v>390</v>
      </c>
      <c r="B391" s="4">
        <v>45055</v>
      </c>
      <c r="C391" s="4" t="str">
        <f>TEXT(Table1[[#This Row],[Date]],"YYYY")</f>
        <v>2023</v>
      </c>
      <c r="D391" s="4" t="str">
        <f>TEXT(Table1[[#This Row],[Date]],"MMM")</f>
        <v>May</v>
      </c>
      <c r="E391" s="5" t="s">
        <v>40</v>
      </c>
      <c r="F391" s="3" t="s">
        <v>15</v>
      </c>
      <c r="G391" s="3" t="s">
        <v>19</v>
      </c>
      <c r="H391" s="3" t="s">
        <v>17</v>
      </c>
      <c r="I391" s="3">
        <v>1</v>
      </c>
      <c r="J391" s="3">
        <v>38250</v>
      </c>
      <c r="K391" s="3">
        <v>42500</v>
      </c>
      <c r="L391" s="3">
        <v>4</v>
      </c>
      <c r="M391">
        <f>Table1[[#This Row],[Qty]]*Table1[[#This Row],[Sales Price]]</f>
        <v>170000</v>
      </c>
      <c r="N391">
        <f>Table1[[#This Row],[Qty]]*Table1[[#This Row],[Cost]]</f>
        <v>153000</v>
      </c>
      <c r="O391">
        <f>Table1[[#This Row],[Revenue]]-Table1[[#This Row],[Total Cost]]</f>
        <v>17000</v>
      </c>
    </row>
    <row r="392" spans="1:15">
      <c r="A392" s="3">
        <v>391</v>
      </c>
      <c r="B392" s="4">
        <v>45056</v>
      </c>
      <c r="C392" s="4" t="str">
        <f>TEXT(Table1[[#This Row],[Date]],"YYYY")</f>
        <v>2023</v>
      </c>
      <c r="D392" s="4" t="str">
        <f>TEXT(Table1[[#This Row],[Date]],"MMM")</f>
        <v>May</v>
      </c>
      <c r="E392" s="5" t="s">
        <v>49</v>
      </c>
      <c r="F392" s="3" t="s">
        <v>15</v>
      </c>
      <c r="G392" s="3" t="s">
        <v>21</v>
      </c>
      <c r="H392" s="3" t="s">
        <v>17</v>
      </c>
      <c r="I392" s="3">
        <v>1</v>
      </c>
      <c r="J392" s="3">
        <v>2700</v>
      </c>
      <c r="K392" s="3">
        <v>3000</v>
      </c>
      <c r="L392" s="3">
        <v>8</v>
      </c>
      <c r="M392">
        <f>Table1[[#This Row],[Qty]]*Table1[[#This Row],[Sales Price]]</f>
        <v>24000</v>
      </c>
      <c r="N392">
        <f>Table1[[#This Row],[Qty]]*Table1[[#This Row],[Cost]]</f>
        <v>21600</v>
      </c>
      <c r="O392">
        <f>Table1[[#This Row],[Revenue]]-Table1[[#This Row],[Total Cost]]</f>
        <v>2400</v>
      </c>
    </row>
    <row r="393" spans="1:15">
      <c r="A393" s="3">
        <v>392</v>
      </c>
      <c r="B393" s="4">
        <v>45057</v>
      </c>
      <c r="C393" s="4" t="str">
        <f>TEXT(Table1[[#This Row],[Date]],"YYYY")</f>
        <v>2023</v>
      </c>
      <c r="D393" s="4" t="str">
        <f>TEXT(Table1[[#This Row],[Date]],"MMM")</f>
        <v>May</v>
      </c>
      <c r="E393" s="5" t="s">
        <v>14</v>
      </c>
      <c r="F393" s="3" t="s">
        <v>15</v>
      </c>
      <c r="G393" s="3" t="s">
        <v>23</v>
      </c>
      <c r="H393" s="3" t="s">
        <v>17</v>
      </c>
      <c r="I393" s="3">
        <v>1</v>
      </c>
      <c r="J393" s="3">
        <v>23850</v>
      </c>
      <c r="K393" s="3">
        <v>26500</v>
      </c>
      <c r="L393" s="3">
        <v>8</v>
      </c>
      <c r="M393">
        <f>Table1[[#This Row],[Qty]]*Table1[[#This Row],[Sales Price]]</f>
        <v>212000</v>
      </c>
      <c r="N393">
        <f>Table1[[#This Row],[Qty]]*Table1[[#This Row],[Cost]]</f>
        <v>190800</v>
      </c>
      <c r="O393">
        <f>Table1[[#This Row],[Revenue]]-Table1[[#This Row],[Total Cost]]</f>
        <v>21200</v>
      </c>
    </row>
    <row r="394" spans="1:15">
      <c r="A394" s="3">
        <v>393</v>
      </c>
      <c r="B394" s="4">
        <v>45058</v>
      </c>
      <c r="C394" s="4" t="str">
        <f>TEXT(Table1[[#This Row],[Date]],"YYYY")</f>
        <v>2023</v>
      </c>
      <c r="D394" s="4" t="str">
        <f>TEXT(Table1[[#This Row],[Date]],"MMM")</f>
        <v>May</v>
      </c>
      <c r="E394" s="5" t="s">
        <v>39</v>
      </c>
      <c r="F394" s="3" t="s">
        <v>15</v>
      </c>
      <c r="G394" s="3" t="s">
        <v>25</v>
      </c>
      <c r="H394" s="3" t="s">
        <v>17</v>
      </c>
      <c r="I394" s="3">
        <v>0</v>
      </c>
      <c r="J394" s="3">
        <v>24750</v>
      </c>
      <c r="K394" s="3">
        <v>27500</v>
      </c>
      <c r="L394" s="3">
        <v>9</v>
      </c>
      <c r="M394">
        <f>Table1[[#This Row],[Qty]]*Table1[[#This Row],[Sales Price]]</f>
        <v>247500</v>
      </c>
      <c r="N394">
        <f>Table1[[#This Row],[Qty]]*Table1[[#This Row],[Cost]]</f>
        <v>222750</v>
      </c>
      <c r="O394">
        <f>Table1[[#This Row],[Revenue]]-Table1[[#This Row],[Total Cost]]</f>
        <v>24750</v>
      </c>
    </row>
    <row r="395" spans="1:15">
      <c r="A395" s="3">
        <v>394</v>
      </c>
      <c r="B395" s="4">
        <v>45059</v>
      </c>
      <c r="C395" s="4" t="str">
        <f>TEXT(Table1[[#This Row],[Date]],"YYYY")</f>
        <v>2023</v>
      </c>
      <c r="D395" s="4" t="str">
        <f>TEXT(Table1[[#This Row],[Date]],"MMM")</f>
        <v>May</v>
      </c>
      <c r="E395" s="5" t="s">
        <v>59</v>
      </c>
      <c r="F395" s="3" t="s">
        <v>15</v>
      </c>
      <c r="G395" s="3" t="s">
        <v>26</v>
      </c>
      <c r="H395" s="3" t="s">
        <v>17</v>
      </c>
      <c r="I395" s="3">
        <v>0</v>
      </c>
      <c r="J395" s="3">
        <v>44550</v>
      </c>
      <c r="K395" s="3">
        <v>49500</v>
      </c>
      <c r="L395" s="3">
        <v>2</v>
      </c>
      <c r="M395">
        <f>Table1[[#This Row],[Qty]]*Table1[[#This Row],[Sales Price]]</f>
        <v>99000</v>
      </c>
      <c r="N395">
        <f>Table1[[#This Row],[Qty]]*Table1[[#This Row],[Cost]]</f>
        <v>89100</v>
      </c>
      <c r="O395">
        <f>Table1[[#This Row],[Revenue]]-Table1[[#This Row],[Total Cost]]</f>
        <v>9900</v>
      </c>
    </row>
    <row r="396" spans="1:15">
      <c r="A396" s="3">
        <v>395</v>
      </c>
      <c r="B396" s="4">
        <v>45060</v>
      </c>
      <c r="C396" s="4" t="str">
        <f>TEXT(Table1[[#This Row],[Date]],"YYYY")</f>
        <v>2023</v>
      </c>
      <c r="D396" s="4" t="str">
        <f>TEXT(Table1[[#This Row],[Date]],"MMM")</f>
        <v>May</v>
      </c>
      <c r="E396" s="5" t="s">
        <v>22</v>
      </c>
      <c r="F396" s="3" t="s">
        <v>15</v>
      </c>
      <c r="G396" s="3" t="s">
        <v>37</v>
      </c>
      <c r="H396" s="3" t="s">
        <v>17</v>
      </c>
      <c r="I396" s="3">
        <v>0</v>
      </c>
      <c r="J396" s="3">
        <v>9000</v>
      </c>
      <c r="K396" s="3">
        <v>10000</v>
      </c>
      <c r="L396" s="3">
        <v>1</v>
      </c>
      <c r="M396">
        <f>Table1[[#This Row],[Qty]]*Table1[[#This Row],[Sales Price]]</f>
        <v>10000</v>
      </c>
      <c r="N396">
        <f>Table1[[#This Row],[Qty]]*Table1[[#This Row],[Cost]]</f>
        <v>9000</v>
      </c>
      <c r="O396">
        <f>Table1[[#This Row],[Revenue]]-Table1[[#This Row],[Total Cost]]</f>
        <v>1000</v>
      </c>
    </row>
    <row r="397" spans="1:15">
      <c r="A397" s="3">
        <v>396</v>
      </c>
      <c r="B397" s="4">
        <v>45061</v>
      </c>
      <c r="C397" s="4" t="str">
        <f>TEXT(Table1[[#This Row],[Date]],"YYYY")</f>
        <v>2023</v>
      </c>
      <c r="D397" s="4" t="str">
        <f>TEXT(Table1[[#This Row],[Date]],"MMM")</f>
        <v>May</v>
      </c>
      <c r="E397" s="5" t="s">
        <v>39</v>
      </c>
      <c r="F397" s="3" t="s">
        <v>15</v>
      </c>
      <c r="G397" s="3" t="s">
        <v>41</v>
      </c>
      <c r="H397" s="3" t="s">
        <v>28</v>
      </c>
      <c r="I397" s="3">
        <v>1</v>
      </c>
      <c r="J397" s="3">
        <v>8640</v>
      </c>
      <c r="K397" s="3">
        <v>9600</v>
      </c>
      <c r="L397" s="3">
        <v>22</v>
      </c>
      <c r="M397">
        <f>Table1[[#This Row],[Qty]]*Table1[[#This Row],[Sales Price]]</f>
        <v>211200</v>
      </c>
      <c r="N397">
        <f>Table1[[#This Row],[Qty]]*Table1[[#This Row],[Cost]]</f>
        <v>190080</v>
      </c>
      <c r="O397">
        <f>Table1[[#This Row],[Revenue]]-Table1[[#This Row],[Total Cost]]</f>
        <v>21120</v>
      </c>
    </row>
    <row r="398" spans="1:15">
      <c r="A398" s="3">
        <v>397</v>
      </c>
      <c r="B398" s="4">
        <v>45062</v>
      </c>
      <c r="C398" s="4" t="str">
        <f>TEXT(Table1[[#This Row],[Date]],"YYYY")</f>
        <v>2023</v>
      </c>
      <c r="D398" s="4" t="str">
        <f>TEXT(Table1[[#This Row],[Date]],"MMM")</f>
        <v>May</v>
      </c>
      <c r="E398" s="5" t="s">
        <v>40</v>
      </c>
      <c r="F398" s="3" t="s">
        <v>15</v>
      </c>
      <c r="G398" s="3" t="s">
        <v>27</v>
      </c>
      <c r="H398" s="3" t="s">
        <v>28</v>
      </c>
      <c r="I398" s="3"/>
      <c r="J398" s="3">
        <v>9000</v>
      </c>
      <c r="K398" s="3">
        <v>10000</v>
      </c>
      <c r="L398" s="3">
        <v>8</v>
      </c>
      <c r="M398">
        <f>Table1[[#This Row],[Qty]]*Table1[[#This Row],[Sales Price]]</f>
        <v>80000</v>
      </c>
      <c r="N398">
        <f>Table1[[#This Row],[Qty]]*Table1[[#This Row],[Cost]]</f>
        <v>72000</v>
      </c>
      <c r="O398">
        <f>Table1[[#This Row],[Revenue]]-Table1[[#This Row],[Total Cost]]</f>
        <v>8000</v>
      </c>
    </row>
    <row r="399" spans="1:15">
      <c r="A399" s="3">
        <v>398</v>
      </c>
      <c r="B399" s="4">
        <v>45063</v>
      </c>
      <c r="C399" s="4" t="str">
        <f>TEXT(Table1[[#This Row],[Date]],"YYYY")</f>
        <v>2023</v>
      </c>
      <c r="D399" s="4" t="str">
        <f>TEXT(Table1[[#This Row],[Date]],"MMM")</f>
        <v>May</v>
      </c>
      <c r="E399" s="5" t="s">
        <v>14</v>
      </c>
      <c r="F399" s="3" t="s">
        <v>15</v>
      </c>
      <c r="G399" s="3" t="s">
        <v>32</v>
      </c>
      <c r="H399" s="3" t="s">
        <v>28</v>
      </c>
      <c r="I399" s="3"/>
      <c r="J399" s="3">
        <v>3870</v>
      </c>
      <c r="K399" s="3">
        <v>4300</v>
      </c>
      <c r="L399" s="3">
        <v>7</v>
      </c>
      <c r="M399">
        <f>Table1[[#This Row],[Qty]]*Table1[[#This Row],[Sales Price]]</f>
        <v>30100</v>
      </c>
      <c r="N399">
        <f>Table1[[#This Row],[Qty]]*Table1[[#This Row],[Cost]]</f>
        <v>27090</v>
      </c>
      <c r="O399">
        <f>Table1[[#This Row],[Revenue]]-Table1[[#This Row],[Total Cost]]</f>
        <v>3010</v>
      </c>
    </row>
    <row r="400" spans="1:15">
      <c r="A400" s="3">
        <v>399</v>
      </c>
      <c r="B400" s="4">
        <v>45064</v>
      </c>
      <c r="C400" s="4" t="str">
        <f>TEXT(Table1[[#This Row],[Date]],"YYYY")</f>
        <v>2023</v>
      </c>
      <c r="D400" s="4" t="str">
        <f>TEXT(Table1[[#This Row],[Date]],"MMM")</f>
        <v>May</v>
      </c>
      <c r="E400" s="5" t="s">
        <v>40</v>
      </c>
      <c r="F400" s="3" t="s">
        <v>15</v>
      </c>
      <c r="G400" s="3" t="s">
        <v>42</v>
      </c>
      <c r="H400" s="3" t="s">
        <v>43</v>
      </c>
      <c r="I400" s="3">
        <v>1</v>
      </c>
      <c r="J400" s="3">
        <v>8280</v>
      </c>
      <c r="K400" s="3">
        <v>9200</v>
      </c>
      <c r="L400" s="3">
        <v>56</v>
      </c>
      <c r="M400">
        <f>Table1[[#This Row],[Qty]]*Table1[[#This Row],[Sales Price]]</f>
        <v>515200</v>
      </c>
      <c r="N400">
        <f>Table1[[#This Row],[Qty]]*Table1[[#This Row],[Cost]]</f>
        <v>463680</v>
      </c>
      <c r="O400">
        <f>Table1[[#This Row],[Revenue]]-Table1[[#This Row],[Total Cost]]</f>
        <v>51520</v>
      </c>
    </row>
    <row r="401" spans="1:15">
      <c r="A401" s="3">
        <v>400</v>
      </c>
      <c r="B401" s="4">
        <v>45065</v>
      </c>
      <c r="C401" s="4" t="str">
        <f>TEXT(Table1[[#This Row],[Date]],"YYYY")</f>
        <v>2023</v>
      </c>
      <c r="D401" s="4" t="str">
        <f>TEXT(Table1[[#This Row],[Date]],"MMM")</f>
        <v>May</v>
      </c>
      <c r="E401" s="5" t="s">
        <v>31</v>
      </c>
      <c r="F401" s="3" t="s">
        <v>15</v>
      </c>
      <c r="G401" s="3" t="s">
        <v>44</v>
      </c>
      <c r="H401" s="3" t="s">
        <v>43</v>
      </c>
      <c r="I401" s="3">
        <v>1</v>
      </c>
      <c r="J401" s="3">
        <v>4950</v>
      </c>
      <c r="K401" s="3">
        <v>5500</v>
      </c>
      <c r="L401" s="3">
        <v>10</v>
      </c>
      <c r="M401">
        <f>Table1[[#This Row],[Qty]]*Table1[[#This Row],[Sales Price]]</f>
        <v>55000</v>
      </c>
      <c r="N401">
        <f>Table1[[#This Row],[Qty]]*Table1[[#This Row],[Cost]]</f>
        <v>49500</v>
      </c>
      <c r="O401">
        <f>Table1[[#This Row],[Revenue]]-Table1[[#This Row],[Total Cost]]</f>
        <v>5500</v>
      </c>
    </row>
    <row r="402" spans="1:15">
      <c r="A402" s="3">
        <v>401</v>
      </c>
      <c r="B402" s="4">
        <v>45066</v>
      </c>
      <c r="C402" s="4" t="str">
        <f>TEXT(Table1[[#This Row],[Date]],"YYYY")</f>
        <v>2023</v>
      </c>
      <c r="D402" s="4" t="str">
        <f>TEXT(Table1[[#This Row],[Date]],"MMM")</f>
        <v>May</v>
      </c>
      <c r="E402" s="5" t="s">
        <v>39</v>
      </c>
      <c r="F402" s="3" t="s">
        <v>15</v>
      </c>
      <c r="G402" s="3" t="s">
        <v>45</v>
      </c>
      <c r="H402" s="3" t="s">
        <v>43</v>
      </c>
      <c r="I402" s="3">
        <v>0</v>
      </c>
      <c r="J402" s="3">
        <v>3150</v>
      </c>
      <c r="K402" s="3">
        <v>3500</v>
      </c>
      <c r="L402" s="3">
        <v>9</v>
      </c>
      <c r="M402">
        <f>Table1[[#This Row],[Qty]]*Table1[[#This Row],[Sales Price]]</f>
        <v>31500</v>
      </c>
      <c r="N402">
        <f>Table1[[#This Row],[Qty]]*Table1[[#This Row],[Cost]]</f>
        <v>28350</v>
      </c>
      <c r="O402">
        <f>Table1[[#This Row],[Revenue]]-Table1[[#This Row],[Total Cost]]</f>
        <v>3150</v>
      </c>
    </row>
    <row r="403" spans="1:15">
      <c r="A403" s="3">
        <v>402</v>
      </c>
      <c r="B403" s="4">
        <v>45067</v>
      </c>
      <c r="C403" s="4" t="str">
        <f>TEXT(Table1[[#This Row],[Date]],"YYYY")</f>
        <v>2023</v>
      </c>
      <c r="D403" s="4" t="str">
        <f>TEXT(Table1[[#This Row],[Date]],"MMM")</f>
        <v>May</v>
      </c>
      <c r="E403" s="5" t="s">
        <v>31</v>
      </c>
      <c r="F403" s="3" t="s">
        <v>15</v>
      </c>
      <c r="G403" s="3" t="s">
        <v>47</v>
      </c>
      <c r="H403" s="3" t="s">
        <v>43</v>
      </c>
      <c r="I403" s="3">
        <v>1</v>
      </c>
      <c r="J403" s="3">
        <v>2700</v>
      </c>
      <c r="K403" s="3">
        <v>3000</v>
      </c>
      <c r="L403" s="3">
        <v>27</v>
      </c>
      <c r="M403">
        <f>Table1[[#This Row],[Qty]]*Table1[[#This Row],[Sales Price]]</f>
        <v>81000</v>
      </c>
      <c r="N403">
        <f>Table1[[#This Row],[Qty]]*Table1[[#This Row],[Cost]]</f>
        <v>72900</v>
      </c>
      <c r="O403">
        <f>Table1[[#This Row],[Revenue]]-Table1[[#This Row],[Total Cost]]</f>
        <v>8100</v>
      </c>
    </row>
    <row r="404" spans="1:15">
      <c r="A404" s="3">
        <v>403</v>
      </c>
      <c r="B404" s="4">
        <v>45068</v>
      </c>
      <c r="C404" s="4" t="str">
        <f>TEXT(Table1[[#This Row],[Date]],"YYYY")</f>
        <v>2023</v>
      </c>
      <c r="D404" s="4" t="str">
        <f>TEXT(Table1[[#This Row],[Date]],"MMM")</f>
        <v>May</v>
      </c>
      <c r="E404" s="5" t="s">
        <v>40</v>
      </c>
      <c r="F404" s="3" t="s">
        <v>15</v>
      </c>
      <c r="G404" s="3" t="s">
        <v>48</v>
      </c>
      <c r="H404" s="3" t="s">
        <v>43</v>
      </c>
      <c r="I404" s="3">
        <v>1</v>
      </c>
      <c r="J404" s="3">
        <v>4050</v>
      </c>
      <c r="K404" s="3">
        <v>4500</v>
      </c>
      <c r="L404" s="3">
        <v>15</v>
      </c>
      <c r="M404">
        <f>Table1[[#This Row],[Qty]]*Table1[[#This Row],[Sales Price]]</f>
        <v>67500</v>
      </c>
      <c r="N404">
        <f>Table1[[#This Row],[Qty]]*Table1[[#This Row],[Cost]]</f>
        <v>60750</v>
      </c>
      <c r="O404">
        <f>Table1[[#This Row],[Revenue]]-Table1[[#This Row],[Total Cost]]</f>
        <v>6750</v>
      </c>
    </row>
    <row r="405" spans="1:15">
      <c r="A405" s="3">
        <v>404</v>
      </c>
      <c r="B405" s="4">
        <v>45069</v>
      </c>
      <c r="C405" s="4" t="str">
        <f>TEXT(Table1[[#This Row],[Date]],"YYYY")</f>
        <v>2023</v>
      </c>
      <c r="D405" s="4" t="str">
        <f>TEXT(Table1[[#This Row],[Date]],"MMM")</f>
        <v>May</v>
      </c>
      <c r="E405" s="5" t="s">
        <v>62</v>
      </c>
      <c r="F405" s="3" t="s">
        <v>15</v>
      </c>
      <c r="G405" s="3" t="s">
        <v>42</v>
      </c>
      <c r="H405" s="3" t="s">
        <v>43</v>
      </c>
      <c r="I405" s="3">
        <v>1</v>
      </c>
      <c r="J405" s="3">
        <v>8280</v>
      </c>
      <c r="K405" s="3">
        <v>9200</v>
      </c>
      <c r="L405" s="3">
        <v>3</v>
      </c>
      <c r="M405">
        <f>Table1[[#This Row],[Qty]]*Table1[[#This Row],[Sales Price]]</f>
        <v>27600</v>
      </c>
      <c r="N405">
        <f>Table1[[#This Row],[Qty]]*Table1[[#This Row],[Cost]]</f>
        <v>24840</v>
      </c>
      <c r="O405">
        <f>Table1[[#This Row],[Revenue]]-Table1[[#This Row],[Total Cost]]</f>
        <v>2760</v>
      </c>
    </row>
    <row r="406" spans="1:15">
      <c r="A406" s="3">
        <v>405</v>
      </c>
      <c r="B406" s="4">
        <v>45070</v>
      </c>
      <c r="C406" s="4" t="str">
        <f>TEXT(Table1[[#This Row],[Date]],"YYYY")</f>
        <v>2023</v>
      </c>
      <c r="D406" s="4" t="str">
        <f>TEXT(Table1[[#This Row],[Date]],"MMM")</f>
        <v>May</v>
      </c>
      <c r="E406" s="5" t="s">
        <v>55</v>
      </c>
      <c r="F406" s="3" t="s">
        <v>15</v>
      </c>
      <c r="G406" s="3" t="s">
        <v>44</v>
      </c>
      <c r="H406" s="3" t="s">
        <v>43</v>
      </c>
      <c r="I406" s="3"/>
      <c r="J406" s="3">
        <v>4950</v>
      </c>
      <c r="K406" s="3">
        <v>5500</v>
      </c>
      <c r="L406" s="3">
        <v>9</v>
      </c>
      <c r="M406">
        <f>Table1[[#This Row],[Qty]]*Table1[[#This Row],[Sales Price]]</f>
        <v>49500</v>
      </c>
      <c r="N406">
        <f>Table1[[#This Row],[Qty]]*Table1[[#This Row],[Cost]]</f>
        <v>44550</v>
      </c>
      <c r="O406">
        <f>Table1[[#This Row],[Revenue]]-Table1[[#This Row],[Total Cost]]</f>
        <v>4950</v>
      </c>
    </row>
    <row r="407" spans="1:15" ht="15.6">
      <c r="A407" s="3">
        <v>406</v>
      </c>
      <c r="B407" s="6">
        <v>44587</v>
      </c>
      <c r="C407" s="7" t="str">
        <f>TEXT(Table1[[#This Row],[Date]],"YYYY")</f>
        <v>2022</v>
      </c>
      <c r="D407" s="7" t="str">
        <f>TEXT(Table1[[#This Row],[Date]],"MMM")</f>
        <v>Jan</v>
      </c>
      <c r="E407" s="5" t="s">
        <v>22</v>
      </c>
      <c r="F407" s="3" t="s">
        <v>15</v>
      </c>
      <c r="G407" s="3" t="s">
        <v>45</v>
      </c>
      <c r="H407" s="3" t="s">
        <v>43</v>
      </c>
      <c r="I407" s="3"/>
      <c r="J407" s="3">
        <v>3150</v>
      </c>
      <c r="K407" s="3">
        <v>3500</v>
      </c>
      <c r="L407" s="3">
        <v>22</v>
      </c>
      <c r="M407">
        <f>Table1[[#This Row],[Qty]]*Table1[[#This Row],[Sales Price]]</f>
        <v>77000</v>
      </c>
      <c r="N407">
        <f>Table1[[#This Row],[Qty]]*Table1[[#This Row],[Cost]]</f>
        <v>69300</v>
      </c>
      <c r="O407">
        <f>Table1[[#This Row],[Revenue]]-Table1[[#This Row],[Total Cost]]</f>
        <v>7700</v>
      </c>
    </row>
    <row r="408" spans="1:15" ht="15.6">
      <c r="A408" s="3">
        <v>407</v>
      </c>
      <c r="B408" s="6">
        <v>44587</v>
      </c>
      <c r="C408" s="7" t="str">
        <f>TEXT(Table1[[#This Row],[Date]],"YYYY")</f>
        <v>2022</v>
      </c>
      <c r="D408" s="7" t="str">
        <f>TEXT(Table1[[#This Row],[Date]],"MMM")</f>
        <v>Jan</v>
      </c>
      <c r="E408" s="5" t="s">
        <v>33</v>
      </c>
      <c r="F408" s="3" t="s">
        <v>15</v>
      </c>
      <c r="G408" s="3" t="s">
        <v>47</v>
      </c>
      <c r="H408" s="3" t="s">
        <v>43</v>
      </c>
      <c r="I408" s="3"/>
      <c r="J408" s="3">
        <v>2700</v>
      </c>
      <c r="K408" s="3">
        <v>3000</v>
      </c>
      <c r="L408" s="3">
        <v>16</v>
      </c>
      <c r="M408">
        <f>Table1[[#This Row],[Qty]]*Table1[[#This Row],[Sales Price]]</f>
        <v>48000</v>
      </c>
      <c r="N408">
        <f>Table1[[#This Row],[Qty]]*Table1[[#This Row],[Cost]]</f>
        <v>43200</v>
      </c>
      <c r="O408">
        <f>Table1[[#This Row],[Revenue]]-Table1[[#This Row],[Total Cost]]</f>
        <v>4800</v>
      </c>
    </row>
    <row r="409" spans="1:15" ht="15.6">
      <c r="A409" s="3">
        <v>408</v>
      </c>
      <c r="B409" s="6">
        <v>44587</v>
      </c>
      <c r="C409" s="7" t="str">
        <f>TEXT(Table1[[#This Row],[Date]],"YYYY")</f>
        <v>2022</v>
      </c>
      <c r="D409" s="7" t="str">
        <f>TEXT(Table1[[#This Row],[Date]],"MMM")</f>
        <v>Jan</v>
      </c>
      <c r="E409" s="5" t="s">
        <v>31</v>
      </c>
      <c r="F409" s="3" t="s">
        <v>15</v>
      </c>
      <c r="G409" s="3" t="s">
        <v>48</v>
      </c>
      <c r="H409" s="3" t="s">
        <v>43</v>
      </c>
      <c r="I409" s="3">
        <v>1</v>
      </c>
      <c r="J409" s="3">
        <v>4050</v>
      </c>
      <c r="K409" s="3">
        <v>4500</v>
      </c>
      <c r="L409" s="3">
        <v>6</v>
      </c>
      <c r="M409">
        <f>Table1[[#This Row],[Qty]]*Table1[[#This Row],[Sales Price]]</f>
        <v>27000</v>
      </c>
      <c r="N409">
        <f>Table1[[#This Row],[Qty]]*Table1[[#This Row],[Cost]]</f>
        <v>24300</v>
      </c>
      <c r="O409">
        <f>Table1[[#This Row],[Revenue]]-Table1[[#This Row],[Total Cost]]</f>
        <v>2700</v>
      </c>
    </row>
    <row r="410" spans="1:15" ht="15.6">
      <c r="A410" s="3">
        <v>409</v>
      </c>
      <c r="B410" s="6">
        <v>44587</v>
      </c>
      <c r="C410" s="7" t="str">
        <f>TEXT(Table1[[#This Row],[Date]],"YYYY")</f>
        <v>2022</v>
      </c>
      <c r="D410" s="7" t="str">
        <f>TEXT(Table1[[#This Row],[Date]],"MMM")</f>
        <v>Jan</v>
      </c>
      <c r="E410" s="5" t="s">
        <v>22</v>
      </c>
      <c r="F410" s="3" t="s">
        <v>15</v>
      </c>
      <c r="G410" s="3" t="s">
        <v>48</v>
      </c>
      <c r="H410" s="3" t="s">
        <v>43</v>
      </c>
      <c r="I410" s="3">
        <v>1</v>
      </c>
      <c r="J410" s="3">
        <v>8280</v>
      </c>
      <c r="K410" s="3">
        <v>9200</v>
      </c>
      <c r="L410" s="3">
        <v>3</v>
      </c>
      <c r="M410">
        <f>Table1[[#This Row],[Qty]]*Table1[[#This Row],[Sales Price]]</f>
        <v>27600</v>
      </c>
      <c r="N410">
        <f>Table1[[#This Row],[Qty]]*Table1[[#This Row],[Cost]]</f>
        <v>24840</v>
      </c>
      <c r="O410">
        <f>Table1[[#This Row],[Revenue]]-Table1[[#This Row],[Total Cost]]</f>
        <v>2760</v>
      </c>
    </row>
    <row r="411" spans="1:15" ht="15.6">
      <c r="A411" s="3">
        <v>410</v>
      </c>
      <c r="B411" s="6">
        <v>44587</v>
      </c>
      <c r="C411" s="7" t="str">
        <f>TEXT(Table1[[#This Row],[Date]],"YYYY")</f>
        <v>2022</v>
      </c>
      <c r="D411" s="7" t="str">
        <f>TEXT(Table1[[#This Row],[Date]],"MMM")</f>
        <v>Jan</v>
      </c>
      <c r="E411" s="5" t="s">
        <v>46</v>
      </c>
      <c r="F411" s="3" t="s">
        <v>15</v>
      </c>
      <c r="G411" s="3" t="s">
        <v>42</v>
      </c>
      <c r="H411" s="3" t="s">
        <v>43</v>
      </c>
      <c r="I411" s="3">
        <v>1</v>
      </c>
      <c r="J411" s="3">
        <v>4950</v>
      </c>
      <c r="K411" s="3">
        <v>5500</v>
      </c>
      <c r="L411" s="3">
        <v>5</v>
      </c>
      <c r="M411">
        <f>Table1[[#This Row],[Qty]]*Table1[[#This Row],[Sales Price]]</f>
        <v>27500</v>
      </c>
      <c r="N411">
        <f>Table1[[#This Row],[Qty]]*Table1[[#This Row],[Cost]]</f>
        <v>24750</v>
      </c>
      <c r="O411">
        <f>Table1[[#This Row],[Revenue]]-Table1[[#This Row],[Total Cost]]</f>
        <v>2750</v>
      </c>
    </row>
    <row r="412" spans="1:15" ht="15.6">
      <c r="A412" s="3">
        <v>411</v>
      </c>
      <c r="B412" s="6">
        <v>44587</v>
      </c>
      <c r="C412" s="7" t="str">
        <f>TEXT(Table1[[#This Row],[Date]],"YYYY")</f>
        <v>2022</v>
      </c>
      <c r="D412" s="7" t="str">
        <f>TEXT(Table1[[#This Row],[Date]],"MMM")</f>
        <v>Jan</v>
      </c>
      <c r="E412" s="5" t="s">
        <v>22</v>
      </c>
      <c r="F412" s="3" t="s">
        <v>15</v>
      </c>
      <c r="G412" s="3" t="s">
        <v>16</v>
      </c>
      <c r="H412" s="3" t="s">
        <v>17</v>
      </c>
      <c r="I412" s="3">
        <v>1</v>
      </c>
      <c r="J412" s="3">
        <v>3150</v>
      </c>
      <c r="K412" s="3">
        <v>3500</v>
      </c>
      <c r="L412" s="3">
        <v>1</v>
      </c>
      <c r="M412">
        <f>Table1[[#This Row],[Qty]]*Table1[[#This Row],[Sales Price]]</f>
        <v>3500</v>
      </c>
      <c r="N412">
        <f>Table1[[#This Row],[Qty]]*Table1[[#This Row],[Cost]]</f>
        <v>3150</v>
      </c>
      <c r="O412">
        <f>Table1[[#This Row],[Revenue]]-Table1[[#This Row],[Total Cost]]</f>
        <v>350</v>
      </c>
    </row>
    <row r="413" spans="1:15" ht="15.6">
      <c r="A413" s="3">
        <v>412</v>
      </c>
      <c r="B413" s="6">
        <v>44587</v>
      </c>
      <c r="C413" s="7" t="str">
        <f>TEXT(Table1[[#This Row],[Date]],"YYYY")</f>
        <v>2022</v>
      </c>
      <c r="D413" s="7" t="str">
        <f>TEXT(Table1[[#This Row],[Date]],"MMM")</f>
        <v>Jan</v>
      </c>
      <c r="E413" s="5" t="s">
        <v>39</v>
      </c>
      <c r="F413" s="3" t="s">
        <v>15</v>
      </c>
      <c r="G413" s="3" t="s">
        <v>19</v>
      </c>
      <c r="H413" s="3" t="s">
        <v>17</v>
      </c>
      <c r="I413" s="3">
        <v>1</v>
      </c>
      <c r="J413" s="3">
        <v>2700</v>
      </c>
      <c r="K413" s="3">
        <v>3000</v>
      </c>
      <c r="L413" s="3">
        <v>5</v>
      </c>
      <c r="M413">
        <f>Table1[[#This Row],[Qty]]*Table1[[#This Row],[Sales Price]]</f>
        <v>15000</v>
      </c>
      <c r="N413">
        <f>Table1[[#This Row],[Qty]]*Table1[[#This Row],[Cost]]</f>
        <v>13500</v>
      </c>
      <c r="O413">
        <f>Table1[[#This Row],[Revenue]]-Table1[[#This Row],[Total Cost]]</f>
        <v>1500</v>
      </c>
    </row>
    <row r="414" spans="1:15" ht="15.6">
      <c r="A414" s="3">
        <v>413</v>
      </c>
      <c r="B414" s="6">
        <v>44587</v>
      </c>
      <c r="C414" s="7" t="str">
        <f>TEXT(Table1[[#This Row],[Date]],"YYYY")</f>
        <v>2022</v>
      </c>
      <c r="D414" s="7" t="str">
        <f>TEXT(Table1[[#This Row],[Date]],"MMM")</f>
        <v>Jan</v>
      </c>
      <c r="E414" s="5" t="s">
        <v>49</v>
      </c>
      <c r="F414" s="3" t="s">
        <v>15</v>
      </c>
      <c r="G414" s="3" t="s">
        <v>21</v>
      </c>
      <c r="H414" s="3" t="s">
        <v>17</v>
      </c>
      <c r="I414" s="3">
        <v>1</v>
      </c>
      <c r="J414" s="3">
        <v>4050</v>
      </c>
      <c r="K414" s="3">
        <v>4500</v>
      </c>
      <c r="L414" s="3">
        <v>7</v>
      </c>
      <c r="M414">
        <f>Table1[[#This Row],[Qty]]*Table1[[#This Row],[Sales Price]]</f>
        <v>31500</v>
      </c>
      <c r="N414">
        <f>Table1[[#This Row],[Qty]]*Table1[[#This Row],[Cost]]</f>
        <v>28350</v>
      </c>
      <c r="O414">
        <f>Table1[[#This Row],[Revenue]]-Table1[[#This Row],[Total Cost]]</f>
        <v>3150</v>
      </c>
    </row>
    <row r="415" spans="1:15" ht="15.6">
      <c r="A415" s="3">
        <v>414</v>
      </c>
      <c r="B415" s="6">
        <v>44587</v>
      </c>
      <c r="C415" s="7" t="str">
        <f>TEXT(Table1[[#This Row],[Date]],"YYYY")</f>
        <v>2022</v>
      </c>
      <c r="D415" s="7" t="str">
        <f>TEXT(Table1[[#This Row],[Date]],"MMM")</f>
        <v>Jan</v>
      </c>
      <c r="E415" s="5" t="s">
        <v>50</v>
      </c>
      <c r="F415" s="3" t="s">
        <v>15</v>
      </c>
      <c r="G415" s="3" t="s">
        <v>23</v>
      </c>
      <c r="H415" s="3" t="s">
        <v>17</v>
      </c>
      <c r="I415" s="3">
        <v>1</v>
      </c>
      <c r="J415" s="3">
        <v>8280</v>
      </c>
      <c r="K415" s="3">
        <v>9200</v>
      </c>
      <c r="L415" s="3">
        <v>4</v>
      </c>
      <c r="M415">
        <f>Table1[[#This Row],[Qty]]*Table1[[#This Row],[Sales Price]]</f>
        <v>36800</v>
      </c>
      <c r="N415">
        <f>Table1[[#This Row],[Qty]]*Table1[[#This Row],[Cost]]</f>
        <v>33120</v>
      </c>
      <c r="O415">
        <f>Table1[[#This Row],[Revenue]]-Table1[[#This Row],[Total Cost]]</f>
        <v>3680</v>
      </c>
    </row>
    <row r="416" spans="1:15" ht="15.6">
      <c r="A416" s="3">
        <v>415</v>
      </c>
      <c r="B416" s="6">
        <v>44587</v>
      </c>
      <c r="C416" s="7" t="str">
        <f>TEXT(Table1[[#This Row],[Date]],"YYYY")</f>
        <v>2022</v>
      </c>
      <c r="D416" s="7" t="str">
        <f>TEXT(Table1[[#This Row],[Date]],"MMM")</f>
        <v>Jan</v>
      </c>
      <c r="E416" s="5" t="s">
        <v>39</v>
      </c>
      <c r="F416" s="3" t="s">
        <v>15</v>
      </c>
      <c r="G416" s="3" t="s">
        <v>25</v>
      </c>
      <c r="H416" s="3" t="s">
        <v>17</v>
      </c>
      <c r="I416" s="3"/>
      <c r="J416" s="3">
        <v>4950</v>
      </c>
      <c r="K416" s="3">
        <v>5500</v>
      </c>
      <c r="L416" s="3">
        <v>8</v>
      </c>
      <c r="M416">
        <f>Table1[[#This Row],[Qty]]*Table1[[#This Row],[Sales Price]]</f>
        <v>44000</v>
      </c>
      <c r="N416">
        <f>Table1[[#This Row],[Qty]]*Table1[[#This Row],[Cost]]</f>
        <v>39600</v>
      </c>
      <c r="O416">
        <f>Table1[[#This Row],[Revenue]]-Table1[[#This Row],[Total Cost]]</f>
        <v>4400</v>
      </c>
    </row>
    <row r="417" spans="1:15" ht="15.6">
      <c r="A417" s="3">
        <v>416</v>
      </c>
      <c r="B417" s="6">
        <v>44587</v>
      </c>
      <c r="C417" s="7" t="str">
        <f>TEXT(Table1[[#This Row],[Date]],"YYYY")</f>
        <v>2022</v>
      </c>
      <c r="D417" s="7" t="str">
        <f>TEXT(Table1[[#This Row],[Date]],"MMM")</f>
        <v>Jan</v>
      </c>
      <c r="E417" s="5" t="s">
        <v>33</v>
      </c>
      <c r="F417" s="3" t="s">
        <v>15</v>
      </c>
      <c r="G417" s="3" t="s">
        <v>26</v>
      </c>
      <c r="H417" s="3" t="s">
        <v>17</v>
      </c>
      <c r="I417" s="3"/>
      <c r="J417" s="3">
        <v>3150</v>
      </c>
      <c r="K417" s="3">
        <v>3500</v>
      </c>
      <c r="L417" s="3">
        <v>8</v>
      </c>
      <c r="M417">
        <f>Table1[[#This Row],[Qty]]*Table1[[#This Row],[Sales Price]]</f>
        <v>28000</v>
      </c>
      <c r="N417">
        <f>Table1[[#This Row],[Qty]]*Table1[[#This Row],[Cost]]</f>
        <v>25200</v>
      </c>
      <c r="O417">
        <f>Table1[[#This Row],[Revenue]]-Table1[[#This Row],[Total Cost]]</f>
        <v>2800</v>
      </c>
    </row>
    <row r="418" spans="1:15" ht="15.6">
      <c r="A418" s="3">
        <v>417</v>
      </c>
      <c r="B418" s="6">
        <v>44587</v>
      </c>
      <c r="C418" s="7" t="str">
        <f>TEXT(Table1[[#This Row],[Date]],"YYYY")</f>
        <v>2022</v>
      </c>
      <c r="D418" s="7" t="str">
        <f>TEXT(Table1[[#This Row],[Date]],"MMM")</f>
        <v>Jan</v>
      </c>
      <c r="E418" s="5" t="s">
        <v>20</v>
      </c>
      <c r="F418" s="3" t="s">
        <v>15</v>
      </c>
      <c r="G418" s="3" t="s">
        <v>27</v>
      </c>
      <c r="H418" s="3" t="s">
        <v>28</v>
      </c>
      <c r="I418" s="3">
        <v>1</v>
      </c>
      <c r="J418" s="3">
        <v>2700</v>
      </c>
      <c r="K418" s="3">
        <v>3000</v>
      </c>
      <c r="L418" s="3">
        <v>9</v>
      </c>
      <c r="M418">
        <f>Table1[[#This Row],[Qty]]*Table1[[#This Row],[Sales Price]]</f>
        <v>27000</v>
      </c>
      <c r="N418">
        <f>Table1[[#This Row],[Qty]]*Table1[[#This Row],[Cost]]</f>
        <v>24300</v>
      </c>
      <c r="O418">
        <f>Table1[[#This Row],[Revenue]]-Table1[[#This Row],[Total Cost]]</f>
        <v>2700</v>
      </c>
    </row>
    <row r="419" spans="1:15" ht="15.6">
      <c r="A419" s="3">
        <v>418</v>
      </c>
      <c r="B419" s="6">
        <v>44587</v>
      </c>
      <c r="C419" s="7" t="str">
        <f>TEXT(Table1[[#This Row],[Date]],"YYYY")</f>
        <v>2022</v>
      </c>
      <c r="D419" s="7" t="str">
        <f>TEXT(Table1[[#This Row],[Date]],"MMM")</f>
        <v>Jan</v>
      </c>
      <c r="E419" s="5" t="s">
        <v>14</v>
      </c>
      <c r="F419" s="3" t="s">
        <v>15</v>
      </c>
      <c r="G419" s="3" t="s">
        <v>30</v>
      </c>
      <c r="H419" s="3" t="s">
        <v>28</v>
      </c>
      <c r="I419" s="3">
        <v>1</v>
      </c>
      <c r="J419" s="3">
        <v>4050</v>
      </c>
      <c r="K419" s="3">
        <v>4500</v>
      </c>
      <c r="L419" s="3">
        <v>2</v>
      </c>
      <c r="M419">
        <f>Table1[[#This Row],[Qty]]*Table1[[#This Row],[Sales Price]]</f>
        <v>9000</v>
      </c>
      <c r="N419">
        <f>Table1[[#This Row],[Qty]]*Table1[[#This Row],[Cost]]</f>
        <v>8100</v>
      </c>
      <c r="O419">
        <f>Table1[[#This Row],[Revenue]]-Table1[[#This Row],[Total Cost]]</f>
        <v>900</v>
      </c>
    </row>
    <row r="420" spans="1:15" ht="15.6">
      <c r="A420" s="3">
        <v>419</v>
      </c>
      <c r="B420" s="6">
        <v>44587</v>
      </c>
      <c r="C420" s="7" t="str">
        <f>TEXT(Table1[[#This Row],[Date]],"YYYY")</f>
        <v>2022</v>
      </c>
      <c r="D420" s="7" t="str">
        <f>TEXT(Table1[[#This Row],[Date]],"MMM")</f>
        <v>Jan</v>
      </c>
      <c r="E420" s="5" t="s">
        <v>33</v>
      </c>
      <c r="F420" s="3" t="s">
        <v>15</v>
      </c>
      <c r="G420" s="3" t="s">
        <v>32</v>
      </c>
      <c r="H420" s="3" t="s">
        <v>28</v>
      </c>
      <c r="I420" s="3">
        <v>1</v>
      </c>
      <c r="J420" s="3">
        <v>24750</v>
      </c>
      <c r="K420" s="3">
        <v>27500</v>
      </c>
      <c r="L420" s="3">
        <v>1</v>
      </c>
      <c r="M420">
        <f>Table1[[#This Row],[Qty]]*Table1[[#This Row],[Sales Price]]</f>
        <v>27500</v>
      </c>
      <c r="N420">
        <f>Table1[[#This Row],[Qty]]*Table1[[#This Row],[Cost]]</f>
        <v>24750</v>
      </c>
      <c r="O420">
        <f>Table1[[#This Row],[Revenue]]-Table1[[#This Row],[Total Cost]]</f>
        <v>2750</v>
      </c>
    </row>
    <row r="421" spans="1:15" ht="15.6">
      <c r="A421" s="3">
        <v>420</v>
      </c>
      <c r="B421" s="6">
        <v>44587</v>
      </c>
      <c r="C421" s="7" t="str">
        <f>TEXT(Table1[[#This Row],[Date]],"YYYY")</f>
        <v>2022</v>
      </c>
      <c r="D421" s="7" t="str">
        <f>TEXT(Table1[[#This Row],[Date]],"MMM")</f>
        <v>Jan</v>
      </c>
      <c r="E421" s="5" t="s">
        <v>56</v>
      </c>
      <c r="F421" s="3" t="s">
        <v>15</v>
      </c>
      <c r="G421" s="3" t="s">
        <v>34</v>
      </c>
      <c r="H421" s="3" t="s">
        <v>28</v>
      </c>
      <c r="I421" s="3">
        <v>0</v>
      </c>
      <c r="J421" s="3">
        <v>44550</v>
      </c>
      <c r="K421" s="3">
        <v>49500</v>
      </c>
      <c r="L421" s="3">
        <v>22</v>
      </c>
      <c r="M421">
        <f>Table1[[#This Row],[Qty]]*Table1[[#This Row],[Sales Price]]</f>
        <v>1089000</v>
      </c>
      <c r="N421">
        <f>Table1[[#This Row],[Qty]]*Table1[[#This Row],[Cost]]</f>
        <v>980100</v>
      </c>
      <c r="O421">
        <f>Table1[[#This Row],[Revenue]]-Table1[[#This Row],[Total Cost]]</f>
        <v>108900</v>
      </c>
    </row>
    <row r="422" spans="1:15" ht="15.6">
      <c r="A422" s="3">
        <v>421</v>
      </c>
      <c r="B422" s="6">
        <v>44587</v>
      </c>
      <c r="C422" s="7" t="str">
        <f>TEXT(Table1[[#This Row],[Date]],"YYYY")</f>
        <v>2022</v>
      </c>
      <c r="D422" s="7" t="str">
        <f>TEXT(Table1[[#This Row],[Date]],"MMM")</f>
        <v>Jan</v>
      </c>
      <c r="E422" s="5" t="s">
        <v>54</v>
      </c>
      <c r="F422" s="3" t="s">
        <v>15</v>
      </c>
      <c r="G422" s="3" t="s">
        <v>36</v>
      </c>
      <c r="H422" s="3" t="s">
        <v>17</v>
      </c>
      <c r="I422" s="3">
        <v>0</v>
      </c>
      <c r="J422" s="3">
        <v>9000</v>
      </c>
      <c r="K422" s="3">
        <v>10000</v>
      </c>
      <c r="L422" s="3">
        <v>8</v>
      </c>
      <c r="M422">
        <f>Table1[[#This Row],[Qty]]*Table1[[#This Row],[Sales Price]]</f>
        <v>80000</v>
      </c>
      <c r="N422">
        <f>Table1[[#This Row],[Qty]]*Table1[[#This Row],[Cost]]</f>
        <v>72000</v>
      </c>
      <c r="O422">
        <f>Table1[[#This Row],[Revenue]]-Table1[[#This Row],[Total Cost]]</f>
        <v>8000</v>
      </c>
    </row>
    <row r="423" spans="1:15" ht="15.6">
      <c r="A423" s="3">
        <v>422</v>
      </c>
      <c r="B423" s="6">
        <v>44587</v>
      </c>
      <c r="C423" s="7" t="str">
        <f>TEXT(Table1[[#This Row],[Date]],"YYYY")</f>
        <v>2022</v>
      </c>
      <c r="D423" s="7" t="str">
        <f>TEXT(Table1[[#This Row],[Date]],"MMM")</f>
        <v>Jan</v>
      </c>
      <c r="E423" s="5" t="s">
        <v>58</v>
      </c>
      <c r="F423" s="3" t="s">
        <v>15</v>
      </c>
      <c r="G423" s="3" t="s">
        <v>37</v>
      </c>
      <c r="H423" s="3" t="s">
        <v>17</v>
      </c>
      <c r="I423" s="3">
        <v>1</v>
      </c>
      <c r="J423" s="3">
        <v>8640</v>
      </c>
      <c r="K423" s="3">
        <v>9600</v>
      </c>
      <c r="L423" s="3">
        <v>7</v>
      </c>
      <c r="M423">
        <f>Table1[[#This Row],[Qty]]*Table1[[#This Row],[Sales Price]]</f>
        <v>67200</v>
      </c>
      <c r="N423">
        <f>Table1[[#This Row],[Qty]]*Table1[[#This Row],[Cost]]</f>
        <v>60480</v>
      </c>
      <c r="O423">
        <f>Table1[[#This Row],[Revenue]]-Table1[[#This Row],[Total Cost]]</f>
        <v>6720</v>
      </c>
    </row>
    <row r="424" spans="1:15" ht="15.6">
      <c r="A424" s="3">
        <v>423</v>
      </c>
      <c r="B424" s="6">
        <v>44587</v>
      </c>
      <c r="C424" s="7" t="str">
        <f>TEXT(Table1[[#This Row],[Date]],"YYYY")</f>
        <v>2022</v>
      </c>
      <c r="D424" s="7" t="str">
        <f>TEXT(Table1[[#This Row],[Date]],"MMM")</f>
        <v>Jan</v>
      </c>
      <c r="E424" s="5" t="s">
        <v>22</v>
      </c>
      <c r="F424" s="3" t="s">
        <v>15</v>
      </c>
      <c r="G424" s="3" t="s">
        <v>38</v>
      </c>
      <c r="H424" s="3" t="s">
        <v>17</v>
      </c>
      <c r="I424" s="3"/>
      <c r="J424" s="3">
        <v>9000</v>
      </c>
      <c r="K424" s="3">
        <v>10000</v>
      </c>
      <c r="L424" s="3">
        <v>56</v>
      </c>
      <c r="M424">
        <f>Table1[[#This Row],[Qty]]*Table1[[#This Row],[Sales Price]]</f>
        <v>560000</v>
      </c>
      <c r="N424">
        <f>Table1[[#This Row],[Qty]]*Table1[[#This Row],[Cost]]</f>
        <v>504000</v>
      </c>
      <c r="O424">
        <f>Table1[[#This Row],[Revenue]]-Table1[[#This Row],[Total Cost]]</f>
        <v>56000</v>
      </c>
    </row>
    <row r="425" spans="1:15" ht="15.6">
      <c r="A425" s="3">
        <v>424</v>
      </c>
      <c r="B425" s="6">
        <v>44587</v>
      </c>
      <c r="C425" s="7" t="str">
        <f>TEXT(Table1[[#This Row],[Date]],"YYYY")</f>
        <v>2022</v>
      </c>
      <c r="D425" s="7" t="str">
        <f>TEXT(Table1[[#This Row],[Date]],"MMM")</f>
        <v>Jan</v>
      </c>
      <c r="E425" s="5" t="s">
        <v>50</v>
      </c>
      <c r="F425" s="3" t="s">
        <v>15</v>
      </c>
      <c r="G425" s="3" t="s">
        <v>19</v>
      </c>
      <c r="H425" s="3" t="s">
        <v>17</v>
      </c>
      <c r="I425" s="3"/>
      <c r="J425" s="3">
        <v>3870</v>
      </c>
      <c r="K425" s="3">
        <v>4300</v>
      </c>
      <c r="L425" s="3">
        <v>10</v>
      </c>
      <c r="M425">
        <f>Table1[[#This Row],[Qty]]*Table1[[#This Row],[Sales Price]]</f>
        <v>43000</v>
      </c>
      <c r="N425">
        <f>Table1[[#This Row],[Qty]]*Table1[[#This Row],[Cost]]</f>
        <v>38700</v>
      </c>
      <c r="O425">
        <f>Table1[[#This Row],[Revenue]]-Table1[[#This Row],[Total Cost]]</f>
        <v>4300</v>
      </c>
    </row>
    <row r="426" spans="1:15" ht="15.6">
      <c r="A426" s="3">
        <v>425</v>
      </c>
      <c r="B426" s="6">
        <v>44587</v>
      </c>
      <c r="C426" s="7" t="str">
        <f>TEXT(Table1[[#This Row],[Date]],"YYYY")</f>
        <v>2022</v>
      </c>
      <c r="D426" s="7" t="str">
        <f>TEXT(Table1[[#This Row],[Date]],"MMM")</f>
        <v>Jan</v>
      </c>
      <c r="E426" s="5" t="s">
        <v>50</v>
      </c>
      <c r="F426" s="3" t="s">
        <v>15</v>
      </c>
      <c r="G426" s="3" t="s">
        <v>21</v>
      </c>
      <c r="H426" s="3" t="s">
        <v>17</v>
      </c>
      <c r="I426" s="3">
        <v>1</v>
      </c>
      <c r="J426" s="3">
        <v>45450</v>
      </c>
      <c r="K426" s="3">
        <v>50500</v>
      </c>
      <c r="L426" s="3">
        <v>9</v>
      </c>
      <c r="M426">
        <f>Table1[[#This Row],[Qty]]*Table1[[#This Row],[Sales Price]]</f>
        <v>454500</v>
      </c>
      <c r="N426">
        <f>Table1[[#This Row],[Qty]]*Table1[[#This Row],[Cost]]</f>
        <v>409050</v>
      </c>
      <c r="O426">
        <f>Table1[[#This Row],[Revenue]]-Table1[[#This Row],[Total Cost]]</f>
        <v>45450</v>
      </c>
    </row>
    <row r="427" spans="1:15">
      <c r="A427" s="3">
        <v>426</v>
      </c>
      <c r="B427" s="4">
        <v>45091</v>
      </c>
      <c r="C427" s="4" t="str">
        <f>TEXT(Table1[[#This Row],[Date]],"YYYY")</f>
        <v>2023</v>
      </c>
      <c r="D427" s="4" t="str">
        <f>TEXT(Table1[[#This Row],[Date]],"MMM")</f>
        <v>Jun</v>
      </c>
      <c r="E427" s="5" t="s">
        <v>40</v>
      </c>
      <c r="F427" s="3" t="s">
        <v>15</v>
      </c>
      <c r="G427" s="3" t="s">
        <v>23</v>
      </c>
      <c r="H427" s="3" t="s">
        <v>17</v>
      </c>
      <c r="I427" s="3"/>
      <c r="J427" s="3">
        <v>18225</v>
      </c>
      <c r="K427" s="3">
        <v>20250</v>
      </c>
      <c r="L427" s="3">
        <v>27</v>
      </c>
      <c r="M427">
        <f>Table1[[#This Row],[Qty]]*Table1[[#This Row],[Sales Price]]</f>
        <v>546750</v>
      </c>
      <c r="N427">
        <f>Table1[[#This Row],[Qty]]*Table1[[#This Row],[Cost]]</f>
        <v>492075</v>
      </c>
      <c r="O427">
        <f>Table1[[#This Row],[Revenue]]-Table1[[#This Row],[Total Cost]]</f>
        <v>54675</v>
      </c>
    </row>
    <row r="428" spans="1:15">
      <c r="A428" s="3">
        <v>427</v>
      </c>
      <c r="B428" s="4">
        <v>45092</v>
      </c>
      <c r="C428" s="4" t="str">
        <f>TEXT(Table1[[#This Row],[Date]],"YYYY")</f>
        <v>2023</v>
      </c>
      <c r="D428" s="4" t="str">
        <f>TEXT(Table1[[#This Row],[Date]],"MMM")</f>
        <v>Jun</v>
      </c>
      <c r="E428" s="5" t="s">
        <v>57</v>
      </c>
      <c r="F428" s="3" t="s">
        <v>15</v>
      </c>
      <c r="G428" s="3" t="s">
        <v>25</v>
      </c>
      <c r="H428" s="3" t="s">
        <v>17</v>
      </c>
      <c r="I428" s="3"/>
      <c r="J428" s="3">
        <v>1800</v>
      </c>
      <c r="K428" s="3">
        <v>2000</v>
      </c>
      <c r="L428" s="3">
        <v>15</v>
      </c>
      <c r="M428">
        <f>Table1[[#This Row],[Qty]]*Table1[[#This Row],[Sales Price]]</f>
        <v>30000</v>
      </c>
      <c r="N428">
        <f>Table1[[#This Row],[Qty]]*Table1[[#This Row],[Cost]]</f>
        <v>27000</v>
      </c>
      <c r="O428">
        <f>Table1[[#This Row],[Revenue]]-Table1[[#This Row],[Total Cost]]</f>
        <v>3000</v>
      </c>
    </row>
    <row r="429" spans="1:15">
      <c r="A429" s="3">
        <v>428</v>
      </c>
      <c r="B429" s="4">
        <v>45093</v>
      </c>
      <c r="C429" s="4" t="str">
        <f>TEXT(Table1[[#This Row],[Date]],"YYYY")</f>
        <v>2023</v>
      </c>
      <c r="D429" s="4" t="str">
        <f>TEXT(Table1[[#This Row],[Date]],"MMM")</f>
        <v>Jun</v>
      </c>
      <c r="E429" s="5" t="s">
        <v>63</v>
      </c>
      <c r="F429" s="3" t="s">
        <v>15</v>
      </c>
      <c r="G429" s="3" t="s">
        <v>26</v>
      </c>
      <c r="H429" s="3" t="s">
        <v>17</v>
      </c>
      <c r="I429" s="3"/>
      <c r="J429" s="3">
        <v>48600</v>
      </c>
      <c r="K429" s="3">
        <v>54000</v>
      </c>
      <c r="L429" s="3">
        <v>3</v>
      </c>
      <c r="M429">
        <f>Table1[[#This Row],[Qty]]*Table1[[#This Row],[Sales Price]]</f>
        <v>162000</v>
      </c>
      <c r="N429">
        <f>Table1[[#This Row],[Qty]]*Table1[[#This Row],[Cost]]</f>
        <v>145800</v>
      </c>
      <c r="O429">
        <f>Table1[[#This Row],[Revenue]]-Table1[[#This Row],[Total Cost]]</f>
        <v>16200</v>
      </c>
    </row>
    <row r="430" spans="1:15">
      <c r="A430" s="3">
        <v>429</v>
      </c>
      <c r="B430" s="4">
        <v>45094</v>
      </c>
      <c r="C430" s="4" t="str">
        <f>TEXT(Table1[[#This Row],[Date]],"YYYY")</f>
        <v>2023</v>
      </c>
      <c r="D430" s="4" t="str">
        <f>TEXT(Table1[[#This Row],[Date]],"MMM")</f>
        <v>Jun</v>
      </c>
      <c r="E430" s="5" t="s">
        <v>14</v>
      </c>
      <c r="F430" s="3" t="s">
        <v>15</v>
      </c>
      <c r="G430" s="3" t="s">
        <v>37</v>
      </c>
      <c r="H430" s="3" t="s">
        <v>17</v>
      </c>
      <c r="I430" s="3">
        <v>1</v>
      </c>
      <c r="J430" s="3">
        <v>72900</v>
      </c>
      <c r="K430" s="3">
        <v>81000</v>
      </c>
      <c r="L430" s="3">
        <v>9</v>
      </c>
      <c r="M430">
        <f>Table1[[#This Row],[Qty]]*Table1[[#This Row],[Sales Price]]</f>
        <v>729000</v>
      </c>
      <c r="N430">
        <f>Table1[[#This Row],[Qty]]*Table1[[#This Row],[Cost]]</f>
        <v>656100</v>
      </c>
      <c r="O430">
        <f>Table1[[#This Row],[Revenue]]-Table1[[#This Row],[Total Cost]]</f>
        <v>72900</v>
      </c>
    </row>
    <row r="431" spans="1:15">
      <c r="A431" s="3">
        <v>430</v>
      </c>
      <c r="B431" s="4">
        <v>45095</v>
      </c>
      <c r="C431" s="4" t="str">
        <f>TEXT(Table1[[#This Row],[Date]],"YYYY")</f>
        <v>2023</v>
      </c>
      <c r="D431" s="4" t="str">
        <f>TEXT(Table1[[#This Row],[Date]],"MMM")</f>
        <v>Jun</v>
      </c>
      <c r="E431" s="5" t="s">
        <v>14</v>
      </c>
      <c r="F431" s="3" t="s">
        <v>15</v>
      </c>
      <c r="G431" s="3" t="s">
        <v>41</v>
      </c>
      <c r="H431" s="3" t="s">
        <v>28</v>
      </c>
      <c r="I431" s="3">
        <v>1</v>
      </c>
      <c r="J431" s="3">
        <v>9450</v>
      </c>
      <c r="K431" s="3">
        <v>10500</v>
      </c>
      <c r="L431" s="3">
        <v>22</v>
      </c>
      <c r="M431">
        <f>Table1[[#This Row],[Qty]]*Table1[[#This Row],[Sales Price]]</f>
        <v>231000</v>
      </c>
      <c r="N431">
        <f>Table1[[#This Row],[Qty]]*Table1[[#This Row],[Cost]]</f>
        <v>207900</v>
      </c>
      <c r="O431">
        <f>Table1[[#This Row],[Revenue]]-Table1[[#This Row],[Total Cost]]</f>
        <v>23100</v>
      </c>
    </row>
    <row r="432" spans="1:15">
      <c r="A432" s="3">
        <v>431</v>
      </c>
      <c r="B432" s="4">
        <v>45096</v>
      </c>
      <c r="C432" s="4" t="str">
        <f>TEXT(Table1[[#This Row],[Date]],"YYYY")</f>
        <v>2023</v>
      </c>
      <c r="D432" s="4" t="str">
        <f>TEXT(Table1[[#This Row],[Date]],"MMM")</f>
        <v>Jun</v>
      </c>
      <c r="E432" s="5" t="s">
        <v>22</v>
      </c>
      <c r="F432" s="3" t="s">
        <v>15</v>
      </c>
      <c r="G432" s="3" t="s">
        <v>27</v>
      </c>
      <c r="H432" s="3" t="s">
        <v>28</v>
      </c>
      <c r="I432" s="3">
        <v>1</v>
      </c>
      <c r="J432" s="3">
        <v>36000</v>
      </c>
      <c r="K432" s="3">
        <v>40000</v>
      </c>
      <c r="L432" s="3">
        <v>16</v>
      </c>
      <c r="M432">
        <f>Table1[[#This Row],[Qty]]*Table1[[#This Row],[Sales Price]]</f>
        <v>640000</v>
      </c>
      <c r="N432">
        <f>Table1[[#This Row],[Qty]]*Table1[[#This Row],[Cost]]</f>
        <v>576000</v>
      </c>
      <c r="O432">
        <f>Table1[[#This Row],[Revenue]]-Table1[[#This Row],[Total Cost]]</f>
        <v>64000</v>
      </c>
    </row>
    <row r="433" spans="1:15">
      <c r="A433" s="3">
        <v>432</v>
      </c>
      <c r="B433" s="4">
        <v>45097</v>
      </c>
      <c r="C433" s="4" t="str">
        <f>TEXT(Table1[[#This Row],[Date]],"YYYY")</f>
        <v>2023</v>
      </c>
      <c r="D433" s="4" t="str">
        <f>TEXT(Table1[[#This Row],[Date]],"MMM")</f>
        <v>Jun</v>
      </c>
      <c r="E433" s="5" t="s">
        <v>33</v>
      </c>
      <c r="F433" s="3" t="s">
        <v>15</v>
      </c>
      <c r="G433" s="3" t="s">
        <v>32</v>
      </c>
      <c r="H433" s="3" t="s">
        <v>28</v>
      </c>
      <c r="I433" s="3">
        <v>1</v>
      </c>
      <c r="J433" s="3">
        <v>24300</v>
      </c>
      <c r="K433" s="3">
        <v>27000</v>
      </c>
      <c r="L433" s="3">
        <v>6</v>
      </c>
      <c r="M433">
        <f>Table1[[#This Row],[Qty]]*Table1[[#This Row],[Sales Price]]</f>
        <v>162000</v>
      </c>
      <c r="N433">
        <f>Table1[[#This Row],[Qty]]*Table1[[#This Row],[Cost]]</f>
        <v>145800</v>
      </c>
      <c r="O433">
        <f>Table1[[#This Row],[Revenue]]-Table1[[#This Row],[Total Cost]]</f>
        <v>16200</v>
      </c>
    </row>
    <row r="434" spans="1:15">
      <c r="A434" s="3">
        <v>433</v>
      </c>
      <c r="B434" s="4">
        <v>45098</v>
      </c>
      <c r="C434" s="4" t="str">
        <f>TEXT(Table1[[#This Row],[Date]],"YYYY")</f>
        <v>2023</v>
      </c>
      <c r="D434" s="4" t="str">
        <f>TEXT(Table1[[#This Row],[Date]],"MMM")</f>
        <v>Jun</v>
      </c>
      <c r="E434" s="5" t="s">
        <v>54</v>
      </c>
      <c r="F434" s="3" t="s">
        <v>15</v>
      </c>
      <c r="G434" s="3" t="s">
        <v>42</v>
      </c>
      <c r="H434" s="3" t="s">
        <v>43</v>
      </c>
      <c r="I434" s="3">
        <v>1</v>
      </c>
      <c r="J434" s="3">
        <v>9180</v>
      </c>
      <c r="K434" s="3">
        <v>10200</v>
      </c>
      <c r="L434" s="3">
        <v>3</v>
      </c>
      <c r="M434">
        <f>Table1[[#This Row],[Qty]]*Table1[[#This Row],[Sales Price]]</f>
        <v>30600</v>
      </c>
      <c r="N434">
        <f>Table1[[#This Row],[Qty]]*Table1[[#This Row],[Cost]]</f>
        <v>27540</v>
      </c>
      <c r="O434">
        <f>Table1[[#This Row],[Revenue]]-Table1[[#This Row],[Total Cost]]</f>
        <v>3060</v>
      </c>
    </row>
    <row r="435" spans="1:15" ht="15.6">
      <c r="A435" s="3">
        <v>434</v>
      </c>
      <c r="B435" s="6">
        <v>44646</v>
      </c>
      <c r="C435" s="7" t="str">
        <f>TEXT(Table1[[#This Row],[Date]],"YYYY")</f>
        <v>2022</v>
      </c>
      <c r="D435" s="7" t="str">
        <f>TEXT(Table1[[#This Row],[Date]],"MMM")</f>
        <v>Mar</v>
      </c>
      <c r="E435" s="5" t="s">
        <v>63</v>
      </c>
      <c r="F435" s="3" t="s">
        <v>15</v>
      </c>
      <c r="G435" s="3" t="s">
        <v>44</v>
      </c>
      <c r="H435" s="3" t="s">
        <v>43</v>
      </c>
      <c r="I435" s="3">
        <v>1</v>
      </c>
      <c r="J435" s="3">
        <v>8640</v>
      </c>
      <c r="K435" s="3">
        <v>9600</v>
      </c>
      <c r="L435" s="3">
        <v>5</v>
      </c>
      <c r="M435">
        <f>Table1[[#This Row],[Qty]]*Table1[[#This Row],[Sales Price]]</f>
        <v>48000</v>
      </c>
      <c r="N435">
        <f>Table1[[#This Row],[Qty]]*Table1[[#This Row],[Cost]]</f>
        <v>43200</v>
      </c>
      <c r="O435">
        <f>Table1[[#This Row],[Revenue]]-Table1[[#This Row],[Total Cost]]</f>
        <v>4800</v>
      </c>
    </row>
    <row r="436" spans="1:15" ht="15.6">
      <c r="A436" s="3">
        <v>435</v>
      </c>
      <c r="B436" s="6">
        <v>44646</v>
      </c>
      <c r="C436" s="7" t="str">
        <f>TEXT(Table1[[#This Row],[Date]],"YYYY")</f>
        <v>2022</v>
      </c>
      <c r="D436" s="7" t="str">
        <f>TEXT(Table1[[#This Row],[Date]],"MMM")</f>
        <v>Mar</v>
      </c>
      <c r="E436" s="5" t="s">
        <v>40</v>
      </c>
      <c r="F436" s="3" t="s">
        <v>15</v>
      </c>
      <c r="G436" s="3" t="s">
        <v>45</v>
      </c>
      <c r="H436" s="3" t="s">
        <v>43</v>
      </c>
      <c r="I436" s="3">
        <v>1</v>
      </c>
      <c r="J436" s="3">
        <v>8280</v>
      </c>
      <c r="K436" s="3">
        <v>9200</v>
      </c>
      <c r="L436" s="3">
        <v>1</v>
      </c>
      <c r="M436">
        <f>Table1[[#This Row],[Qty]]*Table1[[#This Row],[Sales Price]]</f>
        <v>9200</v>
      </c>
      <c r="N436">
        <f>Table1[[#This Row],[Qty]]*Table1[[#This Row],[Cost]]</f>
        <v>8280</v>
      </c>
      <c r="O436">
        <f>Table1[[#This Row],[Revenue]]-Table1[[#This Row],[Total Cost]]</f>
        <v>920</v>
      </c>
    </row>
    <row r="437" spans="1:15" ht="15.6">
      <c r="A437" s="3">
        <v>436</v>
      </c>
      <c r="B437" s="6">
        <v>44646</v>
      </c>
      <c r="C437" s="7" t="str">
        <f>TEXT(Table1[[#This Row],[Date]],"YYYY")</f>
        <v>2022</v>
      </c>
      <c r="D437" s="7" t="str">
        <f>TEXT(Table1[[#This Row],[Date]],"MMM")</f>
        <v>Mar</v>
      </c>
      <c r="E437" s="5" t="s">
        <v>54</v>
      </c>
      <c r="F437" s="3" t="s">
        <v>15</v>
      </c>
      <c r="G437" s="3" t="s">
        <v>47</v>
      </c>
      <c r="H437" s="3" t="s">
        <v>43</v>
      </c>
      <c r="I437" s="3"/>
      <c r="J437" s="3">
        <v>4950</v>
      </c>
      <c r="K437" s="3">
        <v>5500</v>
      </c>
      <c r="L437" s="3">
        <v>5</v>
      </c>
      <c r="M437">
        <f>Table1[[#This Row],[Qty]]*Table1[[#This Row],[Sales Price]]</f>
        <v>27500</v>
      </c>
      <c r="N437">
        <f>Table1[[#This Row],[Qty]]*Table1[[#This Row],[Cost]]</f>
        <v>24750</v>
      </c>
      <c r="O437">
        <f>Table1[[#This Row],[Revenue]]-Table1[[#This Row],[Total Cost]]</f>
        <v>2750</v>
      </c>
    </row>
    <row r="438" spans="1:15" ht="15.6">
      <c r="A438" s="3">
        <v>437</v>
      </c>
      <c r="B438" s="6">
        <v>44646</v>
      </c>
      <c r="C438" s="7" t="str">
        <f>TEXT(Table1[[#This Row],[Date]],"YYYY")</f>
        <v>2022</v>
      </c>
      <c r="D438" s="7" t="str">
        <f>TEXT(Table1[[#This Row],[Date]],"MMM")</f>
        <v>Mar</v>
      </c>
      <c r="E438" s="5" t="s">
        <v>57</v>
      </c>
      <c r="F438" s="3" t="s">
        <v>15</v>
      </c>
      <c r="G438" s="3" t="s">
        <v>48</v>
      </c>
      <c r="H438" s="3" t="s">
        <v>43</v>
      </c>
      <c r="I438" s="3"/>
      <c r="J438" s="3">
        <v>3150</v>
      </c>
      <c r="K438" s="3">
        <v>3500</v>
      </c>
      <c r="L438" s="3">
        <v>7</v>
      </c>
      <c r="M438">
        <f>Table1[[#This Row],[Qty]]*Table1[[#This Row],[Sales Price]]</f>
        <v>24500</v>
      </c>
      <c r="N438">
        <f>Table1[[#This Row],[Qty]]*Table1[[#This Row],[Cost]]</f>
        <v>22050</v>
      </c>
      <c r="O438">
        <f>Table1[[#This Row],[Revenue]]-Table1[[#This Row],[Total Cost]]</f>
        <v>2450</v>
      </c>
    </row>
    <row r="439" spans="1:15" ht="15.6">
      <c r="A439" s="3">
        <v>438</v>
      </c>
      <c r="B439" s="6">
        <v>44646</v>
      </c>
      <c r="C439" s="7" t="str">
        <f>TEXT(Table1[[#This Row],[Date]],"YYYY")</f>
        <v>2022</v>
      </c>
      <c r="D439" s="7" t="str">
        <f>TEXT(Table1[[#This Row],[Date]],"MMM")</f>
        <v>Mar</v>
      </c>
      <c r="E439" s="5" t="s">
        <v>39</v>
      </c>
      <c r="F439" s="3" t="s">
        <v>15</v>
      </c>
      <c r="G439" s="3" t="s">
        <v>42</v>
      </c>
      <c r="H439" s="3" t="s">
        <v>43</v>
      </c>
      <c r="I439" s="3">
        <v>1</v>
      </c>
      <c r="J439" s="3">
        <v>2700</v>
      </c>
      <c r="K439" s="3">
        <v>3000</v>
      </c>
      <c r="L439" s="3">
        <v>4</v>
      </c>
      <c r="M439">
        <f>Table1[[#This Row],[Qty]]*Table1[[#This Row],[Sales Price]]</f>
        <v>12000</v>
      </c>
      <c r="N439">
        <f>Table1[[#This Row],[Qty]]*Table1[[#This Row],[Cost]]</f>
        <v>10800</v>
      </c>
      <c r="O439">
        <f>Table1[[#This Row],[Revenue]]-Table1[[#This Row],[Total Cost]]</f>
        <v>1200</v>
      </c>
    </row>
    <row r="440" spans="1:15">
      <c r="A440" s="3">
        <v>439</v>
      </c>
      <c r="B440" s="4">
        <v>45104</v>
      </c>
      <c r="C440" s="4" t="str">
        <f>TEXT(Table1[[#This Row],[Date]],"YYYY")</f>
        <v>2023</v>
      </c>
      <c r="D440" s="4" t="str">
        <f>TEXT(Table1[[#This Row],[Date]],"MMM")</f>
        <v>Jun</v>
      </c>
      <c r="E440" s="5" t="s">
        <v>39</v>
      </c>
      <c r="F440" s="3" t="s">
        <v>15</v>
      </c>
      <c r="G440" s="3" t="s">
        <v>44</v>
      </c>
      <c r="H440" s="3" t="s">
        <v>43</v>
      </c>
      <c r="I440" s="3">
        <v>1</v>
      </c>
      <c r="J440" s="3">
        <v>4050</v>
      </c>
      <c r="K440" s="3">
        <v>4500</v>
      </c>
      <c r="L440" s="3">
        <v>8</v>
      </c>
      <c r="M440">
        <f>Table1[[#This Row],[Qty]]*Table1[[#This Row],[Sales Price]]</f>
        <v>36000</v>
      </c>
      <c r="N440">
        <f>Table1[[#This Row],[Qty]]*Table1[[#This Row],[Cost]]</f>
        <v>32400</v>
      </c>
      <c r="O440">
        <f>Table1[[#This Row],[Revenue]]-Table1[[#This Row],[Total Cost]]</f>
        <v>3600</v>
      </c>
    </row>
    <row r="441" spans="1:15">
      <c r="A441" s="3">
        <v>440</v>
      </c>
      <c r="B441" s="4">
        <v>45105</v>
      </c>
      <c r="C441" s="4" t="str">
        <f>TEXT(Table1[[#This Row],[Date]],"YYYY")</f>
        <v>2023</v>
      </c>
      <c r="D441" s="4" t="str">
        <f>TEXT(Table1[[#This Row],[Date]],"MMM")</f>
        <v>Jun</v>
      </c>
      <c r="E441" s="5" t="s">
        <v>40</v>
      </c>
      <c r="F441" s="3" t="s">
        <v>15</v>
      </c>
      <c r="G441" s="3" t="s">
        <v>45</v>
      </c>
      <c r="H441" s="3" t="s">
        <v>43</v>
      </c>
      <c r="I441" s="3">
        <v>1</v>
      </c>
      <c r="J441" s="3">
        <v>53100</v>
      </c>
      <c r="K441" s="3">
        <v>59000</v>
      </c>
      <c r="L441" s="3">
        <v>8</v>
      </c>
      <c r="M441">
        <f>Table1[[#This Row],[Qty]]*Table1[[#This Row],[Sales Price]]</f>
        <v>472000</v>
      </c>
      <c r="N441">
        <f>Table1[[#This Row],[Qty]]*Table1[[#This Row],[Cost]]</f>
        <v>424800</v>
      </c>
      <c r="O441">
        <f>Table1[[#This Row],[Revenue]]-Table1[[#This Row],[Total Cost]]</f>
        <v>47200</v>
      </c>
    </row>
    <row r="442" spans="1:15">
      <c r="A442" s="3">
        <v>441</v>
      </c>
      <c r="B442" s="4">
        <v>45106</v>
      </c>
      <c r="C442" s="4" t="str">
        <f>TEXT(Table1[[#This Row],[Date]],"YYYY")</f>
        <v>2023</v>
      </c>
      <c r="D442" s="4" t="str">
        <f>TEXT(Table1[[#This Row],[Date]],"MMM")</f>
        <v>Jun</v>
      </c>
      <c r="E442" s="5" t="s">
        <v>39</v>
      </c>
      <c r="F442" s="3" t="s">
        <v>15</v>
      </c>
      <c r="G442" s="3" t="s">
        <v>47</v>
      </c>
      <c r="H442" s="3" t="s">
        <v>43</v>
      </c>
      <c r="I442" s="3">
        <v>0</v>
      </c>
      <c r="J442" s="3">
        <v>88200</v>
      </c>
      <c r="K442" s="3">
        <v>98000</v>
      </c>
      <c r="L442" s="3">
        <v>9</v>
      </c>
      <c r="M442">
        <f>Table1[[#This Row],[Qty]]*Table1[[#This Row],[Sales Price]]</f>
        <v>882000</v>
      </c>
      <c r="N442">
        <f>Table1[[#This Row],[Qty]]*Table1[[#This Row],[Cost]]</f>
        <v>793800</v>
      </c>
      <c r="O442">
        <f>Table1[[#This Row],[Revenue]]-Table1[[#This Row],[Total Cost]]</f>
        <v>88200</v>
      </c>
    </row>
    <row r="443" spans="1:15">
      <c r="A443" s="3">
        <v>442</v>
      </c>
      <c r="B443" s="4">
        <v>45107</v>
      </c>
      <c r="C443" s="4" t="str">
        <f>TEXT(Table1[[#This Row],[Date]],"YYYY")</f>
        <v>2023</v>
      </c>
      <c r="D443" s="4" t="str">
        <f>TEXT(Table1[[#This Row],[Date]],"MMM")</f>
        <v>Jun</v>
      </c>
      <c r="E443" s="5" t="s">
        <v>14</v>
      </c>
      <c r="F443" s="3" t="s">
        <v>15</v>
      </c>
      <c r="G443" s="3" t="s">
        <v>48</v>
      </c>
      <c r="H443" s="3" t="s">
        <v>43</v>
      </c>
      <c r="I443" s="3">
        <v>1</v>
      </c>
      <c r="J443" s="3">
        <v>38250</v>
      </c>
      <c r="K443" s="3">
        <v>42500</v>
      </c>
      <c r="L443" s="3">
        <v>2</v>
      </c>
      <c r="M443">
        <f>Table1[[#This Row],[Qty]]*Table1[[#This Row],[Sales Price]]</f>
        <v>85000</v>
      </c>
      <c r="N443">
        <f>Table1[[#This Row],[Qty]]*Table1[[#This Row],[Cost]]</f>
        <v>76500</v>
      </c>
      <c r="O443">
        <f>Table1[[#This Row],[Revenue]]-Table1[[#This Row],[Total Cost]]</f>
        <v>8500</v>
      </c>
    </row>
    <row r="444" spans="1:15" ht="15.6">
      <c r="A444" s="3">
        <v>443</v>
      </c>
      <c r="B444" s="6">
        <v>44587</v>
      </c>
      <c r="C444" s="7" t="str">
        <f>TEXT(Table1[[#This Row],[Date]],"YYYY")</f>
        <v>2022</v>
      </c>
      <c r="D444" s="7" t="str">
        <f>TEXT(Table1[[#This Row],[Date]],"MMM")</f>
        <v>Jan</v>
      </c>
      <c r="E444" s="5" t="s">
        <v>31</v>
      </c>
      <c r="F444" s="3" t="s">
        <v>15</v>
      </c>
      <c r="G444" s="3" t="s">
        <v>48</v>
      </c>
      <c r="H444" s="3" t="s">
        <v>43</v>
      </c>
      <c r="I444" s="3">
        <v>0</v>
      </c>
      <c r="J444" s="3">
        <v>2700</v>
      </c>
      <c r="K444" s="3">
        <v>3000</v>
      </c>
      <c r="L444" s="3">
        <v>1</v>
      </c>
      <c r="M444">
        <f>Table1[[#This Row],[Qty]]*Table1[[#This Row],[Sales Price]]</f>
        <v>3000</v>
      </c>
      <c r="N444">
        <f>Table1[[#This Row],[Qty]]*Table1[[#This Row],[Cost]]</f>
        <v>2700</v>
      </c>
      <c r="O444">
        <f>Table1[[#This Row],[Revenue]]-Table1[[#This Row],[Total Cost]]</f>
        <v>300</v>
      </c>
    </row>
    <row r="445" spans="1:15">
      <c r="A445" s="3">
        <v>444</v>
      </c>
      <c r="B445" s="4">
        <v>45109</v>
      </c>
      <c r="C445" s="4" t="str">
        <f>TEXT(Table1[[#This Row],[Date]],"YYYY")</f>
        <v>2023</v>
      </c>
      <c r="D445" s="4" t="str">
        <f>TEXT(Table1[[#This Row],[Date]],"MMM")</f>
        <v>Jul</v>
      </c>
      <c r="E445" s="5" t="s">
        <v>14</v>
      </c>
      <c r="F445" s="3" t="s">
        <v>15</v>
      </c>
      <c r="G445" s="3" t="s">
        <v>42</v>
      </c>
      <c r="H445" s="3" t="s">
        <v>43</v>
      </c>
      <c r="I445" s="3"/>
      <c r="J445" s="3">
        <v>23850</v>
      </c>
      <c r="K445" s="3">
        <v>26500</v>
      </c>
      <c r="L445" s="3">
        <v>22</v>
      </c>
      <c r="M445">
        <f>Table1[[#This Row],[Qty]]*Table1[[#This Row],[Sales Price]]</f>
        <v>583000</v>
      </c>
      <c r="N445">
        <f>Table1[[#This Row],[Qty]]*Table1[[#This Row],[Cost]]</f>
        <v>524700</v>
      </c>
      <c r="O445">
        <f>Table1[[#This Row],[Revenue]]-Table1[[#This Row],[Total Cost]]</f>
        <v>58300</v>
      </c>
    </row>
    <row r="446" spans="1:15">
      <c r="A446" s="3">
        <v>445</v>
      </c>
      <c r="B446" s="4">
        <v>45110</v>
      </c>
      <c r="C446" s="4" t="str">
        <f>TEXT(Table1[[#This Row],[Date]],"YYYY")</f>
        <v>2023</v>
      </c>
      <c r="D446" s="4" t="str">
        <f>TEXT(Table1[[#This Row],[Date]],"MMM")</f>
        <v>Jul</v>
      </c>
      <c r="E446" s="5" t="s">
        <v>31</v>
      </c>
      <c r="F446" s="3" t="s">
        <v>15</v>
      </c>
      <c r="G446" s="3" t="s">
        <v>16</v>
      </c>
      <c r="H446" s="3" t="s">
        <v>17</v>
      </c>
      <c r="I446" s="3"/>
      <c r="J446" s="3">
        <v>24750</v>
      </c>
      <c r="K446" s="3">
        <v>27500</v>
      </c>
      <c r="L446" s="3">
        <v>8</v>
      </c>
      <c r="M446">
        <f>Table1[[#This Row],[Qty]]*Table1[[#This Row],[Sales Price]]</f>
        <v>220000</v>
      </c>
      <c r="N446">
        <f>Table1[[#This Row],[Qty]]*Table1[[#This Row],[Cost]]</f>
        <v>198000</v>
      </c>
      <c r="O446">
        <f>Table1[[#This Row],[Revenue]]-Table1[[#This Row],[Total Cost]]</f>
        <v>22000</v>
      </c>
    </row>
    <row r="447" spans="1:15">
      <c r="A447" s="3">
        <v>446</v>
      </c>
      <c r="B447" s="4">
        <v>45111</v>
      </c>
      <c r="C447" s="4" t="str">
        <f>TEXT(Table1[[#This Row],[Date]],"YYYY")</f>
        <v>2023</v>
      </c>
      <c r="D447" s="4" t="str">
        <f>TEXT(Table1[[#This Row],[Date]],"MMM")</f>
        <v>Jul</v>
      </c>
      <c r="E447" s="5" t="s">
        <v>51</v>
      </c>
      <c r="F447" s="3" t="s">
        <v>15</v>
      </c>
      <c r="G447" s="3" t="s">
        <v>19</v>
      </c>
      <c r="H447" s="3" t="s">
        <v>17</v>
      </c>
      <c r="I447" s="3"/>
      <c r="J447" s="3">
        <v>44550</v>
      </c>
      <c r="K447" s="3">
        <v>49500</v>
      </c>
      <c r="L447" s="3">
        <v>7</v>
      </c>
      <c r="M447">
        <f>Table1[[#This Row],[Qty]]*Table1[[#This Row],[Sales Price]]</f>
        <v>346500</v>
      </c>
      <c r="N447">
        <f>Table1[[#This Row],[Qty]]*Table1[[#This Row],[Cost]]</f>
        <v>311850</v>
      </c>
      <c r="O447">
        <f>Table1[[#This Row],[Revenue]]-Table1[[#This Row],[Total Cost]]</f>
        <v>34650</v>
      </c>
    </row>
    <row r="448" spans="1:15">
      <c r="A448" s="3">
        <v>447</v>
      </c>
      <c r="B448" s="4">
        <v>45112</v>
      </c>
      <c r="C448" s="4" t="str">
        <f>TEXT(Table1[[#This Row],[Date]],"YYYY")</f>
        <v>2023</v>
      </c>
      <c r="D448" s="4" t="str">
        <f>TEXT(Table1[[#This Row],[Date]],"MMM")</f>
        <v>Jul</v>
      </c>
      <c r="E448" s="5" t="s">
        <v>39</v>
      </c>
      <c r="F448" s="3" t="s">
        <v>15</v>
      </c>
      <c r="G448" s="3" t="s">
        <v>21</v>
      </c>
      <c r="H448" s="3" t="s">
        <v>17</v>
      </c>
      <c r="I448" s="3">
        <v>1</v>
      </c>
      <c r="J448" s="3">
        <v>9000</v>
      </c>
      <c r="K448" s="3">
        <v>10000</v>
      </c>
      <c r="L448" s="3">
        <v>56</v>
      </c>
      <c r="M448">
        <f>Table1[[#This Row],[Qty]]*Table1[[#This Row],[Sales Price]]</f>
        <v>560000</v>
      </c>
      <c r="N448">
        <f>Table1[[#This Row],[Qty]]*Table1[[#This Row],[Cost]]</f>
        <v>504000</v>
      </c>
      <c r="O448">
        <f>Table1[[#This Row],[Revenue]]-Table1[[#This Row],[Total Cost]]</f>
        <v>56000</v>
      </c>
    </row>
    <row r="449" spans="1:15">
      <c r="A449" s="3">
        <v>448</v>
      </c>
      <c r="B449" s="4">
        <v>45113</v>
      </c>
      <c r="C449" s="4" t="str">
        <f>TEXT(Table1[[#This Row],[Date]],"YYYY")</f>
        <v>2023</v>
      </c>
      <c r="D449" s="4" t="str">
        <f>TEXT(Table1[[#This Row],[Date]],"MMM")</f>
        <v>Jul</v>
      </c>
      <c r="E449" s="5" t="s">
        <v>39</v>
      </c>
      <c r="F449" s="3" t="s">
        <v>18</v>
      </c>
      <c r="G449" s="3" t="s">
        <v>23</v>
      </c>
      <c r="H449" s="3" t="s">
        <v>17</v>
      </c>
      <c r="I449" s="3">
        <v>1</v>
      </c>
      <c r="J449" s="3">
        <v>8640</v>
      </c>
      <c r="K449" s="3">
        <v>9600</v>
      </c>
      <c r="L449" s="3">
        <v>10</v>
      </c>
      <c r="M449">
        <f>Table1[[#This Row],[Qty]]*Table1[[#This Row],[Sales Price]]</f>
        <v>96000</v>
      </c>
      <c r="N449">
        <f>Table1[[#This Row],[Qty]]*Table1[[#This Row],[Cost]]</f>
        <v>86400</v>
      </c>
      <c r="O449">
        <f>Table1[[#This Row],[Revenue]]-Table1[[#This Row],[Total Cost]]</f>
        <v>9600</v>
      </c>
    </row>
    <row r="450" spans="1:15">
      <c r="A450" s="3">
        <v>449</v>
      </c>
      <c r="B450" s="4">
        <v>45114</v>
      </c>
      <c r="C450" s="4" t="str">
        <f>TEXT(Table1[[#This Row],[Date]],"YYYY")</f>
        <v>2023</v>
      </c>
      <c r="D450" s="4" t="str">
        <f>TEXT(Table1[[#This Row],[Date]],"MMM")</f>
        <v>Jul</v>
      </c>
      <c r="E450" s="5" t="s">
        <v>50</v>
      </c>
      <c r="F450" s="3" t="s">
        <v>15</v>
      </c>
      <c r="G450" s="3" t="s">
        <v>25</v>
      </c>
      <c r="H450" s="3" t="s">
        <v>17</v>
      </c>
      <c r="I450" s="3">
        <v>0</v>
      </c>
      <c r="J450" s="3">
        <v>9000</v>
      </c>
      <c r="K450" s="3">
        <v>10000</v>
      </c>
      <c r="L450" s="3">
        <v>9</v>
      </c>
      <c r="M450">
        <f>Table1[[#This Row],[Qty]]*Table1[[#This Row],[Sales Price]]</f>
        <v>90000</v>
      </c>
      <c r="N450">
        <f>Table1[[#This Row],[Qty]]*Table1[[#This Row],[Cost]]</f>
        <v>81000</v>
      </c>
      <c r="O450">
        <f>Table1[[#This Row],[Revenue]]-Table1[[#This Row],[Total Cost]]</f>
        <v>9000</v>
      </c>
    </row>
    <row r="451" spans="1:15">
      <c r="A451" s="3">
        <v>450</v>
      </c>
      <c r="B451" s="4">
        <v>44646</v>
      </c>
      <c r="C451" s="4" t="str">
        <f>TEXT(Table1[[#This Row],[Date]],"YYYY")</f>
        <v>2022</v>
      </c>
      <c r="D451" s="4" t="str">
        <f>TEXT(Table1[[#This Row],[Date]],"MMM")</f>
        <v>Mar</v>
      </c>
      <c r="E451" s="5" t="s">
        <v>22</v>
      </c>
      <c r="F451" s="3" t="s">
        <v>61</v>
      </c>
      <c r="G451" s="3" t="s">
        <v>26</v>
      </c>
      <c r="H451" s="3" t="s">
        <v>17</v>
      </c>
      <c r="I451" s="3">
        <v>1</v>
      </c>
      <c r="J451" s="3">
        <v>3870</v>
      </c>
      <c r="K451" s="3">
        <v>4300</v>
      </c>
      <c r="L451" s="3">
        <v>27</v>
      </c>
      <c r="M451">
        <f>Table1[[#This Row],[Qty]]*Table1[[#This Row],[Sales Price]]</f>
        <v>116100</v>
      </c>
      <c r="N451">
        <f>Table1[[#This Row],[Qty]]*Table1[[#This Row],[Cost]]</f>
        <v>104490</v>
      </c>
      <c r="O451">
        <f>Table1[[#This Row],[Revenue]]-Table1[[#This Row],[Total Cost]]</f>
        <v>11610</v>
      </c>
    </row>
    <row r="452" spans="1:15">
      <c r="A452" s="3">
        <v>451</v>
      </c>
      <c r="B452" s="4">
        <v>44646</v>
      </c>
      <c r="C452" s="4" t="str">
        <f>TEXT(Table1[[#This Row],[Date]],"YYYY")</f>
        <v>2022</v>
      </c>
      <c r="D452" s="4" t="str">
        <f>TEXT(Table1[[#This Row],[Date]],"MMM")</f>
        <v>Mar</v>
      </c>
      <c r="E452" s="5" t="s">
        <v>51</v>
      </c>
      <c r="F452" s="3" t="s">
        <v>18</v>
      </c>
      <c r="G452" s="3" t="s">
        <v>27</v>
      </c>
      <c r="H452" s="3" t="s">
        <v>28</v>
      </c>
      <c r="I452" s="3">
        <v>1</v>
      </c>
      <c r="J452" s="3">
        <v>45450</v>
      </c>
      <c r="K452" s="3">
        <v>50500</v>
      </c>
      <c r="L452" s="3">
        <v>15</v>
      </c>
      <c r="M452">
        <f>Table1[[#This Row],[Qty]]*Table1[[#This Row],[Sales Price]]</f>
        <v>757500</v>
      </c>
      <c r="N452">
        <f>Table1[[#This Row],[Qty]]*Table1[[#This Row],[Cost]]</f>
        <v>681750</v>
      </c>
      <c r="O452">
        <f>Table1[[#This Row],[Revenue]]-Table1[[#This Row],[Total Cost]]</f>
        <v>75750</v>
      </c>
    </row>
    <row r="453" spans="1:15">
      <c r="A453" s="3">
        <v>452</v>
      </c>
      <c r="B453" s="4">
        <v>44646</v>
      </c>
      <c r="C453" s="4" t="str">
        <f>TEXT(Table1[[#This Row],[Date]],"YYYY")</f>
        <v>2022</v>
      </c>
      <c r="D453" s="4" t="str">
        <f>TEXT(Table1[[#This Row],[Date]],"MMM")</f>
        <v>Mar</v>
      </c>
      <c r="E453" s="5" t="s">
        <v>56</v>
      </c>
      <c r="F453" s="3" t="s">
        <v>15</v>
      </c>
      <c r="G453" s="3" t="s">
        <v>30</v>
      </c>
      <c r="H453" s="3" t="s">
        <v>28</v>
      </c>
      <c r="I453" s="3">
        <v>1</v>
      </c>
      <c r="J453" s="3">
        <v>18225</v>
      </c>
      <c r="K453" s="3">
        <v>20250</v>
      </c>
      <c r="L453" s="3">
        <v>3</v>
      </c>
      <c r="M453">
        <f>Table1[[#This Row],[Qty]]*Table1[[#This Row],[Sales Price]]</f>
        <v>60750</v>
      </c>
      <c r="N453">
        <f>Table1[[#This Row],[Qty]]*Table1[[#This Row],[Cost]]</f>
        <v>54675</v>
      </c>
      <c r="O453">
        <f>Table1[[#This Row],[Revenue]]-Table1[[#This Row],[Total Cost]]</f>
        <v>6075</v>
      </c>
    </row>
    <row r="454" spans="1:15">
      <c r="A454" s="3">
        <v>453</v>
      </c>
      <c r="B454" s="4">
        <v>44646</v>
      </c>
      <c r="C454" s="4" t="str">
        <f>TEXT(Table1[[#This Row],[Date]],"YYYY")</f>
        <v>2022</v>
      </c>
      <c r="D454" s="4" t="str">
        <f>TEXT(Table1[[#This Row],[Date]],"MMM")</f>
        <v>Mar</v>
      </c>
      <c r="E454" s="5" t="s">
        <v>55</v>
      </c>
      <c r="F454" s="3" t="s">
        <v>61</v>
      </c>
      <c r="G454" s="3" t="s">
        <v>32</v>
      </c>
      <c r="H454" s="3" t="s">
        <v>28</v>
      </c>
      <c r="I454" s="3">
        <v>1</v>
      </c>
      <c r="J454" s="3">
        <v>1800</v>
      </c>
      <c r="K454" s="3">
        <v>2000</v>
      </c>
      <c r="L454" s="3">
        <v>9</v>
      </c>
      <c r="M454">
        <f>Table1[[#This Row],[Qty]]*Table1[[#This Row],[Sales Price]]</f>
        <v>18000</v>
      </c>
      <c r="N454">
        <f>Table1[[#This Row],[Qty]]*Table1[[#This Row],[Cost]]</f>
        <v>16200</v>
      </c>
      <c r="O454">
        <f>Table1[[#This Row],[Revenue]]-Table1[[#This Row],[Total Cost]]</f>
        <v>1800</v>
      </c>
    </row>
    <row r="455" spans="1:15">
      <c r="A455" s="3">
        <v>454</v>
      </c>
      <c r="B455" s="4">
        <v>44646</v>
      </c>
      <c r="C455" s="4" t="str">
        <f>TEXT(Table1[[#This Row],[Date]],"YYYY")</f>
        <v>2022</v>
      </c>
      <c r="D455" s="4" t="str">
        <f>TEXT(Table1[[#This Row],[Date]],"MMM")</f>
        <v>Mar</v>
      </c>
      <c r="E455" s="5" t="s">
        <v>46</v>
      </c>
      <c r="F455" s="3" t="s">
        <v>18</v>
      </c>
      <c r="G455" s="3" t="s">
        <v>34</v>
      </c>
      <c r="H455" s="3" t="s">
        <v>28</v>
      </c>
      <c r="I455" s="3"/>
      <c r="J455" s="3">
        <v>48600</v>
      </c>
      <c r="K455" s="3">
        <v>54000</v>
      </c>
      <c r="L455" s="3">
        <v>22</v>
      </c>
      <c r="M455">
        <f>Table1[[#This Row],[Qty]]*Table1[[#This Row],[Sales Price]]</f>
        <v>1188000</v>
      </c>
      <c r="N455">
        <f>Table1[[#This Row],[Qty]]*Table1[[#This Row],[Cost]]</f>
        <v>1069200</v>
      </c>
      <c r="O455">
        <f>Table1[[#This Row],[Revenue]]-Table1[[#This Row],[Total Cost]]</f>
        <v>118800</v>
      </c>
    </row>
    <row r="456" spans="1:15" ht="15.6">
      <c r="A456" s="3">
        <v>455</v>
      </c>
      <c r="B456" s="6">
        <v>44646</v>
      </c>
      <c r="C456" s="7" t="str">
        <f>TEXT(Table1[[#This Row],[Date]],"YYYY")</f>
        <v>2022</v>
      </c>
      <c r="D456" s="7" t="str">
        <f>TEXT(Table1[[#This Row],[Date]],"MMM")</f>
        <v>Mar</v>
      </c>
      <c r="E456" s="5" t="s">
        <v>39</v>
      </c>
      <c r="F456" s="3" t="s">
        <v>15</v>
      </c>
      <c r="G456" s="3" t="s">
        <v>36</v>
      </c>
      <c r="H456" s="3" t="s">
        <v>17</v>
      </c>
      <c r="I456" s="3"/>
      <c r="J456" s="3">
        <v>72900</v>
      </c>
      <c r="K456" s="3">
        <v>81000</v>
      </c>
      <c r="L456" s="3">
        <v>16</v>
      </c>
      <c r="M456">
        <f>Table1[[#This Row],[Qty]]*Table1[[#This Row],[Sales Price]]</f>
        <v>1296000</v>
      </c>
      <c r="N456">
        <f>Table1[[#This Row],[Qty]]*Table1[[#This Row],[Cost]]</f>
        <v>1166400</v>
      </c>
      <c r="O456">
        <f>Table1[[#This Row],[Revenue]]-Table1[[#This Row],[Total Cost]]</f>
        <v>129600</v>
      </c>
    </row>
    <row r="457" spans="1:15">
      <c r="A457" s="3">
        <v>456</v>
      </c>
      <c r="B457" s="4">
        <v>45121</v>
      </c>
      <c r="C457" s="4" t="str">
        <f>TEXT(Table1[[#This Row],[Date]],"YYYY")</f>
        <v>2023</v>
      </c>
      <c r="D457" s="4" t="str">
        <f>TEXT(Table1[[#This Row],[Date]],"MMM")</f>
        <v>Jul</v>
      </c>
      <c r="E457" s="5" t="s">
        <v>57</v>
      </c>
      <c r="F457" s="3" t="s">
        <v>61</v>
      </c>
      <c r="G457" s="3" t="s">
        <v>37</v>
      </c>
      <c r="H457" s="3" t="s">
        <v>17</v>
      </c>
      <c r="I457" s="3">
        <v>1</v>
      </c>
      <c r="J457" s="3">
        <v>9450</v>
      </c>
      <c r="K457" s="3">
        <v>10500</v>
      </c>
      <c r="L457" s="3">
        <v>6</v>
      </c>
      <c r="M457">
        <f>Table1[[#This Row],[Qty]]*Table1[[#This Row],[Sales Price]]</f>
        <v>63000</v>
      </c>
      <c r="N457">
        <f>Table1[[#This Row],[Qty]]*Table1[[#This Row],[Cost]]</f>
        <v>56700</v>
      </c>
      <c r="O457">
        <f>Table1[[#This Row],[Revenue]]-Table1[[#This Row],[Total Cost]]</f>
        <v>6300</v>
      </c>
    </row>
    <row r="458" spans="1:15">
      <c r="A458" s="3">
        <v>457</v>
      </c>
      <c r="B458" s="4">
        <v>45122</v>
      </c>
      <c r="C458" s="4" t="str">
        <f>TEXT(Table1[[#This Row],[Date]],"YYYY")</f>
        <v>2023</v>
      </c>
      <c r="D458" s="4" t="str">
        <f>TEXT(Table1[[#This Row],[Date]],"MMM")</f>
        <v>Jul</v>
      </c>
      <c r="E458" s="5" t="s">
        <v>31</v>
      </c>
      <c r="F458" s="3" t="s">
        <v>18</v>
      </c>
      <c r="G458" s="3" t="s">
        <v>38</v>
      </c>
      <c r="H458" s="3" t="s">
        <v>17</v>
      </c>
      <c r="I458" s="3">
        <v>1</v>
      </c>
      <c r="J458" s="3">
        <v>36000</v>
      </c>
      <c r="K458" s="3">
        <v>40000</v>
      </c>
      <c r="L458" s="3">
        <v>3</v>
      </c>
      <c r="M458">
        <f>Table1[[#This Row],[Qty]]*Table1[[#This Row],[Sales Price]]</f>
        <v>120000</v>
      </c>
      <c r="N458">
        <f>Table1[[#This Row],[Qty]]*Table1[[#This Row],[Cost]]</f>
        <v>108000</v>
      </c>
      <c r="O458">
        <f>Table1[[#This Row],[Revenue]]-Table1[[#This Row],[Total Cost]]</f>
        <v>12000</v>
      </c>
    </row>
    <row r="459" spans="1:15">
      <c r="A459" s="3">
        <v>458</v>
      </c>
      <c r="B459" s="4">
        <v>45123</v>
      </c>
      <c r="C459" s="4" t="str">
        <f>TEXT(Table1[[#This Row],[Date]],"YYYY")</f>
        <v>2023</v>
      </c>
      <c r="D459" s="4" t="str">
        <f>TEXT(Table1[[#This Row],[Date]],"MMM")</f>
        <v>Jul</v>
      </c>
      <c r="E459" s="5" t="s">
        <v>50</v>
      </c>
      <c r="F459" s="3" t="s">
        <v>15</v>
      </c>
      <c r="G459" s="3" t="s">
        <v>19</v>
      </c>
      <c r="H459" s="3" t="s">
        <v>17</v>
      </c>
      <c r="I459" s="3">
        <v>1</v>
      </c>
      <c r="J459" s="3">
        <v>24300</v>
      </c>
      <c r="K459" s="3">
        <v>27000</v>
      </c>
      <c r="L459" s="3">
        <v>5</v>
      </c>
      <c r="M459">
        <f>Table1[[#This Row],[Qty]]*Table1[[#This Row],[Sales Price]]</f>
        <v>135000</v>
      </c>
      <c r="N459">
        <f>Table1[[#This Row],[Qty]]*Table1[[#This Row],[Cost]]</f>
        <v>121500</v>
      </c>
      <c r="O459">
        <f>Table1[[#This Row],[Revenue]]-Table1[[#This Row],[Total Cost]]</f>
        <v>13500</v>
      </c>
    </row>
    <row r="460" spans="1:15">
      <c r="A460" s="3">
        <v>459</v>
      </c>
      <c r="B460" s="4">
        <v>45124</v>
      </c>
      <c r="C460" s="4" t="str">
        <f>TEXT(Table1[[#This Row],[Date]],"YYYY")</f>
        <v>2023</v>
      </c>
      <c r="D460" s="4" t="str">
        <f>TEXT(Table1[[#This Row],[Date]],"MMM")</f>
        <v>Jul</v>
      </c>
      <c r="E460" s="5" t="s">
        <v>56</v>
      </c>
      <c r="F460" s="3" t="s">
        <v>61</v>
      </c>
      <c r="G460" s="3" t="s">
        <v>21</v>
      </c>
      <c r="H460" s="3" t="s">
        <v>17</v>
      </c>
      <c r="I460" s="3">
        <v>1</v>
      </c>
      <c r="J460" s="3">
        <v>9180</v>
      </c>
      <c r="K460" s="3">
        <v>10200</v>
      </c>
      <c r="L460" s="3">
        <v>1</v>
      </c>
      <c r="M460">
        <f>Table1[[#This Row],[Qty]]*Table1[[#This Row],[Sales Price]]</f>
        <v>10200</v>
      </c>
      <c r="N460">
        <f>Table1[[#This Row],[Qty]]*Table1[[#This Row],[Cost]]</f>
        <v>9180</v>
      </c>
      <c r="O460">
        <f>Table1[[#This Row],[Revenue]]-Table1[[#This Row],[Total Cost]]</f>
        <v>1020</v>
      </c>
    </row>
    <row r="461" spans="1:15">
      <c r="A461" s="3">
        <v>460</v>
      </c>
      <c r="B461" s="4">
        <v>45125</v>
      </c>
      <c r="C461" s="4" t="str">
        <f>TEXT(Table1[[#This Row],[Date]],"YYYY")</f>
        <v>2023</v>
      </c>
      <c r="D461" s="4" t="str">
        <f>TEXT(Table1[[#This Row],[Date]],"MMM")</f>
        <v>Jul</v>
      </c>
      <c r="E461" s="5" t="s">
        <v>39</v>
      </c>
      <c r="F461" s="3" t="s">
        <v>18</v>
      </c>
      <c r="G461" s="3" t="s">
        <v>23</v>
      </c>
      <c r="H461" s="3" t="s">
        <v>17</v>
      </c>
      <c r="I461" s="3">
        <v>1</v>
      </c>
      <c r="J461" s="3">
        <v>8640</v>
      </c>
      <c r="K461" s="3">
        <v>9600</v>
      </c>
      <c r="L461" s="3">
        <v>5</v>
      </c>
      <c r="M461">
        <f>Table1[[#This Row],[Qty]]*Table1[[#This Row],[Sales Price]]</f>
        <v>48000</v>
      </c>
      <c r="N461">
        <f>Table1[[#This Row],[Qty]]*Table1[[#This Row],[Cost]]</f>
        <v>43200</v>
      </c>
      <c r="O461">
        <f>Table1[[#This Row],[Revenue]]-Table1[[#This Row],[Total Cost]]</f>
        <v>4800</v>
      </c>
    </row>
    <row r="462" spans="1:15">
      <c r="A462" s="3">
        <v>461</v>
      </c>
      <c r="B462" s="4">
        <v>45126</v>
      </c>
      <c r="C462" s="4" t="str">
        <f>TEXT(Table1[[#This Row],[Date]],"YYYY")</f>
        <v>2023</v>
      </c>
      <c r="D462" s="4" t="str">
        <f>TEXT(Table1[[#This Row],[Date]],"MMM")</f>
        <v>Jul</v>
      </c>
      <c r="E462" s="5" t="s">
        <v>33</v>
      </c>
      <c r="F462" s="3" t="s">
        <v>15</v>
      </c>
      <c r="G462" s="3" t="s">
        <v>25</v>
      </c>
      <c r="H462" s="3" t="s">
        <v>17</v>
      </c>
      <c r="I462" s="3">
        <v>1</v>
      </c>
      <c r="J462" s="3">
        <v>8280</v>
      </c>
      <c r="K462" s="3">
        <v>9200</v>
      </c>
      <c r="L462" s="3">
        <v>7</v>
      </c>
      <c r="M462">
        <f>Table1[[#This Row],[Qty]]*Table1[[#This Row],[Sales Price]]</f>
        <v>64400</v>
      </c>
      <c r="N462">
        <f>Table1[[#This Row],[Qty]]*Table1[[#This Row],[Cost]]</f>
        <v>57960</v>
      </c>
      <c r="O462">
        <f>Table1[[#This Row],[Revenue]]-Table1[[#This Row],[Total Cost]]</f>
        <v>6440</v>
      </c>
    </row>
    <row r="463" spans="1:15">
      <c r="A463" s="3">
        <v>462</v>
      </c>
      <c r="B463" s="4">
        <v>45127</v>
      </c>
      <c r="C463" s="4" t="str">
        <f>TEXT(Table1[[#This Row],[Date]],"YYYY")</f>
        <v>2023</v>
      </c>
      <c r="D463" s="4" t="str">
        <f>TEXT(Table1[[#This Row],[Date]],"MMM")</f>
        <v>Jul</v>
      </c>
      <c r="E463" s="5" t="s">
        <v>33</v>
      </c>
      <c r="F463" s="3" t="s">
        <v>61</v>
      </c>
      <c r="G463" s="3" t="s">
        <v>26</v>
      </c>
      <c r="H463" s="3" t="s">
        <v>17</v>
      </c>
      <c r="I463" s="3"/>
      <c r="J463" s="3">
        <v>4950</v>
      </c>
      <c r="K463" s="3">
        <v>5500</v>
      </c>
      <c r="L463" s="3">
        <v>4</v>
      </c>
      <c r="M463">
        <f>Table1[[#This Row],[Qty]]*Table1[[#This Row],[Sales Price]]</f>
        <v>22000</v>
      </c>
      <c r="N463">
        <f>Table1[[#This Row],[Qty]]*Table1[[#This Row],[Cost]]</f>
        <v>19800</v>
      </c>
      <c r="O463">
        <f>Table1[[#This Row],[Revenue]]-Table1[[#This Row],[Total Cost]]</f>
        <v>2200</v>
      </c>
    </row>
    <row r="464" spans="1:15">
      <c r="A464" s="3">
        <v>463</v>
      </c>
      <c r="B464" s="4">
        <v>45128</v>
      </c>
      <c r="C464" s="4" t="str">
        <f>TEXT(Table1[[#This Row],[Date]],"YYYY")</f>
        <v>2023</v>
      </c>
      <c r="D464" s="4" t="str">
        <f>TEXT(Table1[[#This Row],[Date]],"MMM")</f>
        <v>Jul</v>
      </c>
      <c r="E464" s="5" t="s">
        <v>39</v>
      </c>
      <c r="F464" s="3" t="s">
        <v>18</v>
      </c>
      <c r="G464" s="3" t="s">
        <v>37</v>
      </c>
      <c r="H464" s="3" t="s">
        <v>17</v>
      </c>
      <c r="I464" s="3"/>
      <c r="J464" s="3">
        <v>3150</v>
      </c>
      <c r="K464" s="3">
        <v>3500</v>
      </c>
      <c r="L464" s="3">
        <v>8</v>
      </c>
      <c r="M464">
        <f>Table1[[#This Row],[Qty]]*Table1[[#This Row],[Sales Price]]</f>
        <v>28000</v>
      </c>
      <c r="N464">
        <f>Table1[[#This Row],[Qty]]*Table1[[#This Row],[Cost]]</f>
        <v>25200</v>
      </c>
      <c r="O464">
        <f>Table1[[#This Row],[Revenue]]-Table1[[#This Row],[Total Cost]]</f>
        <v>2800</v>
      </c>
    </row>
    <row r="465" spans="1:15">
      <c r="A465" s="3">
        <v>464</v>
      </c>
      <c r="B465" s="4">
        <v>45129</v>
      </c>
      <c r="C465" s="4" t="str">
        <f>TEXT(Table1[[#This Row],[Date]],"YYYY")</f>
        <v>2023</v>
      </c>
      <c r="D465" s="4" t="str">
        <f>TEXT(Table1[[#This Row],[Date]],"MMM")</f>
        <v>Jul</v>
      </c>
      <c r="E465" s="5" t="s">
        <v>39</v>
      </c>
      <c r="F465" s="3" t="s">
        <v>18</v>
      </c>
      <c r="G465" s="3" t="s">
        <v>41</v>
      </c>
      <c r="H465" s="3" t="s">
        <v>28</v>
      </c>
      <c r="I465" s="3"/>
      <c r="J465" s="3">
        <v>2700</v>
      </c>
      <c r="K465" s="3">
        <v>3000</v>
      </c>
      <c r="L465" s="3">
        <v>8</v>
      </c>
      <c r="M465">
        <f>Table1[[#This Row],[Qty]]*Table1[[#This Row],[Sales Price]]</f>
        <v>24000</v>
      </c>
      <c r="N465">
        <f>Table1[[#This Row],[Qty]]*Table1[[#This Row],[Cost]]</f>
        <v>21600</v>
      </c>
      <c r="O465">
        <f>Table1[[#This Row],[Revenue]]-Table1[[#This Row],[Total Cost]]</f>
        <v>2400</v>
      </c>
    </row>
    <row r="466" spans="1:15">
      <c r="A466" s="3">
        <v>465</v>
      </c>
      <c r="B466" s="4">
        <v>45130</v>
      </c>
      <c r="C466" s="4" t="str">
        <f>TEXT(Table1[[#This Row],[Date]],"YYYY")</f>
        <v>2023</v>
      </c>
      <c r="D466" s="4" t="str">
        <f>TEXT(Table1[[#This Row],[Date]],"MMM")</f>
        <v>Jul</v>
      </c>
      <c r="E466" s="5" t="s">
        <v>40</v>
      </c>
      <c r="F466" s="3" t="s">
        <v>18</v>
      </c>
      <c r="G466" s="3" t="s">
        <v>27</v>
      </c>
      <c r="H466" s="3" t="s">
        <v>28</v>
      </c>
      <c r="I466" s="3">
        <v>1</v>
      </c>
      <c r="J466" s="3">
        <v>4050</v>
      </c>
      <c r="K466" s="3">
        <v>4500</v>
      </c>
      <c r="L466" s="3">
        <v>9</v>
      </c>
      <c r="M466">
        <f>Table1[[#This Row],[Qty]]*Table1[[#This Row],[Sales Price]]</f>
        <v>40500</v>
      </c>
      <c r="N466">
        <f>Table1[[#This Row],[Qty]]*Table1[[#This Row],[Cost]]</f>
        <v>36450</v>
      </c>
      <c r="O466">
        <f>Table1[[#This Row],[Revenue]]-Table1[[#This Row],[Total Cost]]</f>
        <v>4050</v>
      </c>
    </row>
    <row r="467" spans="1:15">
      <c r="A467" s="3">
        <v>466</v>
      </c>
      <c r="B467" s="4">
        <v>45131</v>
      </c>
      <c r="C467" s="4" t="str">
        <f>TEXT(Table1[[#This Row],[Date]],"YYYY")</f>
        <v>2023</v>
      </c>
      <c r="D467" s="4" t="str">
        <f>TEXT(Table1[[#This Row],[Date]],"MMM")</f>
        <v>Jul</v>
      </c>
      <c r="E467" s="5" t="s">
        <v>24</v>
      </c>
      <c r="F467" s="3" t="s">
        <v>18</v>
      </c>
      <c r="G467" s="3" t="s">
        <v>32</v>
      </c>
      <c r="H467" s="3" t="s">
        <v>28</v>
      </c>
      <c r="I467" s="3">
        <v>1</v>
      </c>
      <c r="J467" s="3">
        <v>53100</v>
      </c>
      <c r="K467" s="3">
        <v>59000</v>
      </c>
      <c r="L467" s="3">
        <v>2</v>
      </c>
      <c r="M467">
        <f>Table1[[#This Row],[Qty]]*Table1[[#This Row],[Sales Price]]</f>
        <v>118000</v>
      </c>
      <c r="N467">
        <f>Table1[[#This Row],[Qty]]*Table1[[#This Row],[Cost]]</f>
        <v>106200</v>
      </c>
      <c r="O467">
        <f>Table1[[#This Row],[Revenue]]-Table1[[#This Row],[Total Cost]]</f>
        <v>11800</v>
      </c>
    </row>
    <row r="468" spans="1:15">
      <c r="A468" s="3">
        <v>467</v>
      </c>
      <c r="B468" s="4">
        <v>45132</v>
      </c>
      <c r="C468" s="4" t="str">
        <f>TEXT(Table1[[#This Row],[Date]],"YYYY")</f>
        <v>2023</v>
      </c>
      <c r="D468" s="4" t="str">
        <f>TEXT(Table1[[#This Row],[Date]],"MMM")</f>
        <v>Jul</v>
      </c>
      <c r="E468" s="5" t="s">
        <v>46</v>
      </c>
      <c r="F468" s="3" t="s">
        <v>18</v>
      </c>
      <c r="G468" s="3" t="s">
        <v>42</v>
      </c>
      <c r="H468" s="3" t="s">
        <v>43</v>
      </c>
      <c r="I468" s="3">
        <v>1</v>
      </c>
      <c r="J468" s="3">
        <v>88200</v>
      </c>
      <c r="K468" s="3">
        <v>98000</v>
      </c>
      <c r="L468" s="3">
        <v>1</v>
      </c>
      <c r="M468">
        <f>Table1[[#This Row],[Qty]]*Table1[[#This Row],[Sales Price]]</f>
        <v>98000</v>
      </c>
      <c r="N468">
        <f>Table1[[#This Row],[Qty]]*Table1[[#This Row],[Cost]]</f>
        <v>88200</v>
      </c>
      <c r="O468">
        <f>Table1[[#This Row],[Revenue]]-Table1[[#This Row],[Total Cost]]</f>
        <v>9800</v>
      </c>
    </row>
    <row r="469" spans="1:15">
      <c r="A469" s="3">
        <v>468</v>
      </c>
      <c r="B469" s="4">
        <v>44646</v>
      </c>
      <c r="C469" s="4" t="str">
        <f>TEXT(Table1[[#This Row],[Date]],"YYYY")</f>
        <v>2022</v>
      </c>
      <c r="D469" s="4" t="str">
        <f>TEXT(Table1[[#This Row],[Date]],"MMM")</f>
        <v>Mar</v>
      </c>
      <c r="E469" s="5" t="s">
        <v>14</v>
      </c>
      <c r="F469" s="3" t="s">
        <v>18</v>
      </c>
      <c r="G469" s="3" t="s">
        <v>44</v>
      </c>
      <c r="H469" s="3" t="s">
        <v>43</v>
      </c>
      <c r="I469" s="3">
        <v>0</v>
      </c>
      <c r="J469" s="3">
        <v>8640</v>
      </c>
      <c r="K469" s="3">
        <v>9600</v>
      </c>
      <c r="L469" s="3">
        <v>22</v>
      </c>
      <c r="M469">
        <f>Table1[[#This Row],[Qty]]*Table1[[#This Row],[Sales Price]]</f>
        <v>211200</v>
      </c>
      <c r="N469">
        <f>Table1[[#This Row],[Qty]]*Table1[[#This Row],[Cost]]</f>
        <v>190080</v>
      </c>
      <c r="O469">
        <f>Table1[[#This Row],[Revenue]]-Table1[[#This Row],[Total Cost]]</f>
        <v>21120</v>
      </c>
    </row>
    <row r="470" spans="1:15">
      <c r="A470" s="3">
        <v>469</v>
      </c>
      <c r="B470" s="4">
        <v>44646</v>
      </c>
      <c r="C470" s="4" t="str">
        <f>TEXT(Table1[[#This Row],[Date]],"YYYY")</f>
        <v>2022</v>
      </c>
      <c r="D470" s="4" t="str">
        <f>TEXT(Table1[[#This Row],[Date]],"MMM")</f>
        <v>Mar</v>
      </c>
      <c r="E470" s="5" t="s">
        <v>24</v>
      </c>
      <c r="F470" s="3" t="s">
        <v>18</v>
      </c>
      <c r="G470" s="3" t="s">
        <v>45</v>
      </c>
      <c r="H470" s="3" t="s">
        <v>43</v>
      </c>
      <c r="I470" s="3">
        <v>0</v>
      </c>
      <c r="J470" s="3">
        <v>8280</v>
      </c>
      <c r="K470" s="3">
        <v>9200</v>
      </c>
      <c r="L470" s="3">
        <v>8</v>
      </c>
      <c r="M470">
        <f>Table1[[#This Row],[Qty]]*Table1[[#This Row],[Sales Price]]</f>
        <v>73600</v>
      </c>
      <c r="N470">
        <f>Table1[[#This Row],[Qty]]*Table1[[#This Row],[Cost]]</f>
        <v>66240</v>
      </c>
      <c r="O470">
        <f>Table1[[#This Row],[Revenue]]-Table1[[#This Row],[Total Cost]]</f>
        <v>7360</v>
      </c>
    </row>
    <row r="471" spans="1:15">
      <c r="A471" s="3">
        <v>470</v>
      </c>
      <c r="B471" s="4">
        <v>44646</v>
      </c>
      <c r="C471" s="4" t="str">
        <f>TEXT(Table1[[#This Row],[Date]],"YYYY")</f>
        <v>2022</v>
      </c>
      <c r="D471" s="4" t="str">
        <f>TEXT(Table1[[#This Row],[Date]],"MMM")</f>
        <v>Mar</v>
      </c>
      <c r="E471" s="5" t="s">
        <v>35</v>
      </c>
      <c r="F471" s="3" t="s">
        <v>18</v>
      </c>
      <c r="G471" s="3" t="s">
        <v>47</v>
      </c>
      <c r="H471" s="3" t="s">
        <v>43</v>
      </c>
      <c r="I471" s="3">
        <v>0</v>
      </c>
      <c r="J471" s="3">
        <v>4950</v>
      </c>
      <c r="K471" s="3">
        <v>5500</v>
      </c>
      <c r="L471" s="3">
        <v>7</v>
      </c>
      <c r="M471">
        <f>Table1[[#This Row],[Qty]]*Table1[[#This Row],[Sales Price]]</f>
        <v>38500</v>
      </c>
      <c r="N471">
        <f>Table1[[#This Row],[Qty]]*Table1[[#This Row],[Cost]]</f>
        <v>34650</v>
      </c>
      <c r="O471">
        <f>Table1[[#This Row],[Revenue]]-Table1[[#This Row],[Total Cost]]</f>
        <v>3850</v>
      </c>
    </row>
    <row r="472" spans="1:15">
      <c r="A472" s="3">
        <v>471</v>
      </c>
      <c r="B472" s="4">
        <v>44646</v>
      </c>
      <c r="C472" s="4" t="str">
        <f>TEXT(Table1[[#This Row],[Date]],"YYYY")</f>
        <v>2022</v>
      </c>
      <c r="D472" s="4" t="str">
        <f>TEXT(Table1[[#This Row],[Date]],"MMM")</f>
        <v>Mar</v>
      </c>
      <c r="E472" s="5" t="s">
        <v>66</v>
      </c>
      <c r="F472" s="3" t="s">
        <v>18</v>
      </c>
      <c r="G472" s="3" t="s">
        <v>48</v>
      </c>
      <c r="H472" s="3" t="s">
        <v>43</v>
      </c>
      <c r="I472" s="3">
        <v>1</v>
      </c>
      <c r="J472" s="3">
        <v>3150</v>
      </c>
      <c r="K472" s="3">
        <v>3500</v>
      </c>
      <c r="L472" s="3">
        <v>56</v>
      </c>
      <c r="M472">
        <f>Table1[[#This Row],[Qty]]*Table1[[#This Row],[Sales Price]]</f>
        <v>196000</v>
      </c>
      <c r="N472">
        <f>Table1[[#This Row],[Qty]]*Table1[[#This Row],[Cost]]</f>
        <v>176400</v>
      </c>
      <c r="O472">
        <f>Table1[[#This Row],[Revenue]]-Table1[[#This Row],[Total Cost]]</f>
        <v>19600</v>
      </c>
    </row>
    <row r="473" spans="1:15">
      <c r="A473" s="3">
        <v>472</v>
      </c>
      <c r="B473" s="4">
        <v>44646</v>
      </c>
      <c r="C473" s="4" t="str">
        <f>TEXT(Table1[[#This Row],[Date]],"YYYY")</f>
        <v>2022</v>
      </c>
      <c r="D473" s="4" t="str">
        <f>TEXT(Table1[[#This Row],[Date]],"MMM")</f>
        <v>Mar</v>
      </c>
      <c r="E473" s="5" t="s">
        <v>31</v>
      </c>
      <c r="F473" s="3" t="s">
        <v>18</v>
      </c>
      <c r="G473" s="3" t="s">
        <v>42</v>
      </c>
      <c r="H473" s="3" t="s">
        <v>43</v>
      </c>
      <c r="I473" s="3"/>
      <c r="J473" s="3">
        <v>2700</v>
      </c>
      <c r="K473" s="3">
        <v>3000</v>
      </c>
      <c r="L473" s="3">
        <v>10</v>
      </c>
      <c r="M473">
        <f>Table1[[#This Row],[Qty]]*Table1[[#This Row],[Sales Price]]</f>
        <v>30000</v>
      </c>
      <c r="N473">
        <f>Table1[[#This Row],[Qty]]*Table1[[#This Row],[Cost]]</f>
        <v>27000</v>
      </c>
      <c r="O473">
        <f>Table1[[#This Row],[Revenue]]-Table1[[#This Row],[Total Cost]]</f>
        <v>3000</v>
      </c>
    </row>
    <row r="474" spans="1:15">
      <c r="A474" s="3">
        <v>473</v>
      </c>
      <c r="B474" s="4">
        <v>44646</v>
      </c>
      <c r="C474" s="4" t="str">
        <f>TEXT(Table1[[#This Row],[Date]],"YYYY")</f>
        <v>2022</v>
      </c>
      <c r="D474" s="4" t="str">
        <f>TEXT(Table1[[#This Row],[Date]],"MMM")</f>
        <v>Mar</v>
      </c>
      <c r="E474" s="5" t="s">
        <v>22</v>
      </c>
      <c r="F474" s="3" t="s">
        <v>18</v>
      </c>
      <c r="G474" s="3" t="s">
        <v>44</v>
      </c>
      <c r="H474" s="3" t="s">
        <v>43</v>
      </c>
      <c r="I474" s="3"/>
      <c r="J474" s="3">
        <v>4050</v>
      </c>
      <c r="K474" s="3">
        <v>4500</v>
      </c>
      <c r="L474" s="3">
        <v>9</v>
      </c>
      <c r="M474">
        <f>Table1[[#This Row],[Qty]]*Table1[[#This Row],[Sales Price]]</f>
        <v>40500</v>
      </c>
      <c r="N474">
        <f>Table1[[#This Row],[Qty]]*Table1[[#This Row],[Cost]]</f>
        <v>36450</v>
      </c>
      <c r="O474">
        <f>Table1[[#This Row],[Revenue]]-Table1[[#This Row],[Total Cost]]</f>
        <v>4050</v>
      </c>
    </row>
    <row r="475" spans="1:15">
      <c r="A475" s="3">
        <v>474</v>
      </c>
      <c r="B475" s="4">
        <v>44646</v>
      </c>
      <c r="C475" s="4" t="str">
        <f>TEXT(Table1[[#This Row],[Date]],"YYYY")</f>
        <v>2022</v>
      </c>
      <c r="D475" s="4" t="str">
        <f>TEXT(Table1[[#This Row],[Date]],"MMM")</f>
        <v>Mar</v>
      </c>
      <c r="E475" s="5" t="s">
        <v>55</v>
      </c>
      <c r="F475" s="3" t="s">
        <v>18</v>
      </c>
      <c r="G475" s="3" t="s">
        <v>45</v>
      </c>
      <c r="H475" s="3" t="s">
        <v>43</v>
      </c>
      <c r="I475" s="3">
        <v>1</v>
      </c>
      <c r="J475" s="3">
        <v>53100</v>
      </c>
      <c r="K475" s="3">
        <v>59000</v>
      </c>
      <c r="L475" s="3">
        <v>27</v>
      </c>
      <c r="M475">
        <f>Table1[[#This Row],[Qty]]*Table1[[#This Row],[Sales Price]]</f>
        <v>1593000</v>
      </c>
      <c r="N475">
        <f>Table1[[#This Row],[Qty]]*Table1[[#This Row],[Cost]]</f>
        <v>1433700</v>
      </c>
      <c r="O475">
        <f>Table1[[#This Row],[Revenue]]-Table1[[#This Row],[Total Cost]]</f>
        <v>159300</v>
      </c>
    </row>
    <row r="476" spans="1:15">
      <c r="A476" s="3">
        <v>475</v>
      </c>
      <c r="B476" s="4">
        <v>44646</v>
      </c>
      <c r="C476" s="4" t="str">
        <f>TEXT(Table1[[#This Row],[Date]],"YYYY")</f>
        <v>2022</v>
      </c>
      <c r="D476" s="4" t="str">
        <f>TEXT(Table1[[#This Row],[Date]],"MMM")</f>
        <v>Mar</v>
      </c>
      <c r="E476" s="5" t="s">
        <v>22</v>
      </c>
      <c r="F476" s="3" t="s">
        <v>18</v>
      </c>
      <c r="G476" s="3" t="s">
        <v>47</v>
      </c>
      <c r="H476" s="3" t="s">
        <v>43</v>
      </c>
      <c r="I476" s="3">
        <v>1</v>
      </c>
      <c r="J476" s="3">
        <v>88200</v>
      </c>
      <c r="K476" s="3">
        <v>98000</v>
      </c>
      <c r="L476" s="3">
        <v>15</v>
      </c>
      <c r="M476">
        <f>Table1[[#This Row],[Qty]]*Table1[[#This Row],[Sales Price]]</f>
        <v>1470000</v>
      </c>
      <c r="N476">
        <f>Table1[[#This Row],[Qty]]*Table1[[#This Row],[Cost]]</f>
        <v>1323000</v>
      </c>
      <c r="O476">
        <f>Table1[[#This Row],[Revenue]]-Table1[[#This Row],[Total Cost]]</f>
        <v>147000</v>
      </c>
    </row>
    <row r="477" spans="1:15">
      <c r="A477" s="3">
        <v>476</v>
      </c>
      <c r="B477" s="4">
        <v>44646</v>
      </c>
      <c r="C477" s="4" t="str">
        <f>TEXT(Table1[[#This Row],[Date]],"YYYY")</f>
        <v>2022</v>
      </c>
      <c r="D477" s="4" t="str">
        <f>TEXT(Table1[[#This Row],[Date]],"MMM")</f>
        <v>Mar</v>
      </c>
      <c r="E477" s="5" t="s">
        <v>56</v>
      </c>
      <c r="F477" s="3" t="s">
        <v>18</v>
      </c>
      <c r="G477" s="3" t="s">
        <v>48</v>
      </c>
      <c r="H477" s="3" t="s">
        <v>43</v>
      </c>
      <c r="I477" s="3">
        <v>0</v>
      </c>
      <c r="J477" s="3">
        <v>38250</v>
      </c>
      <c r="K477" s="3">
        <v>42500</v>
      </c>
      <c r="L477" s="3">
        <v>3</v>
      </c>
      <c r="M477">
        <f>Table1[[#This Row],[Qty]]*Table1[[#This Row],[Sales Price]]</f>
        <v>127500</v>
      </c>
      <c r="N477">
        <f>Table1[[#This Row],[Qty]]*Table1[[#This Row],[Cost]]</f>
        <v>114750</v>
      </c>
      <c r="O477">
        <f>Table1[[#This Row],[Revenue]]-Table1[[#This Row],[Total Cost]]</f>
        <v>12750</v>
      </c>
    </row>
    <row r="478" spans="1:15">
      <c r="A478" s="3">
        <v>477</v>
      </c>
      <c r="B478" s="4">
        <v>44646</v>
      </c>
      <c r="C478" s="4" t="str">
        <f>TEXT(Table1[[#This Row],[Date]],"YYYY")</f>
        <v>2022</v>
      </c>
      <c r="D478" s="4" t="str">
        <f>TEXT(Table1[[#This Row],[Date]],"MMM")</f>
        <v>Mar</v>
      </c>
      <c r="E478" s="5" t="s">
        <v>39</v>
      </c>
      <c r="F478" s="3" t="s">
        <v>18</v>
      </c>
      <c r="G478" s="3" t="s">
        <v>48</v>
      </c>
      <c r="H478" s="3" t="s">
        <v>43</v>
      </c>
      <c r="I478" s="3">
        <v>1</v>
      </c>
      <c r="J478" s="3">
        <v>2700</v>
      </c>
      <c r="K478" s="3">
        <v>3000</v>
      </c>
      <c r="L478" s="3">
        <v>9</v>
      </c>
      <c r="M478">
        <f>Table1[[#This Row],[Qty]]*Table1[[#This Row],[Sales Price]]</f>
        <v>27000</v>
      </c>
      <c r="N478">
        <f>Table1[[#This Row],[Qty]]*Table1[[#This Row],[Cost]]</f>
        <v>24300</v>
      </c>
      <c r="O478">
        <f>Table1[[#This Row],[Revenue]]-Table1[[#This Row],[Total Cost]]</f>
        <v>2700</v>
      </c>
    </row>
    <row r="479" spans="1:15">
      <c r="A479" s="3">
        <v>478</v>
      </c>
      <c r="B479" s="4">
        <v>44646</v>
      </c>
      <c r="C479" s="4" t="str">
        <f>TEXT(Table1[[#This Row],[Date]],"YYYY")</f>
        <v>2022</v>
      </c>
      <c r="D479" s="4" t="str">
        <f>TEXT(Table1[[#This Row],[Date]],"MMM")</f>
        <v>Mar</v>
      </c>
      <c r="E479" s="5" t="s">
        <v>31</v>
      </c>
      <c r="F479" s="3" t="s">
        <v>18</v>
      </c>
      <c r="G479" s="3" t="s">
        <v>42</v>
      </c>
      <c r="H479" s="3" t="s">
        <v>43</v>
      </c>
      <c r="I479" s="3">
        <v>1</v>
      </c>
      <c r="J479" s="3">
        <v>23850</v>
      </c>
      <c r="K479" s="3">
        <v>26500</v>
      </c>
      <c r="L479" s="3">
        <v>22</v>
      </c>
      <c r="M479">
        <f>Table1[[#This Row],[Qty]]*Table1[[#This Row],[Sales Price]]</f>
        <v>583000</v>
      </c>
      <c r="N479">
        <f>Table1[[#This Row],[Qty]]*Table1[[#This Row],[Cost]]</f>
        <v>524700</v>
      </c>
      <c r="O479">
        <f>Table1[[#This Row],[Revenue]]-Table1[[#This Row],[Total Cost]]</f>
        <v>58300</v>
      </c>
    </row>
    <row r="480" spans="1:15">
      <c r="A480" s="3">
        <v>479</v>
      </c>
      <c r="B480" s="4">
        <v>44646</v>
      </c>
      <c r="C480" s="4" t="str">
        <f>TEXT(Table1[[#This Row],[Date]],"YYYY")</f>
        <v>2022</v>
      </c>
      <c r="D480" s="4" t="str">
        <f>TEXT(Table1[[#This Row],[Date]],"MMM")</f>
        <v>Mar</v>
      </c>
      <c r="E480" s="5" t="s">
        <v>39</v>
      </c>
      <c r="F480" s="3" t="s">
        <v>18</v>
      </c>
      <c r="G480" s="3" t="s">
        <v>27</v>
      </c>
      <c r="H480" s="3" t="s">
        <v>28</v>
      </c>
      <c r="I480" s="3">
        <v>1</v>
      </c>
      <c r="J480" s="3">
        <v>24750</v>
      </c>
      <c r="K480" s="3">
        <v>27500</v>
      </c>
      <c r="L480" s="3">
        <v>16</v>
      </c>
      <c r="M480">
        <f>Table1[[#This Row],[Qty]]*Table1[[#This Row],[Sales Price]]</f>
        <v>440000</v>
      </c>
      <c r="N480">
        <f>Table1[[#This Row],[Qty]]*Table1[[#This Row],[Cost]]</f>
        <v>396000</v>
      </c>
      <c r="O480">
        <f>Table1[[#This Row],[Revenue]]-Table1[[#This Row],[Total Cost]]</f>
        <v>44000</v>
      </c>
    </row>
    <row r="481" spans="1:15">
      <c r="A481" s="3">
        <v>480</v>
      </c>
      <c r="B481" s="4">
        <v>44646</v>
      </c>
      <c r="C481" s="4" t="str">
        <f>TEXT(Table1[[#This Row],[Date]],"YYYY")</f>
        <v>2022</v>
      </c>
      <c r="D481" s="4" t="str">
        <f>TEXT(Table1[[#This Row],[Date]],"MMM")</f>
        <v>Mar</v>
      </c>
      <c r="E481" s="5" t="s">
        <v>39</v>
      </c>
      <c r="F481" s="3" t="s">
        <v>18</v>
      </c>
      <c r="G481" s="3" t="s">
        <v>30</v>
      </c>
      <c r="H481" s="3" t="s">
        <v>28</v>
      </c>
      <c r="I481" s="3"/>
      <c r="J481" s="3">
        <v>44550</v>
      </c>
      <c r="K481" s="3">
        <v>49500</v>
      </c>
      <c r="L481" s="3">
        <v>6</v>
      </c>
      <c r="M481">
        <f>Table1[[#This Row],[Qty]]*Table1[[#This Row],[Sales Price]]</f>
        <v>297000</v>
      </c>
      <c r="N481">
        <f>Table1[[#This Row],[Qty]]*Table1[[#This Row],[Cost]]</f>
        <v>267300</v>
      </c>
      <c r="O481">
        <f>Table1[[#This Row],[Revenue]]-Table1[[#This Row],[Total Cost]]</f>
        <v>29700</v>
      </c>
    </row>
    <row r="482" spans="1:15">
      <c r="A482" s="3">
        <v>481</v>
      </c>
      <c r="B482" s="4">
        <v>44646</v>
      </c>
      <c r="C482" s="4" t="str">
        <f>TEXT(Table1[[#This Row],[Date]],"YYYY")</f>
        <v>2022</v>
      </c>
      <c r="D482" s="4" t="str">
        <f>TEXT(Table1[[#This Row],[Date]],"MMM")</f>
        <v>Mar</v>
      </c>
      <c r="E482" s="5" t="s">
        <v>57</v>
      </c>
      <c r="F482" s="3" t="s">
        <v>18</v>
      </c>
      <c r="G482" s="3" t="s">
        <v>32</v>
      </c>
      <c r="H482" s="3" t="s">
        <v>28</v>
      </c>
      <c r="I482" s="3"/>
      <c r="J482" s="3">
        <v>9000</v>
      </c>
      <c r="K482" s="3">
        <v>10000</v>
      </c>
      <c r="L482" s="3">
        <v>3</v>
      </c>
      <c r="M482">
        <f>Table1[[#This Row],[Qty]]*Table1[[#This Row],[Sales Price]]</f>
        <v>30000</v>
      </c>
      <c r="N482">
        <f>Table1[[#This Row],[Qty]]*Table1[[#This Row],[Cost]]</f>
        <v>27000</v>
      </c>
      <c r="O482">
        <f>Table1[[#This Row],[Revenue]]-Table1[[#This Row],[Total Cost]]</f>
        <v>3000</v>
      </c>
    </row>
    <row r="483" spans="1:15">
      <c r="A483" s="3">
        <v>482</v>
      </c>
      <c r="B483" s="4">
        <v>45147</v>
      </c>
      <c r="C483" s="4" t="str">
        <f>TEXT(Table1[[#This Row],[Date]],"YYYY")</f>
        <v>2023</v>
      </c>
      <c r="D483" s="4" t="str">
        <f>TEXT(Table1[[#This Row],[Date]],"MMM")</f>
        <v>Aug</v>
      </c>
      <c r="E483" s="5" t="s">
        <v>53</v>
      </c>
      <c r="F483" s="3" t="s">
        <v>18</v>
      </c>
      <c r="G483" s="3" t="s">
        <v>34</v>
      </c>
      <c r="H483" s="3" t="s">
        <v>28</v>
      </c>
      <c r="I483" s="3"/>
      <c r="J483" s="3">
        <v>8640</v>
      </c>
      <c r="K483" s="3">
        <v>9600</v>
      </c>
      <c r="L483" s="3">
        <v>5</v>
      </c>
      <c r="M483">
        <f>Table1[[#This Row],[Qty]]*Table1[[#This Row],[Sales Price]]</f>
        <v>48000</v>
      </c>
      <c r="N483">
        <f>Table1[[#This Row],[Qty]]*Table1[[#This Row],[Cost]]</f>
        <v>43200</v>
      </c>
      <c r="O483">
        <f>Table1[[#This Row],[Revenue]]-Table1[[#This Row],[Total Cost]]</f>
        <v>4800</v>
      </c>
    </row>
    <row r="484" spans="1:15">
      <c r="A484" s="3">
        <v>483</v>
      </c>
      <c r="B484" s="4">
        <v>45148</v>
      </c>
      <c r="C484" s="4" t="str">
        <f>TEXT(Table1[[#This Row],[Date]],"YYYY")</f>
        <v>2023</v>
      </c>
      <c r="D484" s="4" t="str">
        <f>TEXT(Table1[[#This Row],[Date]],"MMM")</f>
        <v>Aug</v>
      </c>
      <c r="E484" s="5" t="s">
        <v>31</v>
      </c>
      <c r="F484" s="3" t="s">
        <v>18</v>
      </c>
      <c r="G484" s="3" t="s">
        <v>41</v>
      </c>
      <c r="H484" s="3" t="s">
        <v>28</v>
      </c>
      <c r="I484" s="3">
        <v>1</v>
      </c>
      <c r="J484" s="3">
        <v>9000</v>
      </c>
      <c r="K484" s="3">
        <v>10000</v>
      </c>
      <c r="L484" s="3">
        <v>1</v>
      </c>
      <c r="M484">
        <f>Table1[[#This Row],[Qty]]*Table1[[#This Row],[Sales Price]]</f>
        <v>10000</v>
      </c>
      <c r="N484">
        <f>Table1[[#This Row],[Qty]]*Table1[[#This Row],[Cost]]</f>
        <v>9000</v>
      </c>
      <c r="O484">
        <f>Table1[[#This Row],[Revenue]]-Table1[[#This Row],[Total Cost]]</f>
        <v>1000</v>
      </c>
    </row>
    <row r="485" spans="1:15">
      <c r="A485" s="3">
        <v>484</v>
      </c>
      <c r="B485" s="4">
        <v>45210</v>
      </c>
      <c r="C485" s="4" t="str">
        <f>TEXT(Table1[[#This Row],[Date]],"YYYY")</f>
        <v>2023</v>
      </c>
      <c r="D485" s="4" t="str">
        <f>TEXT(Table1[[#This Row],[Date]],"MMM")</f>
        <v>Oct</v>
      </c>
      <c r="E485" s="5" t="s">
        <v>24</v>
      </c>
      <c r="F485" s="3" t="s">
        <v>18</v>
      </c>
      <c r="G485" s="3" t="s">
        <v>27</v>
      </c>
      <c r="H485" s="3" t="s">
        <v>28</v>
      </c>
      <c r="I485" s="3">
        <v>1</v>
      </c>
      <c r="J485" s="3">
        <v>3870</v>
      </c>
      <c r="K485" s="3">
        <v>4300</v>
      </c>
      <c r="L485" s="3">
        <v>5</v>
      </c>
      <c r="M485">
        <f>Table1[[#This Row],[Qty]]*Table1[[#This Row],[Sales Price]]</f>
        <v>21500</v>
      </c>
      <c r="N485">
        <f>Table1[[#This Row],[Qty]]*Table1[[#This Row],[Cost]]</f>
        <v>19350</v>
      </c>
      <c r="O485">
        <f>Table1[[#This Row],[Revenue]]-Table1[[#This Row],[Total Cost]]</f>
        <v>2150</v>
      </c>
    </row>
    <row r="486" spans="1:15">
      <c r="A486" s="3">
        <v>485</v>
      </c>
      <c r="B486" s="4">
        <v>45210</v>
      </c>
      <c r="C486" s="4" t="str">
        <f>TEXT(Table1[[#This Row],[Date]],"YYYY")</f>
        <v>2023</v>
      </c>
      <c r="D486" s="4" t="str">
        <f>TEXT(Table1[[#This Row],[Date]],"MMM")</f>
        <v>Oct</v>
      </c>
      <c r="E486" s="5" t="s">
        <v>40</v>
      </c>
      <c r="F486" s="3" t="s">
        <v>18</v>
      </c>
      <c r="G486" s="3" t="s">
        <v>32</v>
      </c>
      <c r="H486" s="3" t="s">
        <v>28</v>
      </c>
      <c r="I486" s="3">
        <v>1</v>
      </c>
      <c r="J486" s="3">
        <v>8640</v>
      </c>
      <c r="K486" s="3">
        <v>9600</v>
      </c>
      <c r="L486" s="3">
        <v>7</v>
      </c>
      <c r="M486">
        <f>Table1[[#This Row],[Qty]]*Table1[[#This Row],[Sales Price]]</f>
        <v>67200</v>
      </c>
      <c r="N486">
        <f>Table1[[#This Row],[Qty]]*Table1[[#This Row],[Cost]]</f>
        <v>60480</v>
      </c>
      <c r="O486">
        <f>Table1[[#This Row],[Revenue]]-Table1[[#This Row],[Total Cost]]</f>
        <v>6720</v>
      </c>
    </row>
    <row r="487" spans="1:15">
      <c r="A487" s="3">
        <v>486</v>
      </c>
      <c r="B487" s="4">
        <v>45210</v>
      </c>
      <c r="C487" s="4" t="str">
        <f>TEXT(Table1[[#This Row],[Date]],"YYYY")</f>
        <v>2023</v>
      </c>
      <c r="D487" s="4" t="str">
        <f>TEXT(Table1[[#This Row],[Date]],"MMM")</f>
        <v>Oct</v>
      </c>
      <c r="E487" s="5" t="s">
        <v>22</v>
      </c>
      <c r="F487" s="3" t="s">
        <v>18</v>
      </c>
      <c r="G487" s="3" t="s">
        <v>27</v>
      </c>
      <c r="H487" s="3" t="s">
        <v>28</v>
      </c>
      <c r="I487" s="3">
        <v>1</v>
      </c>
      <c r="J487" s="3">
        <v>8280</v>
      </c>
      <c r="K487" s="3">
        <v>9200</v>
      </c>
      <c r="L487" s="3">
        <v>4</v>
      </c>
      <c r="M487">
        <f>Table1[[#This Row],[Qty]]*Table1[[#This Row],[Sales Price]]</f>
        <v>36800</v>
      </c>
      <c r="N487">
        <f>Table1[[#This Row],[Qty]]*Table1[[#This Row],[Cost]]</f>
        <v>33120</v>
      </c>
      <c r="O487">
        <f>Table1[[#This Row],[Revenue]]-Table1[[#This Row],[Total Cost]]</f>
        <v>3680</v>
      </c>
    </row>
    <row r="488" spans="1:15">
      <c r="A488" s="3">
        <v>487</v>
      </c>
      <c r="B488" s="4">
        <v>45210</v>
      </c>
      <c r="C488" s="4" t="str">
        <f>TEXT(Table1[[#This Row],[Date]],"YYYY")</f>
        <v>2023</v>
      </c>
      <c r="D488" s="4" t="str">
        <f>TEXT(Table1[[#This Row],[Date]],"MMM")</f>
        <v>Oct</v>
      </c>
      <c r="E488" s="5" t="s">
        <v>58</v>
      </c>
      <c r="F488" s="3" t="s">
        <v>18</v>
      </c>
      <c r="G488" s="3" t="s">
        <v>30</v>
      </c>
      <c r="H488" s="3" t="s">
        <v>28</v>
      </c>
      <c r="I488" s="3">
        <v>1</v>
      </c>
      <c r="J488" s="3">
        <v>4950</v>
      </c>
      <c r="K488" s="3">
        <v>5500</v>
      </c>
      <c r="L488" s="3">
        <v>8</v>
      </c>
      <c r="M488">
        <f>Table1[[#This Row],[Qty]]*Table1[[#This Row],[Sales Price]]</f>
        <v>44000</v>
      </c>
      <c r="N488">
        <f>Table1[[#This Row],[Qty]]*Table1[[#This Row],[Cost]]</f>
        <v>39600</v>
      </c>
      <c r="O488">
        <f>Table1[[#This Row],[Revenue]]-Table1[[#This Row],[Total Cost]]</f>
        <v>4400</v>
      </c>
    </row>
    <row r="489" spans="1:15">
      <c r="A489" s="3">
        <v>488</v>
      </c>
      <c r="B489" s="4">
        <v>45210</v>
      </c>
      <c r="C489" s="4" t="str">
        <f>TEXT(Table1[[#This Row],[Date]],"YYYY")</f>
        <v>2023</v>
      </c>
      <c r="D489" s="4" t="str">
        <f>TEXT(Table1[[#This Row],[Date]],"MMM")</f>
        <v>Oct</v>
      </c>
      <c r="E489" s="5" t="s">
        <v>39</v>
      </c>
      <c r="F489" s="3" t="s">
        <v>18</v>
      </c>
      <c r="G489" s="3" t="s">
        <v>32</v>
      </c>
      <c r="H489" s="3" t="s">
        <v>28</v>
      </c>
      <c r="I489" s="3">
        <v>1</v>
      </c>
      <c r="J489" s="3">
        <v>3150</v>
      </c>
      <c r="K489" s="3">
        <v>3500</v>
      </c>
      <c r="L489" s="3">
        <v>8</v>
      </c>
      <c r="M489">
        <f>Table1[[#This Row],[Qty]]*Table1[[#This Row],[Sales Price]]</f>
        <v>28000</v>
      </c>
      <c r="N489">
        <f>Table1[[#This Row],[Qty]]*Table1[[#This Row],[Cost]]</f>
        <v>25200</v>
      </c>
      <c r="O489">
        <f>Table1[[#This Row],[Revenue]]-Table1[[#This Row],[Total Cost]]</f>
        <v>2800</v>
      </c>
    </row>
    <row r="490" spans="1:15">
      <c r="A490" s="3">
        <v>489</v>
      </c>
      <c r="B490" s="4">
        <v>45210</v>
      </c>
      <c r="C490" s="4" t="str">
        <f>TEXT(Table1[[#This Row],[Date]],"YYYY")</f>
        <v>2023</v>
      </c>
      <c r="D490" s="4" t="str">
        <f>TEXT(Table1[[#This Row],[Date]],"MMM")</f>
        <v>Oct</v>
      </c>
      <c r="E490" s="5" t="s">
        <v>22</v>
      </c>
      <c r="F490" s="3" t="s">
        <v>18</v>
      </c>
      <c r="G490" s="3" t="s">
        <v>34</v>
      </c>
      <c r="H490" s="3" t="s">
        <v>28</v>
      </c>
      <c r="I490" s="3">
        <v>1</v>
      </c>
      <c r="J490" s="3">
        <v>2700</v>
      </c>
      <c r="K490" s="3">
        <v>3000</v>
      </c>
      <c r="L490" s="3">
        <v>9</v>
      </c>
      <c r="M490">
        <f>Table1[[#This Row],[Qty]]*Table1[[#This Row],[Sales Price]]</f>
        <v>27000</v>
      </c>
      <c r="N490">
        <f>Table1[[#This Row],[Qty]]*Table1[[#This Row],[Cost]]</f>
        <v>24300</v>
      </c>
      <c r="O490">
        <f>Table1[[#This Row],[Revenue]]-Table1[[#This Row],[Total Cost]]</f>
        <v>2700</v>
      </c>
    </row>
    <row r="491" spans="1:15">
      <c r="A491" s="3">
        <v>490</v>
      </c>
      <c r="B491" s="4">
        <v>45210</v>
      </c>
      <c r="C491" s="4" t="str">
        <f>TEXT(Table1[[#This Row],[Date]],"YYYY")</f>
        <v>2023</v>
      </c>
      <c r="D491" s="4" t="str">
        <f>TEXT(Table1[[#This Row],[Date]],"MMM")</f>
        <v>Oct</v>
      </c>
      <c r="E491" s="5" t="s">
        <v>14</v>
      </c>
      <c r="F491" s="3" t="s">
        <v>18</v>
      </c>
      <c r="G491" s="3" t="s">
        <v>41</v>
      </c>
      <c r="H491" s="3" t="s">
        <v>28</v>
      </c>
      <c r="I491" s="3"/>
      <c r="J491" s="3">
        <v>4050</v>
      </c>
      <c r="K491" s="3">
        <v>4500</v>
      </c>
      <c r="L491" s="3">
        <v>2</v>
      </c>
      <c r="M491">
        <f>Table1[[#This Row],[Qty]]*Table1[[#This Row],[Sales Price]]</f>
        <v>9000</v>
      </c>
      <c r="N491">
        <f>Table1[[#This Row],[Qty]]*Table1[[#This Row],[Cost]]</f>
        <v>8100</v>
      </c>
      <c r="O491">
        <f>Table1[[#This Row],[Revenue]]-Table1[[#This Row],[Total Cost]]</f>
        <v>900</v>
      </c>
    </row>
    <row r="492" spans="1:15">
      <c r="A492" s="3">
        <v>491</v>
      </c>
      <c r="B492" s="4">
        <v>45210</v>
      </c>
      <c r="C492" s="4" t="str">
        <f>TEXT(Table1[[#This Row],[Date]],"YYYY")</f>
        <v>2023</v>
      </c>
      <c r="D492" s="4" t="str">
        <f>TEXT(Table1[[#This Row],[Date]],"MMM")</f>
        <v>Oct</v>
      </c>
      <c r="E492" s="5" t="s">
        <v>39</v>
      </c>
      <c r="F492" s="3" t="s">
        <v>18</v>
      </c>
      <c r="G492" s="3" t="s">
        <v>27</v>
      </c>
      <c r="H492" s="3" t="s">
        <v>28</v>
      </c>
      <c r="I492" s="3"/>
      <c r="J492" s="3">
        <v>53100</v>
      </c>
      <c r="K492" s="3">
        <v>59000</v>
      </c>
      <c r="L492" s="3">
        <v>1</v>
      </c>
      <c r="M492">
        <f>Table1[[#This Row],[Qty]]*Table1[[#This Row],[Sales Price]]</f>
        <v>59000</v>
      </c>
      <c r="N492">
        <f>Table1[[#This Row],[Qty]]*Table1[[#This Row],[Cost]]</f>
        <v>53100</v>
      </c>
      <c r="O492">
        <f>Table1[[#This Row],[Revenue]]-Table1[[#This Row],[Total Cost]]</f>
        <v>5900</v>
      </c>
    </row>
    <row r="493" spans="1:15">
      <c r="A493" s="3">
        <v>492</v>
      </c>
      <c r="B493" s="4">
        <v>45157</v>
      </c>
      <c r="C493" s="4" t="str">
        <f>TEXT(Table1[[#This Row],[Date]],"YYYY")</f>
        <v>2023</v>
      </c>
      <c r="D493" s="4" t="str">
        <f>TEXT(Table1[[#This Row],[Date]],"MMM")</f>
        <v>Aug</v>
      </c>
      <c r="E493" s="5" t="s">
        <v>22</v>
      </c>
      <c r="F493" s="3" t="s">
        <v>18</v>
      </c>
      <c r="G493" s="3" t="s">
        <v>32</v>
      </c>
      <c r="H493" s="3" t="s">
        <v>28</v>
      </c>
      <c r="I493" s="3">
        <v>1</v>
      </c>
      <c r="J493" s="3">
        <v>88200</v>
      </c>
      <c r="K493" s="3">
        <v>98000</v>
      </c>
      <c r="L493" s="3">
        <v>22</v>
      </c>
      <c r="M493">
        <f>Table1[[#This Row],[Qty]]*Table1[[#This Row],[Sales Price]]</f>
        <v>2156000</v>
      </c>
      <c r="N493">
        <f>Table1[[#This Row],[Qty]]*Table1[[#This Row],[Cost]]</f>
        <v>1940400</v>
      </c>
      <c r="O493">
        <f>Table1[[#This Row],[Revenue]]-Table1[[#This Row],[Total Cost]]</f>
        <v>215600</v>
      </c>
    </row>
    <row r="494" spans="1:15">
      <c r="A494" s="3">
        <v>493</v>
      </c>
      <c r="B494" s="4">
        <v>45158</v>
      </c>
      <c r="C494" s="4" t="str">
        <f>TEXT(Table1[[#This Row],[Date]],"YYYY")</f>
        <v>2023</v>
      </c>
      <c r="D494" s="4" t="str">
        <f>TEXT(Table1[[#This Row],[Date]],"MMM")</f>
        <v>Aug</v>
      </c>
      <c r="E494" s="5" t="s">
        <v>33</v>
      </c>
      <c r="F494" s="3" t="s">
        <v>18</v>
      </c>
      <c r="G494" s="3" t="s">
        <v>42</v>
      </c>
      <c r="H494" s="3" t="s">
        <v>43</v>
      </c>
      <c r="I494" s="3">
        <v>1</v>
      </c>
      <c r="J494" s="3">
        <v>38250</v>
      </c>
      <c r="K494" s="3">
        <v>42500</v>
      </c>
      <c r="L494" s="3">
        <v>8</v>
      </c>
      <c r="M494">
        <f>Table1[[#This Row],[Qty]]*Table1[[#This Row],[Sales Price]]</f>
        <v>340000</v>
      </c>
      <c r="N494">
        <f>Table1[[#This Row],[Qty]]*Table1[[#This Row],[Cost]]</f>
        <v>306000</v>
      </c>
      <c r="O494">
        <f>Table1[[#This Row],[Revenue]]-Table1[[#This Row],[Total Cost]]</f>
        <v>34000</v>
      </c>
    </row>
    <row r="495" spans="1:15">
      <c r="A495" s="3">
        <v>494</v>
      </c>
      <c r="B495" s="4">
        <v>45210</v>
      </c>
      <c r="C495" s="4" t="str">
        <f>TEXT(Table1[[#This Row],[Date]],"YYYY")</f>
        <v>2023</v>
      </c>
      <c r="D495" s="4" t="str">
        <f>TEXT(Table1[[#This Row],[Date]],"MMM")</f>
        <v>Oct</v>
      </c>
      <c r="E495" s="5" t="s">
        <v>31</v>
      </c>
      <c r="F495" s="3" t="s">
        <v>18</v>
      </c>
      <c r="G495" s="3" t="s">
        <v>44</v>
      </c>
      <c r="H495" s="3" t="s">
        <v>43</v>
      </c>
      <c r="I495" s="3">
        <v>1</v>
      </c>
      <c r="J495" s="3">
        <v>2700</v>
      </c>
      <c r="K495" s="3">
        <v>3000</v>
      </c>
      <c r="L495" s="3">
        <v>7</v>
      </c>
      <c r="M495">
        <f>Table1[[#This Row],[Qty]]*Table1[[#This Row],[Sales Price]]</f>
        <v>21000</v>
      </c>
      <c r="N495">
        <f>Table1[[#This Row],[Qty]]*Table1[[#This Row],[Cost]]</f>
        <v>18900</v>
      </c>
      <c r="O495">
        <f>Table1[[#This Row],[Revenue]]-Table1[[#This Row],[Total Cost]]</f>
        <v>2100</v>
      </c>
    </row>
    <row r="496" spans="1:15">
      <c r="A496" s="3">
        <v>495</v>
      </c>
      <c r="B496" s="4">
        <v>45210</v>
      </c>
      <c r="C496" s="4" t="str">
        <f>TEXT(Table1[[#This Row],[Date]],"YYYY")</f>
        <v>2023</v>
      </c>
      <c r="D496" s="4" t="str">
        <f>TEXT(Table1[[#This Row],[Date]],"MMM")</f>
        <v>Oct</v>
      </c>
      <c r="E496" s="5" t="s">
        <v>53</v>
      </c>
      <c r="F496" s="3" t="s">
        <v>18</v>
      </c>
      <c r="G496" s="3" t="s">
        <v>45</v>
      </c>
      <c r="H496" s="3" t="s">
        <v>43</v>
      </c>
      <c r="I496" s="3">
        <v>0</v>
      </c>
      <c r="J496" s="3">
        <v>23850</v>
      </c>
      <c r="K496" s="3">
        <v>26500</v>
      </c>
      <c r="L496" s="3">
        <v>56</v>
      </c>
      <c r="M496">
        <f>Table1[[#This Row],[Qty]]*Table1[[#This Row],[Sales Price]]</f>
        <v>1484000</v>
      </c>
      <c r="N496">
        <f>Table1[[#This Row],[Qty]]*Table1[[#This Row],[Cost]]</f>
        <v>1335600</v>
      </c>
      <c r="O496">
        <f>Table1[[#This Row],[Revenue]]-Table1[[#This Row],[Total Cost]]</f>
        <v>148400</v>
      </c>
    </row>
    <row r="497" spans="1:15">
      <c r="A497" s="3">
        <v>496</v>
      </c>
      <c r="B497" s="4">
        <v>45210</v>
      </c>
      <c r="C497" s="4" t="str">
        <f>TEXT(Table1[[#This Row],[Date]],"YYYY")</f>
        <v>2023</v>
      </c>
      <c r="D497" s="4" t="str">
        <f>TEXT(Table1[[#This Row],[Date]],"MMM")</f>
        <v>Oct</v>
      </c>
      <c r="E497" s="5" t="s">
        <v>50</v>
      </c>
      <c r="F497" s="3" t="s">
        <v>18</v>
      </c>
      <c r="G497" s="3" t="s">
        <v>47</v>
      </c>
      <c r="H497" s="3" t="s">
        <v>43</v>
      </c>
      <c r="I497" s="3">
        <v>0</v>
      </c>
      <c r="J497" s="3">
        <v>24750</v>
      </c>
      <c r="K497" s="3">
        <v>27500</v>
      </c>
      <c r="L497" s="3">
        <v>10</v>
      </c>
      <c r="M497">
        <f>Table1[[#This Row],[Qty]]*Table1[[#This Row],[Sales Price]]</f>
        <v>275000</v>
      </c>
      <c r="N497">
        <f>Table1[[#This Row],[Qty]]*Table1[[#This Row],[Cost]]</f>
        <v>247500</v>
      </c>
      <c r="O497">
        <f>Table1[[#This Row],[Revenue]]-Table1[[#This Row],[Total Cost]]</f>
        <v>27500</v>
      </c>
    </row>
    <row r="498" spans="1:15">
      <c r="A498" s="3">
        <v>497</v>
      </c>
      <c r="B498" s="4">
        <v>45210</v>
      </c>
      <c r="C498" s="4" t="str">
        <f>TEXT(Table1[[#This Row],[Date]],"YYYY")</f>
        <v>2023</v>
      </c>
      <c r="D498" s="4" t="str">
        <f>TEXT(Table1[[#This Row],[Date]],"MMM")</f>
        <v>Oct</v>
      </c>
      <c r="E498" s="5" t="s">
        <v>57</v>
      </c>
      <c r="F498" s="3" t="s">
        <v>18</v>
      </c>
      <c r="G498" s="3" t="s">
        <v>48</v>
      </c>
      <c r="H498" s="3" t="s">
        <v>43</v>
      </c>
      <c r="I498" s="3">
        <v>1</v>
      </c>
      <c r="J498" s="3">
        <v>44550</v>
      </c>
      <c r="K498" s="3">
        <v>49500</v>
      </c>
      <c r="L498" s="3">
        <v>9</v>
      </c>
      <c r="M498">
        <f>Table1[[#This Row],[Qty]]*Table1[[#This Row],[Sales Price]]</f>
        <v>445500</v>
      </c>
      <c r="N498">
        <f>Table1[[#This Row],[Qty]]*Table1[[#This Row],[Cost]]</f>
        <v>400950</v>
      </c>
      <c r="O498">
        <f>Table1[[#This Row],[Revenue]]-Table1[[#This Row],[Total Cost]]</f>
        <v>44550</v>
      </c>
    </row>
    <row r="499" spans="1:15">
      <c r="A499" s="3">
        <v>498</v>
      </c>
      <c r="B499" s="4">
        <v>45163</v>
      </c>
      <c r="C499" s="4" t="str">
        <f>TEXT(Table1[[#This Row],[Date]],"YYYY")</f>
        <v>2023</v>
      </c>
      <c r="D499" s="4" t="str">
        <f>TEXT(Table1[[#This Row],[Date]],"MMM")</f>
        <v>Aug</v>
      </c>
      <c r="E499" s="5" t="s">
        <v>39</v>
      </c>
      <c r="F499" s="3" t="s">
        <v>18</v>
      </c>
      <c r="G499" s="3" t="s">
        <v>42</v>
      </c>
      <c r="H499" s="3" t="s">
        <v>43</v>
      </c>
      <c r="I499" s="3"/>
      <c r="J499" s="3">
        <v>9000</v>
      </c>
      <c r="K499" s="3">
        <v>10000</v>
      </c>
      <c r="L499" s="3">
        <v>27</v>
      </c>
      <c r="M499">
        <f>Table1[[#This Row],[Qty]]*Table1[[#This Row],[Sales Price]]</f>
        <v>270000</v>
      </c>
      <c r="N499">
        <f>Table1[[#This Row],[Qty]]*Table1[[#This Row],[Cost]]</f>
        <v>243000</v>
      </c>
      <c r="O499">
        <f>Table1[[#This Row],[Revenue]]-Table1[[#This Row],[Total Cost]]</f>
        <v>27000</v>
      </c>
    </row>
    <row r="500" spans="1:15">
      <c r="A500" s="3">
        <v>499</v>
      </c>
      <c r="B500" s="4">
        <v>45164</v>
      </c>
      <c r="C500" s="4" t="str">
        <f>TEXT(Table1[[#This Row],[Date]],"YYYY")</f>
        <v>2023</v>
      </c>
      <c r="D500" s="4" t="str">
        <f>TEXT(Table1[[#This Row],[Date]],"MMM")</f>
        <v>Aug</v>
      </c>
      <c r="E500" s="5" t="s">
        <v>56</v>
      </c>
      <c r="F500" s="3" t="s">
        <v>18</v>
      </c>
      <c r="G500" s="3" t="s">
        <v>44</v>
      </c>
      <c r="H500" s="3" t="s">
        <v>43</v>
      </c>
      <c r="I500" s="3"/>
      <c r="J500" s="3">
        <v>8640</v>
      </c>
      <c r="K500" s="3">
        <v>9600</v>
      </c>
      <c r="L500" s="3">
        <v>15</v>
      </c>
      <c r="M500">
        <f>Table1[[#This Row],[Qty]]*Table1[[#This Row],[Sales Price]]</f>
        <v>144000</v>
      </c>
      <c r="N500">
        <f>Table1[[#This Row],[Qty]]*Table1[[#This Row],[Cost]]</f>
        <v>129600</v>
      </c>
      <c r="O500">
        <f>Table1[[#This Row],[Revenue]]-Table1[[#This Row],[Total Cost]]</f>
        <v>14400</v>
      </c>
    </row>
    <row r="501" spans="1:15">
      <c r="A501" s="3">
        <v>500</v>
      </c>
      <c r="B501" s="4">
        <v>45165</v>
      </c>
      <c r="C501" s="4" t="str">
        <f>TEXT(Table1[[#This Row],[Date]],"YYYY")</f>
        <v>2023</v>
      </c>
      <c r="D501" s="4" t="str">
        <f>TEXT(Table1[[#This Row],[Date]],"MMM")</f>
        <v>Aug</v>
      </c>
      <c r="E501" s="5" t="s">
        <v>58</v>
      </c>
      <c r="F501" s="3" t="s">
        <v>18</v>
      </c>
      <c r="G501" s="3" t="s">
        <v>45</v>
      </c>
      <c r="H501" s="3" t="s">
        <v>43</v>
      </c>
      <c r="I501" s="3">
        <v>1</v>
      </c>
      <c r="J501" s="3">
        <v>9000</v>
      </c>
      <c r="K501" s="3">
        <v>10000</v>
      </c>
      <c r="L501" s="3">
        <v>3</v>
      </c>
      <c r="M501">
        <f>Table1[[#This Row],[Qty]]*Table1[[#This Row],[Sales Price]]</f>
        <v>30000</v>
      </c>
      <c r="N501">
        <f>Table1[[#This Row],[Qty]]*Table1[[#This Row],[Cost]]</f>
        <v>27000</v>
      </c>
      <c r="O501">
        <f>Table1[[#This Row],[Revenue]]-Table1[[#This Row],[Total Cost]]</f>
        <v>3000</v>
      </c>
    </row>
    <row r="502" spans="1:15">
      <c r="A502" s="3">
        <v>501</v>
      </c>
      <c r="B502" s="4">
        <v>45166</v>
      </c>
      <c r="C502" s="4" t="str">
        <f>TEXT(Table1[[#This Row],[Date]],"YYYY")</f>
        <v>2023</v>
      </c>
      <c r="D502" s="4" t="str">
        <f>TEXT(Table1[[#This Row],[Date]],"MMM")</f>
        <v>Aug</v>
      </c>
      <c r="E502" s="5" t="s">
        <v>56</v>
      </c>
      <c r="F502" s="3" t="s">
        <v>18</v>
      </c>
      <c r="G502" s="3" t="s">
        <v>47</v>
      </c>
      <c r="H502" s="3" t="s">
        <v>43</v>
      </c>
      <c r="I502" s="3"/>
      <c r="J502" s="3">
        <v>3870</v>
      </c>
      <c r="K502" s="3">
        <v>4300</v>
      </c>
      <c r="L502" s="3">
        <v>9</v>
      </c>
      <c r="M502">
        <f>Table1[[#This Row],[Qty]]*Table1[[#This Row],[Sales Price]]</f>
        <v>38700</v>
      </c>
      <c r="N502">
        <f>Table1[[#This Row],[Qty]]*Table1[[#This Row],[Cost]]</f>
        <v>34830</v>
      </c>
      <c r="O502">
        <f>Table1[[#This Row],[Revenue]]-Table1[[#This Row],[Total Cost]]</f>
        <v>3870</v>
      </c>
    </row>
    <row r="503" spans="1:15">
      <c r="A503" s="3">
        <v>502</v>
      </c>
      <c r="B503" s="4">
        <v>45167</v>
      </c>
      <c r="C503" s="4" t="str">
        <f>TEXT(Table1[[#This Row],[Date]],"YYYY")</f>
        <v>2023</v>
      </c>
      <c r="D503" s="4" t="str">
        <f>TEXT(Table1[[#This Row],[Date]],"MMM")</f>
        <v>Aug</v>
      </c>
      <c r="E503" s="5" t="s">
        <v>22</v>
      </c>
      <c r="F503" s="3" t="s">
        <v>18</v>
      </c>
      <c r="G503" s="3" t="s">
        <v>48</v>
      </c>
      <c r="H503" s="3" t="s">
        <v>43</v>
      </c>
      <c r="I503" s="3"/>
      <c r="J503" s="3">
        <v>8280</v>
      </c>
      <c r="K503" s="3">
        <v>9200</v>
      </c>
      <c r="L503" s="3">
        <v>22</v>
      </c>
      <c r="M503">
        <f>Table1[[#This Row],[Qty]]*Table1[[#This Row],[Sales Price]]</f>
        <v>202400</v>
      </c>
      <c r="N503">
        <f>Table1[[#This Row],[Qty]]*Table1[[#This Row],[Cost]]</f>
        <v>182160</v>
      </c>
      <c r="O503">
        <f>Table1[[#This Row],[Revenue]]-Table1[[#This Row],[Total Cost]]</f>
        <v>20240</v>
      </c>
    </row>
    <row r="504" spans="1:15">
      <c r="A504" s="3">
        <v>503</v>
      </c>
      <c r="B504" s="4">
        <v>45168</v>
      </c>
      <c r="C504" s="4" t="str">
        <f>TEXT(Table1[[#This Row],[Date]],"YYYY")</f>
        <v>2023</v>
      </c>
      <c r="D504" s="4" t="str">
        <f>TEXT(Table1[[#This Row],[Date]],"MMM")</f>
        <v>Aug</v>
      </c>
      <c r="E504" s="5" t="s">
        <v>14</v>
      </c>
      <c r="F504" s="3" t="s">
        <v>18</v>
      </c>
      <c r="G504" s="3" t="s">
        <v>48</v>
      </c>
      <c r="H504" s="3" t="s">
        <v>43</v>
      </c>
      <c r="I504" s="3"/>
      <c r="J504" s="3">
        <v>4950</v>
      </c>
      <c r="K504" s="3">
        <v>5500</v>
      </c>
      <c r="L504" s="3">
        <v>16</v>
      </c>
      <c r="M504">
        <f>Table1[[#This Row],[Qty]]*Table1[[#This Row],[Sales Price]]</f>
        <v>88000</v>
      </c>
      <c r="N504">
        <f>Table1[[#This Row],[Qty]]*Table1[[#This Row],[Cost]]</f>
        <v>79200</v>
      </c>
      <c r="O504">
        <f>Table1[[#This Row],[Revenue]]-Table1[[#This Row],[Total Cost]]</f>
        <v>8800</v>
      </c>
    </row>
    <row r="505" spans="1:15">
      <c r="A505" s="3">
        <v>504</v>
      </c>
      <c r="B505" s="4">
        <v>45169</v>
      </c>
      <c r="C505" s="4" t="str">
        <f>TEXT(Table1[[#This Row],[Date]],"YYYY")</f>
        <v>2023</v>
      </c>
      <c r="D505" s="4" t="str">
        <f>TEXT(Table1[[#This Row],[Date]],"MMM")</f>
        <v>Aug</v>
      </c>
      <c r="E505" s="5" t="s">
        <v>22</v>
      </c>
      <c r="F505" s="3" t="s">
        <v>61</v>
      </c>
      <c r="G505" s="3" t="s">
        <v>42</v>
      </c>
      <c r="H505" s="3" t="s">
        <v>43</v>
      </c>
      <c r="I505" s="3">
        <v>1</v>
      </c>
      <c r="J505" s="3">
        <v>3150</v>
      </c>
      <c r="K505" s="3">
        <v>3500</v>
      </c>
      <c r="L505" s="3">
        <v>6</v>
      </c>
      <c r="M505">
        <f>Table1[[#This Row],[Qty]]*Table1[[#This Row],[Sales Price]]</f>
        <v>21000</v>
      </c>
      <c r="N505">
        <f>Table1[[#This Row],[Qty]]*Table1[[#This Row],[Cost]]</f>
        <v>18900</v>
      </c>
      <c r="O505">
        <f>Table1[[#This Row],[Revenue]]-Table1[[#This Row],[Total Cost]]</f>
        <v>2100</v>
      </c>
    </row>
    <row r="506" spans="1:15">
      <c r="A506" s="3">
        <v>505</v>
      </c>
      <c r="B506" s="4">
        <v>45170</v>
      </c>
      <c r="C506" s="4" t="str">
        <f>TEXT(Table1[[#This Row],[Date]],"YYYY")</f>
        <v>2023</v>
      </c>
      <c r="D506" s="4" t="str">
        <f>TEXT(Table1[[#This Row],[Date]],"MMM")</f>
        <v>Sep</v>
      </c>
      <c r="E506" s="5" t="s">
        <v>31</v>
      </c>
      <c r="F506" s="3" t="s">
        <v>18</v>
      </c>
      <c r="G506" s="3" t="s">
        <v>27</v>
      </c>
      <c r="H506" s="3" t="s">
        <v>28</v>
      </c>
      <c r="I506" s="3">
        <v>1</v>
      </c>
      <c r="J506" s="3">
        <v>2700</v>
      </c>
      <c r="K506" s="3">
        <v>3000</v>
      </c>
      <c r="L506" s="3">
        <v>3</v>
      </c>
      <c r="M506">
        <f>Table1[[#This Row],[Qty]]*Table1[[#This Row],[Sales Price]]</f>
        <v>9000</v>
      </c>
      <c r="N506">
        <f>Table1[[#This Row],[Qty]]*Table1[[#This Row],[Cost]]</f>
        <v>8100</v>
      </c>
      <c r="O506">
        <f>Table1[[#This Row],[Revenue]]-Table1[[#This Row],[Total Cost]]</f>
        <v>900</v>
      </c>
    </row>
    <row r="507" spans="1:15">
      <c r="A507" s="3">
        <v>506</v>
      </c>
      <c r="B507" s="4">
        <v>45171</v>
      </c>
      <c r="C507" s="4" t="str">
        <f>TEXT(Table1[[#This Row],[Date]],"YYYY")</f>
        <v>2023</v>
      </c>
      <c r="D507" s="4" t="str">
        <f>TEXT(Table1[[#This Row],[Date]],"MMM")</f>
        <v>Sep</v>
      </c>
      <c r="E507" s="5" t="s">
        <v>56</v>
      </c>
      <c r="F507" s="3" t="s">
        <v>15</v>
      </c>
      <c r="G507" s="3" t="s">
        <v>30</v>
      </c>
      <c r="H507" s="3" t="s">
        <v>28</v>
      </c>
      <c r="I507" s="3">
        <v>1</v>
      </c>
      <c r="J507" s="3">
        <v>4050</v>
      </c>
      <c r="K507" s="3">
        <v>4500</v>
      </c>
      <c r="L507" s="3">
        <v>5</v>
      </c>
      <c r="M507">
        <f>Table1[[#This Row],[Qty]]*Table1[[#This Row],[Sales Price]]</f>
        <v>22500</v>
      </c>
      <c r="N507">
        <f>Table1[[#This Row],[Qty]]*Table1[[#This Row],[Cost]]</f>
        <v>20250</v>
      </c>
      <c r="O507">
        <f>Table1[[#This Row],[Revenue]]-Table1[[#This Row],[Total Cost]]</f>
        <v>2250</v>
      </c>
    </row>
    <row r="508" spans="1:15">
      <c r="A508" s="3">
        <v>507</v>
      </c>
      <c r="B508" s="4">
        <v>45172</v>
      </c>
      <c r="C508" s="4" t="str">
        <f>TEXT(Table1[[#This Row],[Date]],"YYYY")</f>
        <v>2023</v>
      </c>
      <c r="D508" s="4" t="str">
        <f>TEXT(Table1[[#This Row],[Date]],"MMM")</f>
        <v>Sep</v>
      </c>
      <c r="E508" s="5" t="s">
        <v>39</v>
      </c>
      <c r="F508" s="3" t="s">
        <v>61</v>
      </c>
      <c r="G508" s="3" t="s">
        <v>32</v>
      </c>
      <c r="H508" s="3" t="s">
        <v>28</v>
      </c>
      <c r="I508" s="3">
        <v>1</v>
      </c>
      <c r="J508" s="3">
        <v>8280</v>
      </c>
      <c r="K508" s="3">
        <v>9200</v>
      </c>
      <c r="L508" s="3">
        <v>1</v>
      </c>
      <c r="M508">
        <f>Table1[[#This Row],[Qty]]*Table1[[#This Row],[Sales Price]]</f>
        <v>9200</v>
      </c>
      <c r="N508">
        <f>Table1[[#This Row],[Qty]]*Table1[[#This Row],[Cost]]</f>
        <v>8280</v>
      </c>
      <c r="O508">
        <f>Table1[[#This Row],[Revenue]]-Table1[[#This Row],[Total Cost]]</f>
        <v>920</v>
      </c>
    </row>
    <row r="509" spans="1:15">
      <c r="A509" s="3">
        <v>508</v>
      </c>
      <c r="B509" s="4">
        <v>45173</v>
      </c>
      <c r="C509" s="4" t="str">
        <f>TEXT(Table1[[#This Row],[Date]],"YYYY")</f>
        <v>2023</v>
      </c>
      <c r="D509" s="4" t="str">
        <f>TEXT(Table1[[#This Row],[Date]],"MMM")</f>
        <v>Sep</v>
      </c>
      <c r="E509" s="5" t="s">
        <v>33</v>
      </c>
      <c r="F509" s="3" t="s">
        <v>18</v>
      </c>
      <c r="G509" s="3" t="s">
        <v>34</v>
      </c>
      <c r="H509" s="3" t="s">
        <v>28</v>
      </c>
      <c r="I509" s="3">
        <v>1</v>
      </c>
      <c r="J509" s="3">
        <v>4950</v>
      </c>
      <c r="K509" s="3">
        <v>5500</v>
      </c>
      <c r="L509" s="3">
        <v>5</v>
      </c>
      <c r="M509">
        <f>Table1[[#This Row],[Qty]]*Table1[[#This Row],[Sales Price]]</f>
        <v>27500</v>
      </c>
      <c r="N509">
        <f>Table1[[#This Row],[Qty]]*Table1[[#This Row],[Cost]]</f>
        <v>24750</v>
      </c>
      <c r="O509">
        <f>Table1[[#This Row],[Revenue]]-Table1[[#This Row],[Total Cost]]</f>
        <v>2750</v>
      </c>
    </row>
    <row r="510" spans="1:15">
      <c r="A510" s="3">
        <v>509</v>
      </c>
      <c r="B510" s="4">
        <v>45174</v>
      </c>
      <c r="C510" s="4" t="str">
        <f>TEXT(Table1[[#This Row],[Date]],"YYYY")</f>
        <v>2023</v>
      </c>
      <c r="D510" s="4" t="str">
        <f>TEXT(Table1[[#This Row],[Date]],"MMM")</f>
        <v>Sep</v>
      </c>
      <c r="E510" s="5" t="s">
        <v>55</v>
      </c>
      <c r="F510" s="3" t="s">
        <v>15</v>
      </c>
      <c r="G510" s="3" t="s">
        <v>41</v>
      </c>
      <c r="H510" s="3" t="s">
        <v>28</v>
      </c>
      <c r="I510" s="3">
        <v>1</v>
      </c>
      <c r="J510" s="3">
        <v>3150</v>
      </c>
      <c r="K510" s="3">
        <v>3500</v>
      </c>
      <c r="L510" s="3">
        <v>7</v>
      </c>
      <c r="M510">
        <f>Table1[[#This Row],[Qty]]*Table1[[#This Row],[Sales Price]]</f>
        <v>24500</v>
      </c>
      <c r="N510">
        <f>Table1[[#This Row],[Qty]]*Table1[[#This Row],[Cost]]</f>
        <v>22050</v>
      </c>
      <c r="O510">
        <f>Table1[[#This Row],[Revenue]]-Table1[[#This Row],[Total Cost]]</f>
        <v>2450</v>
      </c>
    </row>
    <row r="511" spans="1:15">
      <c r="A511" s="3">
        <v>510</v>
      </c>
      <c r="B511" s="4">
        <v>45175</v>
      </c>
      <c r="C511" s="4" t="str">
        <f>TEXT(Table1[[#This Row],[Date]],"YYYY")</f>
        <v>2023</v>
      </c>
      <c r="D511" s="4" t="str">
        <f>TEXT(Table1[[#This Row],[Date]],"MMM")</f>
        <v>Sep</v>
      </c>
      <c r="E511" s="5" t="s">
        <v>24</v>
      </c>
      <c r="F511" s="3" t="s">
        <v>61</v>
      </c>
      <c r="G511" s="3" t="s">
        <v>27</v>
      </c>
      <c r="H511" s="3" t="s">
        <v>28</v>
      </c>
      <c r="I511" s="3">
        <v>1</v>
      </c>
      <c r="J511" s="3">
        <v>2700</v>
      </c>
      <c r="K511" s="3">
        <v>3000</v>
      </c>
      <c r="L511" s="3">
        <v>4</v>
      </c>
      <c r="M511">
        <f>Table1[[#This Row],[Qty]]*Table1[[#This Row],[Sales Price]]</f>
        <v>12000</v>
      </c>
      <c r="N511">
        <f>Table1[[#This Row],[Qty]]*Table1[[#This Row],[Cost]]</f>
        <v>10800</v>
      </c>
      <c r="O511">
        <f>Table1[[#This Row],[Revenue]]-Table1[[#This Row],[Total Cost]]</f>
        <v>1200</v>
      </c>
    </row>
    <row r="512" spans="1:15">
      <c r="A512" s="3">
        <v>511</v>
      </c>
      <c r="B512" s="4">
        <v>45176</v>
      </c>
      <c r="C512" s="4" t="str">
        <f>TEXT(Table1[[#This Row],[Date]],"YYYY")</f>
        <v>2023</v>
      </c>
      <c r="D512" s="4" t="str">
        <f>TEXT(Table1[[#This Row],[Date]],"MMM")</f>
        <v>Sep</v>
      </c>
      <c r="E512" s="5" t="s">
        <v>56</v>
      </c>
      <c r="F512" s="3" t="s">
        <v>18</v>
      </c>
      <c r="G512" s="3" t="s">
        <v>32</v>
      </c>
      <c r="H512" s="3" t="s">
        <v>28</v>
      </c>
      <c r="I512" s="3"/>
      <c r="J512" s="3">
        <v>4050</v>
      </c>
      <c r="K512" s="3">
        <v>4500</v>
      </c>
      <c r="L512" s="3">
        <v>8</v>
      </c>
      <c r="M512">
        <f>Table1[[#This Row],[Qty]]*Table1[[#This Row],[Sales Price]]</f>
        <v>36000</v>
      </c>
      <c r="N512">
        <f>Table1[[#This Row],[Qty]]*Table1[[#This Row],[Cost]]</f>
        <v>32400</v>
      </c>
      <c r="O512">
        <f>Table1[[#This Row],[Revenue]]-Table1[[#This Row],[Total Cost]]</f>
        <v>3600</v>
      </c>
    </row>
    <row r="513" spans="1:15">
      <c r="A513" s="3">
        <v>512</v>
      </c>
      <c r="B513" s="4">
        <v>45177</v>
      </c>
      <c r="C513" s="4" t="str">
        <f>TEXT(Table1[[#This Row],[Date]],"YYYY")</f>
        <v>2023</v>
      </c>
      <c r="D513" s="4" t="str">
        <f>TEXT(Table1[[#This Row],[Date]],"MMM")</f>
        <v>Sep</v>
      </c>
      <c r="E513" s="5" t="s">
        <v>24</v>
      </c>
      <c r="F513" s="3" t="s">
        <v>15</v>
      </c>
      <c r="G513" s="3" t="s">
        <v>27</v>
      </c>
      <c r="H513" s="3" t="s">
        <v>28</v>
      </c>
      <c r="I513" s="3"/>
      <c r="J513" s="3">
        <v>8280</v>
      </c>
      <c r="K513" s="3">
        <v>9200</v>
      </c>
      <c r="L513" s="3">
        <v>8</v>
      </c>
      <c r="M513">
        <f>Table1[[#This Row],[Qty]]*Table1[[#This Row],[Sales Price]]</f>
        <v>73600</v>
      </c>
      <c r="N513">
        <f>Table1[[#This Row],[Qty]]*Table1[[#This Row],[Cost]]</f>
        <v>66240</v>
      </c>
      <c r="O513">
        <f>Table1[[#This Row],[Revenue]]-Table1[[#This Row],[Total Cost]]</f>
        <v>7360</v>
      </c>
    </row>
    <row r="514" spans="1:15">
      <c r="A514" s="3">
        <v>513</v>
      </c>
      <c r="B514" s="4">
        <v>45178</v>
      </c>
      <c r="C514" s="4" t="str">
        <f>TEXT(Table1[[#This Row],[Date]],"YYYY")</f>
        <v>2023</v>
      </c>
      <c r="D514" s="4" t="str">
        <f>TEXT(Table1[[#This Row],[Date]],"MMM")</f>
        <v>Sep</v>
      </c>
      <c r="E514" s="5" t="s">
        <v>50</v>
      </c>
      <c r="F514" s="3" t="s">
        <v>61</v>
      </c>
      <c r="G514" s="3" t="s">
        <v>19</v>
      </c>
      <c r="H514" s="3" t="s">
        <v>17</v>
      </c>
      <c r="I514" s="3">
        <v>1</v>
      </c>
      <c r="J514" s="3">
        <v>4950</v>
      </c>
      <c r="K514" s="3">
        <v>5500</v>
      </c>
      <c r="L514" s="3">
        <v>9</v>
      </c>
      <c r="M514">
        <f>Table1[[#This Row],[Qty]]*Table1[[#This Row],[Sales Price]]</f>
        <v>49500</v>
      </c>
      <c r="N514">
        <f>Table1[[#This Row],[Qty]]*Table1[[#This Row],[Cost]]</f>
        <v>44550</v>
      </c>
      <c r="O514">
        <f>Table1[[#This Row],[Revenue]]-Table1[[#This Row],[Total Cost]]</f>
        <v>4950</v>
      </c>
    </row>
    <row r="515" spans="1:15">
      <c r="A515" s="3">
        <v>514</v>
      </c>
      <c r="B515" s="4">
        <v>45179</v>
      </c>
      <c r="C515" s="4" t="str">
        <f>TEXT(Table1[[#This Row],[Date]],"YYYY")</f>
        <v>2023</v>
      </c>
      <c r="D515" s="4" t="str">
        <f>TEXT(Table1[[#This Row],[Date]],"MMM")</f>
        <v>Sep</v>
      </c>
      <c r="E515" s="5" t="s">
        <v>22</v>
      </c>
      <c r="F515" s="3" t="s">
        <v>18</v>
      </c>
      <c r="G515" s="3" t="s">
        <v>21</v>
      </c>
      <c r="H515" s="3" t="s">
        <v>17</v>
      </c>
      <c r="I515" s="3">
        <v>1</v>
      </c>
      <c r="J515" s="3">
        <v>3150</v>
      </c>
      <c r="K515" s="3">
        <v>3500</v>
      </c>
      <c r="L515" s="3">
        <v>2</v>
      </c>
      <c r="M515">
        <f>Table1[[#This Row],[Qty]]*Table1[[#This Row],[Sales Price]]</f>
        <v>7000</v>
      </c>
      <c r="N515">
        <f>Table1[[#This Row],[Qty]]*Table1[[#This Row],[Cost]]</f>
        <v>6300</v>
      </c>
      <c r="O515">
        <f>Table1[[#This Row],[Revenue]]-Table1[[#This Row],[Total Cost]]</f>
        <v>700</v>
      </c>
    </row>
    <row r="516" spans="1:15">
      <c r="A516" s="3">
        <v>515</v>
      </c>
      <c r="B516" s="4">
        <v>45180</v>
      </c>
      <c r="C516" s="4" t="str">
        <f>TEXT(Table1[[#This Row],[Date]],"YYYY")</f>
        <v>2023</v>
      </c>
      <c r="D516" s="4" t="str">
        <f>TEXT(Table1[[#This Row],[Date]],"MMM")</f>
        <v>Sep</v>
      </c>
      <c r="E516" s="5" t="s">
        <v>56</v>
      </c>
      <c r="F516" s="3" t="s">
        <v>15</v>
      </c>
      <c r="G516" s="3" t="s">
        <v>23</v>
      </c>
      <c r="H516" s="3" t="s">
        <v>17</v>
      </c>
      <c r="I516" s="3">
        <v>1</v>
      </c>
      <c r="J516" s="3">
        <v>2700</v>
      </c>
      <c r="K516" s="3">
        <v>3000</v>
      </c>
      <c r="L516" s="3">
        <v>1</v>
      </c>
      <c r="M516">
        <f>Table1[[#This Row],[Qty]]*Table1[[#This Row],[Sales Price]]</f>
        <v>3000</v>
      </c>
      <c r="N516">
        <f>Table1[[#This Row],[Qty]]*Table1[[#This Row],[Cost]]</f>
        <v>2700</v>
      </c>
      <c r="O516">
        <f>Table1[[#This Row],[Revenue]]-Table1[[#This Row],[Total Cost]]</f>
        <v>300</v>
      </c>
    </row>
    <row r="517" spans="1:15">
      <c r="A517" s="3">
        <v>516</v>
      </c>
      <c r="B517" s="4">
        <v>45181</v>
      </c>
      <c r="C517" s="4" t="str">
        <f>TEXT(Table1[[#This Row],[Date]],"YYYY")</f>
        <v>2023</v>
      </c>
      <c r="D517" s="4" t="str">
        <f>TEXT(Table1[[#This Row],[Date]],"MMM")</f>
        <v>Sep</v>
      </c>
      <c r="E517" s="5" t="s">
        <v>40</v>
      </c>
      <c r="F517" s="3" t="s">
        <v>61</v>
      </c>
      <c r="G517" s="3" t="s">
        <v>25</v>
      </c>
      <c r="H517" s="3" t="s">
        <v>17</v>
      </c>
      <c r="I517" s="3">
        <v>0</v>
      </c>
      <c r="J517" s="3">
        <v>4050</v>
      </c>
      <c r="K517" s="3">
        <v>4500</v>
      </c>
      <c r="L517" s="3">
        <v>22</v>
      </c>
      <c r="M517">
        <f>Table1[[#This Row],[Qty]]*Table1[[#This Row],[Sales Price]]</f>
        <v>99000</v>
      </c>
      <c r="N517">
        <f>Table1[[#This Row],[Qty]]*Table1[[#This Row],[Cost]]</f>
        <v>89100</v>
      </c>
      <c r="O517">
        <f>Table1[[#This Row],[Revenue]]-Table1[[#This Row],[Total Cost]]</f>
        <v>9900</v>
      </c>
    </row>
    <row r="518" spans="1:15">
      <c r="A518" s="3">
        <v>517</v>
      </c>
      <c r="B518" s="4">
        <v>45182</v>
      </c>
      <c r="C518" s="4" t="str">
        <f>TEXT(Table1[[#This Row],[Date]],"YYYY")</f>
        <v>2023</v>
      </c>
      <c r="D518" s="4" t="str">
        <f>TEXT(Table1[[#This Row],[Date]],"MMM")</f>
        <v>Sep</v>
      </c>
      <c r="E518" s="5" t="s">
        <v>54</v>
      </c>
      <c r="F518" s="3" t="s">
        <v>18</v>
      </c>
      <c r="G518" s="3" t="s">
        <v>26</v>
      </c>
      <c r="H518" s="3" t="s">
        <v>17</v>
      </c>
      <c r="I518" s="3">
        <v>1</v>
      </c>
      <c r="J518" s="3">
        <v>8280</v>
      </c>
      <c r="K518" s="3">
        <v>9200</v>
      </c>
      <c r="L518" s="3">
        <v>8</v>
      </c>
      <c r="M518">
        <f>Table1[[#This Row],[Qty]]*Table1[[#This Row],[Sales Price]]</f>
        <v>73600</v>
      </c>
      <c r="N518">
        <f>Table1[[#This Row],[Qty]]*Table1[[#This Row],[Cost]]</f>
        <v>66240</v>
      </c>
      <c r="O518">
        <f>Table1[[#This Row],[Revenue]]-Table1[[#This Row],[Total Cost]]</f>
        <v>7360</v>
      </c>
    </row>
    <row r="519" spans="1:15">
      <c r="A519" s="3">
        <v>518</v>
      </c>
      <c r="B519" s="4">
        <v>45183</v>
      </c>
      <c r="C519" s="4" t="str">
        <f>TEXT(Table1[[#This Row],[Date]],"YYYY")</f>
        <v>2023</v>
      </c>
      <c r="D519" s="4" t="str">
        <f>TEXT(Table1[[#This Row],[Date]],"MMM")</f>
        <v>Sep</v>
      </c>
      <c r="E519" s="5" t="s">
        <v>31</v>
      </c>
      <c r="F519" s="3" t="s">
        <v>15</v>
      </c>
      <c r="G519" s="3" t="s">
        <v>27</v>
      </c>
      <c r="H519" s="3" t="s">
        <v>28</v>
      </c>
      <c r="I519" s="3">
        <v>0</v>
      </c>
      <c r="J519" s="3">
        <v>4950</v>
      </c>
      <c r="K519" s="3">
        <v>5500</v>
      </c>
      <c r="L519" s="3">
        <v>7</v>
      </c>
      <c r="M519">
        <f>Table1[[#This Row],[Qty]]*Table1[[#This Row],[Sales Price]]</f>
        <v>38500</v>
      </c>
      <c r="N519">
        <f>Table1[[#This Row],[Qty]]*Table1[[#This Row],[Cost]]</f>
        <v>34650</v>
      </c>
      <c r="O519">
        <f>Table1[[#This Row],[Revenue]]-Table1[[#This Row],[Total Cost]]</f>
        <v>3850</v>
      </c>
    </row>
    <row r="520" spans="1:15">
      <c r="A520" s="3">
        <v>519</v>
      </c>
      <c r="B520" s="4">
        <v>45184</v>
      </c>
      <c r="C520" s="4" t="str">
        <f>TEXT(Table1[[#This Row],[Date]],"YYYY")</f>
        <v>2023</v>
      </c>
      <c r="D520" s="4" t="str">
        <f>TEXT(Table1[[#This Row],[Date]],"MMM")</f>
        <v>Sep</v>
      </c>
      <c r="E520" s="5" t="s">
        <v>57</v>
      </c>
      <c r="F520" s="3" t="s">
        <v>61</v>
      </c>
      <c r="G520" s="3" t="s">
        <v>30</v>
      </c>
      <c r="H520" s="3" t="s">
        <v>28</v>
      </c>
      <c r="I520" s="3"/>
      <c r="J520" s="3">
        <v>3150</v>
      </c>
      <c r="K520" s="3">
        <v>3500</v>
      </c>
      <c r="L520" s="3">
        <v>56</v>
      </c>
      <c r="M520">
        <f>Table1[[#This Row],[Qty]]*Table1[[#This Row],[Sales Price]]</f>
        <v>196000</v>
      </c>
      <c r="N520">
        <f>Table1[[#This Row],[Qty]]*Table1[[#This Row],[Cost]]</f>
        <v>176400</v>
      </c>
      <c r="O520">
        <f>Table1[[#This Row],[Revenue]]-Table1[[#This Row],[Total Cost]]</f>
        <v>19600</v>
      </c>
    </row>
    <row r="521" spans="1:15">
      <c r="A521" s="3">
        <v>520</v>
      </c>
      <c r="B521" s="4">
        <v>45185</v>
      </c>
      <c r="C521" s="4" t="str">
        <f>TEXT(Table1[[#This Row],[Date]],"YYYY")</f>
        <v>2023</v>
      </c>
      <c r="D521" s="4" t="str">
        <f>TEXT(Table1[[#This Row],[Date]],"MMM")</f>
        <v>Sep</v>
      </c>
      <c r="E521" s="5" t="s">
        <v>39</v>
      </c>
      <c r="F521" s="3" t="s">
        <v>18</v>
      </c>
      <c r="G521" s="3" t="s">
        <v>32</v>
      </c>
      <c r="H521" s="3" t="s">
        <v>28</v>
      </c>
      <c r="I521" s="3"/>
      <c r="J521" s="3">
        <v>2700</v>
      </c>
      <c r="K521" s="3">
        <v>3000</v>
      </c>
      <c r="L521" s="3">
        <v>10</v>
      </c>
      <c r="M521">
        <f>Table1[[#This Row],[Qty]]*Table1[[#This Row],[Sales Price]]</f>
        <v>30000</v>
      </c>
      <c r="N521">
        <f>Table1[[#This Row],[Qty]]*Table1[[#This Row],[Cost]]</f>
        <v>27000</v>
      </c>
      <c r="O521">
        <f>Table1[[#This Row],[Revenue]]-Table1[[#This Row],[Total Cost]]</f>
        <v>3000</v>
      </c>
    </row>
    <row r="522" spans="1:15">
      <c r="A522" s="3">
        <v>521</v>
      </c>
      <c r="B522" s="4">
        <v>45186</v>
      </c>
      <c r="C522" s="4" t="str">
        <f>TEXT(Table1[[#This Row],[Date]],"YYYY")</f>
        <v>2023</v>
      </c>
      <c r="D522" s="4" t="str">
        <f>TEXT(Table1[[#This Row],[Date]],"MMM")</f>
        <v>Sep</v>
      </c>
      <c r="E522" s="5" t="s">
        <v>49</v>
      </c>
      <c r="F522" s="3" t="s">
        <v>15</v>
      </c>
      <c r="G522" s="3" t="s">
        <v>19</v>
      </c>
      <c r="H522" s="3" t="s">
        <v>17</v>
      </c>
      <c r="I522" s="3"/>
      <c r="J522" s="3">
        <v>4050</v>
      </c>
      <c r="K522" s="3">
        <v>4500</v>
      </c>
      <c r="L522" s="3">
        <v>9</v>
      </c>
      <c r="M522">
        <f>Table1[[#This Row],[Qty]]*Table1[[#This Row],[Sales Price]]</f>
        <v>40500</v>
      </c>
      <c r="N522">
        <f>Table1[[#This Row],[Qty]]*Table1[[#This Row],[Cost]]</f>
        <v>36450</v>
      </c>
      <c r="O522">
        <f>Table1[[#This Row],[Revenue]]-Table1[[#This Row],[Total Cost]]</f>
        <v>4050</v>
      </c>
    </row>
    <row r="523" spans="1:15">
      <c r="A523" s="3">
        <v>522</v>
      </c>
      <c r="B523" s="4">
        <v>45187</v>
      </c>
      <c r="C523" s="4" t="str">
        <f>TEXT(Table1[[#This Row],[Date]],"YYYY")</f>
        <v>2023</v>
      </c>
      <c r="D523" s="4" t="str">
        <f>TEXT(Table1[[#This Row],[Date]],"MMM")</f>
        <v>Sep</v>
      </c>
      <c r="E523" s="5" t="s">
        <v>14</v>
      </c>
      <c r="F523" s="3" t="s">
        <v>61</v>
      </c>
      <c r="G523" s="3" t="s">
        <v>21</v>
      </c>
      <c r="H523" s="3" t="s">
        <v>17</v>
      </c>
      <c r="I523" s="3">
        <v>1</v>
      </c>
      <c r="J523" s="3">
        <v>24750</v>
      </c>
      <c r="K523" s="3">
        <v>27500</v>
      </c>
      <c r="L523" s="3">
        <v>27</v>
      </c>
      <c r="M523">
        <f>Table1[[#This Row],[Qty]]*Table1[[#This Row],[Sales Price]]</f>
        <v>742500</v>
      </c>
      <c r="N523">
        <f>Table1[[#This Row],[Qty]]*Table1[[#This Row],[Cost]]</f>
        <v>668250</v>
      </c>
      <c r="O523">
        <f>Table1[[#This Row],[Revenue]]-Table1[[#This Row],[Total Cost]]</f>
        <v>74250</v>
      </c>
    </row>
    <row r="524" spans="1:15">
      <c r="A524" s="3">
        <v>523</v>
      </c>
      <c r="B524" s="4">
        <v>45188</v>
      </c>
      <c r="C524" s="4" t="str">
        <f>TEXT(Table1[[#This Row],[Date]],"YYYY")</f>
        <v>2023</v>
      </c>
      <c r="D524" s="4" t="str">
        <f>TEXT(Table1[[#This Row],[Date]],"MMM")</f>
        <v>Sep</v>
      </c>
      <c r="E524" s="5" t="s">
        <v>24</v>
      </c>
      <c r="F524" s="3" t="s">
        <v>18</v>
      </c>
      <c r="G524" s="3" t="s">
        <v>23</v>
      </c>
      <c r="H524" s="3" t="s">
        <v>17</v>
      </c>
      <c r="I524" s="3">
        <v>1</v>
      </c>
      <c r="J524" s="3">
        <v>44550</v>
      </c>
      <c r="K524" s="3">
        <v>49500</v>
      </c>
      <c r="L524" s="3">
        <v>15</v>
      </c>
      <c r="M524">
        <f>Table1[[#This Row],[Qty]]*Table1[[#This Row],[Sales Price]]</f>
        <v>742500</v>
      </c>
      <c r="N524">
        <f>Table1[[#This Row],[Qty]]*Table1[[#This Row],[Cost]]</f>
        <v>668250</v>
      </c>
      <c r="O524">
        <f>Table1[[#This Row],[Revenue]]-Table1[[#This Row],[Total Cost]]</f>
        <v>74250</v>
      </c>
    </row>
    <row r="525" spans="1:15">
      <c r="A525" s="3">
        <v>524</v>
      </c>
      <c r="B525" s="4">
        <v>45189</v>
      </c>
      <c r="C525" s="4" t="str">
        <f>TEXT(Table1[[#This Row],[Date]],"YYYY")</f>
        <v>2023</v>
      </c>
      <c r="D525" s="4" t="str">
        <f>TEXT(Table1[[#This Row],[Date]],"MMM")</f>
        <v>Sep</v>
      </c>
      <c r="E525" s="5" t="s">
        <v>65</v>
      </c>
      <c r="F525" s="3" t="s">
        <v>61</v>
      </c>
      <c r="G525" s="3" t="s">
        <v>25</v>
      </c>
      <c r="H525" s="3" t="s">
        <v>17</v>
      </c>
      <c r="I525" s="3">
        <v>0</v>
      </c>
      <c r="J525" s="3">
        <v>9000</v>
      </c>
      <c r="K525" s="3">
        <v>10000</v>
      </c>
      <c r="L525" s="3">
        <v>3</v>
      </c>
      <c r="M525">
        <f>Table1[[#This Row],[Qty]]*Table1[[#This Row],[Sales Price]]</f>
        <v>30000</v>
      </c>
      <c r="N525">
        <f>Table1[[#This Row],[Qty]]*Table1[[#This Row],[Cost]]</f>
        <v>27000</v>
      </c>
      <c r="O525">
        <f>Table1[[#This Row],[Revenue]]-Table1[[#This Row],[Total Cost]]</f>
        <v>3000</v>
      </c>
    </row>
    <row r="526" spans="1:15">
      <c r="A526" s="3">
        <v>525</v>
      </c>
      <c r="B526" s="4">
        <v>45190</v>
      </c>
      <c r="C526" s="4" t="str">
        <f>TEXT(Table1[[#This Row],[Date]],"YYYY")</f>
        <v>2023</v>
      </c>
      <c r="D526" s="4" t="str">
        <f>TEXT(Table1[[#This Row],[Date]],"MMM")</f>
        <v>Sep</v>
      </c>
      <c r="E526" s="5" t="s">
        <v>56</v>
      </c>
      <c r="F526" s="3" t="s">
        <v>18</v>
      </c>
      <c r="G526" s="3" t="s">
        <v>26</v>
      </c>
      <c r="H526" s="3" t="s">
        <v>17</v>
      </c>
      <c r="I526" s="3">
        <v>1</v>
      </c>
      <c r="J526" s="3">
        <v>8640</v>
      </c>
      <c r="K526" s="3">
        <v>9600</v>
      </c>
      <c r="L526" s="3">
        <v>9</v>
      </c>
      <c r="M526">
        <f>Table1[[#This Row],[Qty]]*Table1[[#This Row],[Sales Price]]</f>
        <v>86400</v>
      </c>
      <c r="N526">
        <f>Table1[[#This Row],[Qty]]*Table1[[#This Row],[Cost]]</f>
        <v>77760</v>
      </c>
      <c r="O526">
        <f>Table1[[#This Row],[Revenue]]-Table1[[#This Row],[Total Cost]]</f>
        <v>8640</v>
      </c>
    </row>
    <row r="527" spans="1:15">
      <c r="A527" s="3">
        <v>526</v>
      </c>
      <c r="B527" s="4">
        <v>45191</v>
      </c>
      <c r="C527" s="4" t="str">
        <f>TEXT(Table1[[#This Row],[Date]],"YYYY")</f>
        <v>2023</v>
      </c>
      <c r="D527" s="4" t="str">
        <f>TEXT(Table1[[#This Row],[Date]],"MMM")</f>
        <v>Sep</v>
      </c>
      <c r="E527" s="5" t="s">
        <v>22</v>
      </c>
      <c r="F527" s="3" t="s">
        <v>61</v>
      </c>
      <c r="G527" s="3" t="s">
        <v>27</v>
      </c>
      <c r="H527" s="3" t="s">
        <v>28</v>
      </c>
      <c r="I527" s="3">
        <v>1</v>
      </c>
      <c r="J527" s="3">
        <v>9000</v>
      </c>
      <c r="K527" s="3">
        <v>10000</v>
      </c>
      <c r="L527" s="3">
        <v>22</v>
      </c>
      <c r="M527">
        <f>Table1[[#This Row],[Qty]]*Table1[[#This Row],[Sales Price]]</f>
        <v>220000</v>
      </c>
      <c r="N527">
        <f>Table1[[#This Row],[Qty]]*Table1[[#This Row],[Cost]]</f>
        <v>198000</v>
      </c>
      <c r="O527">
        <f>Table1[[#This Row],[Revenue]]-Table1[[#This Row],[Total Cost]]</f>
        <v>22000</v>
      </c>
    </row>
    <row r="528" spans="1:15">
      <c r="A528" s="3">
        <v>527</v>
      </c>
      <c r="B528" s="4">
        <v>45192</v>
      </c>
      <c r="C528" s="4" t="str">
        <f>TEXT(Table1[[#This Row],[Date]],"YYYY")</f>
        <v>2023</v>
      </c>
      <c r="D528" s="4" t="str">
        <f>TEXT(Table1[[#This Row],[Date]],"MMM")</f>
        <v>Sep</v>
      </c>
      <c r="E528" s="5" t="s">
        <v>22</v>
      </c>
      <c r="F528" s="3" t="s">
        <v>18</v>
      </c>
      <c r="G528" s="3" t="s">
        <v>30</v>
      </c>
      <c r="H528" s="3" t="s">
        <v>28</v>
      </c>
      <c r="I528" s="3">
        <v>1</v>
      </c>
      <c r="J528" s="3">
        <v>3870</v>
      </c>
      <c r="K528" s="3">
        <v>4300</v>
      </c>
      <c r="L528" s="3">
        <v>16</v>
      </c>
      <c r="M528">
        <f>Table1[[#This Row],[Qty]]*Table1[[#This Row],[Sales Price]]</f>
        <v>68800</v>
      </c>
      <c r="N528">
        <f>Table1[[#This Row],[Qty]]*Table1[[#This Row],[Cost]]</f>
        <v>61920</v>
      </c>
      <c r="O528">
        <f>Table1[[#This Row],[Revenue]]-Table1[[#This Row],[Total Cost]]</f>
        <v>6880</v>
      </c>
    </row>
    <row r="529" spans="1:15">
      <c r="A529" s="3">
        <v>528</v>
      </c>
      <c r="B529" s="4">
        <v>45193</v>
      </c>
      <c r="C529" s="4" t="str">
        <f>TEXT(Table1[[#This Row],[Date]],"YYYY")</f>
        <v>2023</v>
      </c>
      <c r="D529" s="4" t="str">
        <f>TEXT(Table1[[#This Row],[Date]],"MMM")</f>
        <v>Sep</v>
      </c>
      <c r="E529" s="5" t="s">
        <v>33</v>
      </c>
      <c r="F529" s="3" t="s">
        <v>61</v>
      </c>
      <c r="G529" s="3" t="s">
        <v>32</v>
      </c>
      <c r="H529" s="3" t="s">
        <v>28</v>
      </c>
      <c r="I529" s="3">
        <v>1</v>
      </c>
      <c r="J529" s="3">
        <v>45450</v>
      </c>
      <c r="K529" s="3">
        <v>50500</v>
      </c>
      <c r="L529" s="3">
        <v>6</v>
      </c>
      <c r="M529">
        <f>Table1[[#This Row],[Qty]]*Table1[[#This Row],[Sales Price]]</f>
        <v>303000</v>
      </c>
      <c r="N529">
        <f>Table1[[#This Row],[Qty]]*Table1[[#This Row],[Cost]]</f>
        <v>272700</v>
      </c>
      <c r="O529">
        <f>Table1[[#This Row],[Revenue]]-Table1[[#This Row],[Total Cost]]</f>
        <v>30300</v>
      </c>
    </row>
    <row r="530" spans="1:15">
      <c r="A530" s="3">
        <v>529</v>
      </c>
      <c r="B530" s="4">
        <v>45194</v>
      </c>
      <c r="C530" s="4" t="str">
        <f>TEXT(Table1[[#This Row],[Date]],"YYYY")</f>
        <v>2023</v>
      </c>
      <c r="D530" s="4" t="str">
        <f>TEXT(Table1[[#This Row],[Date]],"MMM")</f>
        <v>Sep</v>
      </c>
      <c r="E530" s="5" t="s">
        <v>39</v>
      </c>
      <c r="F530" s="3" t="s">
        <v>18</v>
      </c>
      <c r="G530" s="3" t="s">
        <v>19</v>
      </c>
      <c r="H530" s="3" t="s">
        <v>17</v>
      </c>
      <c r="I530" s="3"/>
      <c r="J530" s="3">
        <v>18225</v>
      </c>
      <c r="K530" s="3">
        <v>20250</v>
      </c>
      <c r="L530" s="3">
        <v>3</v>
      </c>
      <c r="M530">
        <f>Table1[[#This Row],[Qty]]*Table1[[#This Row],[Sales Price]]</f>
        <v>60750</v>
      </c>
      <c r="N530">
        <f>Table1[[#This Row],[Qty]]*Table1[[#This Row],[Cost]]</f>
        <v>54675</v>
      </c>
      <c r="O530">
        <f>Table1[[#This Row],[Revenue]]-Table1[[#This Row],[Total Cost]]</f>
        <v>6075</v>
      </c>
    </row>
    <row r="531" spans="1:15">
      <c r="A531" s="3">
        <v>530</v>
      </c>
      <c r="B531" s="4">
        <v>45195</v>
      </c>
      <c r="C531" s="4" t="str">
        <f>TEXT(Table1[[#This Row],[Date]],"YYYY")</f>
        <v>2023</v>
      </c>
      <c r="D531" s="4" t="str">
        <f>TEXT(Table1[[#This Row],[Date]],"MMM")</f>
        <v>Sep</v>
      </c>
      <c r="E531" s="5" t="s">
        <v>39</v>
      </c>
      <c r="F531" s="3" t="s">
        <v>61</v>
      </c>
      <c r="G531" s="3" t="s">
        <v>21</v>
      </c>
      <c r="H531" s="3" t="s">
        <v>17</v>
      </c>
      <c r="I531" s="3"/>
      <c r="J531" s="3">
        <v>1800</v>
      </c>
      <c r="K531" s="3">
        <v>2000</v>
      </c>
      <c r="L531" s="3">
        <v>5</v>
      </c>
      <c r="M531">
        <f>Table1[[#This Row],[Qty]]*Table1[[#This Row],[Sales Price]]</f>
        <v>10000</v>
      </c>
      <c r="N531">
        <f>Table1[[#This Row],[Qty]]*Table1[[#This Row],[Cost]]</f>
        <v>9000</v>
      </c>
      <c r="O531">
        <f>Table1[[#This Row],[Revenue]]-Table1[[#This Row],[Total Cost]]</f>
        <v>1000</v>
      </c>
    </row>
    <row r="532" spans="1:15">
      <c r="A532" s="3">
        <v>531</v>
      </c>
      <c r="B532" s="4">
        <v>45196</v>
      </c>
      <c r="C532" s="4" t="str">
        <f>TEXT(Table1[[#This Row],[Date]],"YYYY")</f>
        <v>2023</v>
      </c>
      <c r="D532" s="4" t="str">
        <f>TEXT(Table1[[#This Row],[Date]],"MMM")</f>
        <v>Sep</v>
      </c>
      <c r="E532" s="5" t="s">
        <v>22</v>
      </c>
      <c r="F532" s="3" t="s">
        <v>18</v>
      </c>
      <c r="G532" s="3" t="s">
        <v>23</v>
      </c>
      <c r="H532" s="3" t="s">
        <v>17</v>
      </c>
      <c r="I532" s="3">
        <v>1</v>
      </c>
      <c r="J532" s="3">
        <v>48600</v>
      </c>
      <c r="K532" s="3">
        <v>54000</v>
      </c>
      <c r="L532" s="3">
        <v>1</v>
      </c>
      <c r="M532">
        <f>Table1[[#This Row],[Qty]]*Table1[[#This Row],[Sales Price]]</f>
        <v>54000</v>
      </c>
      <c r="N532">
        <f>Table1[[#This Row],[Qty]]*Table1[[#This Row],[Cost]]</f>
        <v>48600</v>
      </c>
      <c r="O532">
        <f>Table1[[#This Row],[Revenue]]-Table1[[#This Row],[Total Cost]]</f>
        <v>5400</v>
      </c>
    </row>
    <row r="533" spans="1:15">
      <c r="A533" s="3">
        <v>532</v>
      </c>
      <c r="B533" s="4">
        <v>45197</v>
      </c>
      <c r="C533" s="4" t="str">
        <f>TEXT(Table1[[#This Row],[Date]],"YYYY")</f>
        <v>2023</v>
      </c>
      <c r="D533" s="4" t="str">
        <f>TEXT(Table1[[#This Row],[Date]],"MMM")</f>
        <v>Sep</v>
      </c>
      <c r="E533" s="5" t="s">
        <v>46</v>
      </c>
      <c r="F533" s="3" t="s">
        <v>61</v>
      </c>
      <c r="G533" s="3" t="s">
        <v>25</v>
      </c>
      <c r="H533" s="3" t="s">
        <v>17</v>
      </c>
      <c r="I533" s="3">
        <v>1</v>
      </c>
      <c r="J533" s="3">
        <v>72900</v>
      </c>
      <c r="K533" s="3">
        <v>81000</v>
      </c>
      <c r="L533" s="3">
        <v>5</v>
      </c>
      <c r="M533">
        <f>Table1[[#This Row],[Qty]]*Table1[[#This Row],[Sales Price]]</f>
        <v>405000</v>
      </c>
      <c r="N533">
        <f>Table1[[#This Row],[Qty]]*Table1[[#This Row],[Cost]]</f>
        <v>364500</v>
      </c>
      <c r="O533">
        <f>Table1[[#This Row],[Revenue]]-Table1[[#This Row],[Total Cost]]</f>
        <v>40500</v>
      </c>
    </row>
    <row r="534" spans="1:15">
      <c r="A534" s="3">
        <v>533</v>
      </c>
      <c r="B534" s="4">
        <v>45198</v>
      </c>
      <c r="C534" s="4" t="str">
        <f>TEXT(Table1[[#This Row],[Date]],"YYYY")</f>
        <v>2023</v>
      </c>
      <c r="D534" s="4" t="str">
        <f>TEXT(Table1[[#This Row],[Date]],"MMM")</f>
        <v>Sep</v>
      </c>
      <c r="E534" s="5" t="s">
        <v>52</v>
      </c>
      <c r="F534" s="3" t="s">
        <v>18</v>
      </c>
      <c r="G534" s="3" t="s">
        <v>26</v>
      </c>
      <c r="H534" s="3" t="s">
        <v>17</v>
      </c>
      <c r="I534" s="3">
        <v>1</v>
      </c>
      <c r="J534" s="3">
        <v>9450</v>
      </c>
      <c r="K534" s="3">
        <v>10500</v>
      </c>
      <c r="L534" s="3">
        <v>7</v>
      </c>
      <c r="M534">
        <f>Table1[[#This Row],[Qty]]*Table1[[#This Row],[Sales Price]]</f>
        <v>73500</v>
      </c>
      <c r="N534">
        <f>Table1[[#This Row],[Qty]]*Table1[[#This Row],[Cost]]</f>
        <v>66150</v>
      </c>
      <c r="O534">
        <f>Table1[[#This Row],[Revenue]]-Table1[[#This Row],[Total Cost]]</f>
        <v>7350</v>
      </c>
    </row>
    <row r="535" spans="1:15">
      <c r="A535" s="3">
        <v>534</v>
      </c>
      <c r="B535" s="4">
        <v>45199</v>
      </c>
      <c r="C535" s="4" t="str">
        <f>TEXT(Table1[[#This Row],[Date]],"YYYY")</f>
        <v>2023</v>
      </c>
      <c r="D535" s="4" t="str">
        <f>TEXT(Table1[[#This Row],[Date]],"MMM")</f>
        <v>Sep</v>
      </c>
      <c r="E535" s="5" t="s">
        <v>33</v>
      </c>
      <c r="F535" s="3" t="s">
        <v>61</v>
      </c>
      <c r="G535" s="3" t="s">
        <v>27</v>
      </c>
      <c r="H535" s="3" t="s">
        <v>28</v>
      </c>
      <c r="I535" s="3">
        <v>1</v>
      </c>
      <c r="J535" s="3">
        <v>36000</v>
      </c>
      <c r="K535" s="3">
        <v>40000</v>
      </c>
      <c r="L535" s="3">
        <v>4</v>
      </c>
      <c r="M535">
        <f>Table1[[#This Row],[Qty]]*Table1[[#This Row],[Sales Price]]</f>
        <v>160000</v>
      </c>
      <c r="N535">
        <f>Table1[[#This Row],[Qty]]*Table1[[#This Row],[Cost]]</f>
        <v>144000</v>
      </c>
      <c r="O535">
        <f>Table1[[#This Row],[Revenue]]-Table1[[#This Row],[Total Cost]]</f>
        <v>16000</v>
      </c>
    </row>
    <row r="536" spans="1:15">
      <c r="A536" s="3">
        <v>535</v>
      </c>
      <c r="B536" s="4">
        <v>45200</v>
      </c>
      <c r="C536" s="4" t="str">
        <f>TEXT(Table1[[#This Row],[Date]],"YYYY")</f>
        <v>2023</v>
      </c>
      <c r="D536" s="4" t="str">
        <f>TEXT(Table1[[#This Row],[Date]],"MMM")</f>
        <v>Oct</v>
      </c>
      <c r="E536" s="5" t="s">
        <v>39</v>
      </c>
      <c r="F536" s="3" t="s">
        <v>18</v>
      </c>
      <c r="G536" s="3" t="s">
        <v>30</v>
      </c>
      <c r="H536" s="3" t="s">
        <v>28</v>
      </c>
      <c r="I536" s="3">
        <v>1</v>
      </c>
      <c r="J536" s="3">
        <v>24300</v>
      </c>
      <c r="K536" s="3">
        <v>27000</v>
      </c>
      <c r="L536" s="3">
        <v>8</v>
      </c>
      <c r="M536">
        <f>Table1[[#This Row],[Qty]]*Table1[[#This Row],[Sales Price]]</f>
        <v>216000</v>
      </c>
      <c r="N536">
        <f>Table1[[#This Row],[Qty]]*Table1[[#This Row],[Cost]]</f>
        <v>194400</v>
      </c>
      <c r="O536">
        <f>Table1[[#This Row],[Revenue]]-Table1[[#This Row],[Total Cost]]</f>
        <v>21600</v>
      </c>
    </row>
    <row r="537" spans="1:15">
      <c r="A537" s="3">
        <v>536</v>
      </c>
      <c r="B537" s="4">
        <v>45201</v>
      </c>
      <c r="C537" s="4" t="str">
        <f>TEXT(Table1[[#This Row],[Date]],"YYYY")</f>
        <v>2023</v>
      </c>
      <c r="D537" s="4" t="str">
        <f>TEXT(Table1[[#This Row],[Date]],"MMM")</f>
        <v>Oct</v>
      </c>
      <c r="E537" s="5" t="s">
        <v>57</v>
      </c>
      <c r="F537" s="3" t="s">
        <v>61</v>
      </c>
      <c r="G537" s="3" t="s">
        <v>32</v>
      </c>
      <c r="H537" s="3" t="s">
        <v>28</v>
      </c>
      <c r="I537" s="3">
        <v>1</v>
      </c>
      <c r="J537" s="3">
        <v>9180</v>
      </c>
      <c r="K537" s="3">
        <v>10200</v>
      </c>
      <c r="L537" s="3">
        <v>8</v>
      </c>
      <c r="M537">
        <f>Table1[[#This Row],[Qty]]*Table1[[#This Row],[Sales Price]]</f>
        <v>81600</v>
      </c>
      <c r="N537">
        <f>Table1[[#This Row],[Qty]]*Table1[[#This Row],[Cost]]</f>
        <v>73440</v>
      </c>
      <c r="O537">
        <f>Table1[[#This Row],[Revenue]]-Table1[[#This Row],[Total Cost]]</f>
        <v>8160</v>
      </c>
    </row>
    <row r="538" spans="1:15">
      <c r="A538" s="3">
        <v>537</v>
      </c>
      <c r="B538" s="4">
        <v>45202</v>
      </c>
      <c r="C538" s="4" t="str">
        <f>TEXT(Table1[[#This Row],[Date]],"YYYY")</f>
        <v>2023</v>
      </c>
      <c r="D538" s="4" t="str">
        <f>TEXT(Table1[[#This Row],[Date]],"MMM")</f>
        <v>Oct</v>
      </c>
      <c r="E538" s="5" t="s">
        <v>14</v>
      </c>
      <c r="F538" s="3" t="s">
        <v>18</v>
      </c>
      <c r="G538" s="3" t="s">
        <v>19</v>
      </c>
      <c r="H538" s="3" t="s">
        <v>17</v>
      </c>
      <c r="I538" s="3"/>
      <c r="J538" s="3">
        <v>8640</v>
      </c>
      <c r="K538" s="3">
        <v>9600</v>
      </c>
      <c r="L538" s="3">
        <v>9</v>
      </c>
      <c r="M538">
        <f>Table1[[#This Row],[Qty]]*Table1[[#This Row],[Sales Price]]</f>
        <v>86400</v>
      </c>
      <c r="N538">
        <f>Table1[[#This Row],[Qty]]*Table1[[#This Row],[Cost]]</f>
        <v>77760</v>
      </c>
      <c r="O538">
        <f>Table1[[#This Row],[Revenue]]-Table1[[#This Row],[Total Cost]]</f>
        <v>8640</v>
      </c>
    </row>
    <row r="539" spans="1:15">
      <c r="A539" s="3">
        <v>538</v>
      </c>
      <c r="B539" s="4">
        <v>45203</v>
      </c>
      <c r="C539" s="4" t="str">
        <f>TEXT(Table1[[#This Row],[Date]],"YYYY")</f>
        <v>2023</v>
      </c>
      <c r="D539" s="4" t="str">
        <f>TEXT(Table1[[#This Row],[Date]],"MMM")</f>
        <v>Oct</v>
      </c>
      <c r="E539" s="5" t="s">
        <v>40</v>
      </c>
      <c r="F539" s="3" t="s">
        <v>61</v>
      </c>
      <c r="G539" s="3" t="s">
        <v>21</v>
      </c>
      <c r="H539" s="3" t="s">
        <v>17</v>
      </c>
      <c r="I539" s="3"/>
      <c r="J539" s="3">
        <v>8280</v>
      </c>
      <c r="K539" s="3">
        <v>9200</v>
      </c>
      <c r="L539" s="3">
        <v>2</v>
      </c>
      <c r="M539">
        <f>Table1[[#This Row],[Qty]]*Table1[[#This Row],[Sales Price]]</f>
        <v>18400</v>
      </c>
      <c r="N539">
        <f>Table1[[#This Row],[Qty]]*Table1[[#This Row],[Cost]]</f>
        <v>16560</v>
      </c>
      <c r="O539">
        <f>Table1[[#This Row],[Revenue]]-Table1[[#This Row],[Total Cost]]</f>
        <v>1840</v>
      </c>
    </row>
    <row r="540" spans="1:15">
      <c r="A540" s="3">
        <v>539</v>
      </c>
      <c r="B540" s="4">
        <v>45204</v>
      </c>
      <c r="C540" s="4" t="str">
        <f>TEXT(Table1[[#This Row],[Date]],"YYYY")</f>
        <v>2023</v>
      </c>
      <c r="D540" s="4" t="str">
        <f>TEXT(Table1[[#This Row],[Date]],"MMM")</f>
        <v>Oct</v>
      </c>
      <c r="E540" s="5" t="s">
        <v>14</v>
      </c>
      <c r="F540" s="3" t="s">
        <v>18</v>
      </c>
      <c r="G540" s="3" t="s">
        <v>23</v>
      </c>
      <c r="H540" s="3" t="s">
        <v>17</v>
      </c>
      <c r="I540" s="3"/>
      <c r="J540" s="3">
        <v>4950</v>
      </c>
      <c r="K540" s="3">
        <v>5500</v>
      </c>
      <c r="L540" s="3">
        <v>1</v>
      </c>
      <c r="M540">
        <f>Table1[[#This Row],[Qty]]*Table1[[#This Row],[Sales Price]]</f>
        <v>5500</v>
      </c>
      <c r="N540">
        <f>Table1[[#This Row],[Qty]]*Table1[[#This Row],[Cost]]</f>
        <v>4950</v>
      </c>
      <c r="O540">
        <f>Table1[[#This Row],[Revenue]]-Table1[[#This Row],[Total Cost]]</f>
        <v>550</v>
      </c>
    </row>
    <row r="541" spans="1:15">
      <c r="A541" s="3">
        <v>540</v>
      </c>
      <c r="B541" s="4">
        <v>45205</v>
      </c>
      <c r="C541" s="4" t="str">
        <f>TEXT(Table1[[#This Row],[Date]],"YYYY")</f>
        <v>2023</v>
      </c>
      <c r="D541" s="4" t="str">
        <f>TEXT(Table1[[#This Row],[Date]],"MMM")</f>
        <v>Oct</v>
      </c>
      <c r="E541" s="5" t="s">
        <v>14</v>
      </c>
      <c r="F541" s="3" t="s">
        <v>61</v>
      </c>
      <c r="G541" s="3" t="s">
        <v>25</v>
      </c>
      <c r="H541" s="3" t="s">
        <v>17</v>
      </c>
      <c r="I541" s="3">
        <v>1</v>
      </c>
      <c r="J541" s="3">
        <v>3150</v>
      </c>
      <c r="K541" s="3">
        <v>3500</v>
      </c>
      <c r="L541" s="3">
        <v>22</v>
      </c>
      <c r="M541">
        <f>Table1[[#This Row],[Qty]]*Table1[[#This Row],[Sales Price]]</f>
        <v>77000</v>
      </c>
      <c r="N541">
        <f>Table1[[#This Row],[Qty]]*Table1[[#This Row],[Cost]]</f>
        <v>69300</v>
      </c>
      <c r="O541">
        <f>Table1[[#This Row],[Revenue]]-Table1[[#This Row],[Total Cost]]</f>
        <v>7700</v>
      </c>
    </row>
    <row r="542" spans="1:15">
      <c r="A542" s="3">
        <v>541</v>
      </c>
      <c r="B542" s="4">
        <v>45206</v>
      </c>
      <c r="C542" s="4" t="str">
        <f>TEXT(Table1[[#This Row],[Date]],"YYYY")</f>
        <v>2023</v>
      </c>
      <c r="D542" s="4" t="str">
        <f>TEXT(Table1[[#This Row],[Date]],"MMM")</f>
        <v>Oct</v>
      </c>
      <c r="E542" s="5" t="s">
        <v>40</v>
      </c>
      <c r="F542" s="3" t="s">
        <v>18</v>
      </c>
      <c r="G542" s="3" t="s">
        <v>26</v>
      </c>
      <c r="H542" s="3" t="s">
        <v>17</v>
      </c>
      <c r="I542" s="3">
        <v>1</v>
      </c>
      <c r="J542" s="3">
        <v>2700</v>
      </c>
      <c r="K542" s="3">
        <v>3000</v>
      </c>
      <c r="L542" s="3">
        <v>8</v>
      </c>
      <c r="M542">
        <f>Table1[[#This Row],[Qty]]*Table1[[#This Row],[Sales Price]]</f>
        <v>24000</v>
      </c>
      <c r="N542">
        <f>Table1[[#This Row],[Qty]]*Table1[[#This Row],[Cost]]</f>
        <v>21600</v>
      </c>
      <c r="O542">
        <f>Table1[[#This Row],[Revenue]]-Table1[[#This Row],[Total Cost]]</f>
        <v>2400</v>
      </c>
    </row>
    <row r="543" spans="1:15">
      <c r="A543" s="3">
        <v>542</v>
      </c>
      <c r="B543" s="4">
        <v>45207</v>
      </c>
      <c r="C543" s="4" t="str">
        <f>TEXT(Table1[[#This Row],[Date]],"YYYY")</f>
        <v>2023</v>
      </c>
      <c r="D543" s="4" t="str">
        <f>TEXT(Table1[[#This Row],[Date]],"MMM")</f>
        <v>Oct</v>
      </c>
      <c r="E543" s="5" t="s">
        <v>22</v>
      </c>
      <c r="F543" s="3" t="s">
        <v>61</v>
      </c>
      <c r="G543" s="3" t="s">
        <v>27</v>
      </c>
      <c r="H543" s="3" t="s">
        <v>28</v>
      </c>
      <c r="I543" s="3">
        <v>1</v>
      </c>
      <c r="J543" s="3">
        <v>4050</v>
      </c>
      <c r="K543" s="3">
        <v>4500</v>
      </c>
      <c r="L543" s="3">
        <v>7</v>
      </c>
      <c r="M543">
        <f>Table1[[#This Row],[Qty]]*Table1[[#This Row],[Sales Price]]</f>
        <v>31500</v>
      </c>
      <c r="N543">
        <f>Table1[[#This Row],[Qty]]*Table1[[#This Row],[Cost]]</f>
        <v>28350</v>
      </c>
      <c r="O543">
        <f>Table1[[#This Row],[Revenue]]-Table1[[#This Row],[Total Cost]]</f>
        <v>3150</v>
      </c>
    </row>
    <row r="544" spans="1:15">
      <c r="A544" s="3">
        <v>543</v>
      </c>
      <c r="B544" s="4">
        <v>45208</v>
      </c>
      <c r="C544" s="4" t="str">
        <f>TEXT(Table1[[#This Row],[Date]],"YYYY")</f>
        <v>2023</v>
      </c>
      <c r="D544" s="4" t="str">
        <f>TEXT(Table1[[#This Row],[Date]],"MMM")</f>
        <v>Oct</v>
      </c>
      <c r="E544" s="5" t="s">
        <v>40</v>
      </c>
      <c r="F544" s="3" t="s">
        <v>18</v>
      </c>
      <c r="G544" s="3" t="s">
        <v>30</v>
      </c>
      <c r="H544" s="3" t="s">
        <v>28</v>
      </c>
      <c r="I544" s="3">
        <v>0</v>
      </c>
      <c r="J544" s="3">
        <v>53100</v>
      </c>
      <c r="K544" s="3">
        <v>59000</v>
      </c>
      <c r="L544" s="3">
        <v>56</v>
      </c>
      <c r="M544">
        <f>Table1[[#This Row],[Qty]]*Table1[[#This Row],[Sales Price]]</f>
        <v>3304000</v>
      </c>
      <c r="N544">
        <f>Table1[[#This Row],[Qty]]*Table1[[#This Row],[Cost]]</f>
        <v>2973600</v>
      </c>
      <c r="O544">
        <f>Table1[[#This Row],[Revenue]]-Table1[[#This Row],[Total Cost]]</f>
        <v>330400</v>
      </c>
    </row>
    <row r="545" spans="1:15">
      <c r="A545" s="3">
        <v>544</v>
      </c>
      <c r="B545" s="4">
        <v>45209</v>
      </c>
      <c r="C545" s="4" t="str">
        <f>TEXT(Table1[[#This Row],[Date]],"YYYY")</f>
        <v>2023</v>
      </c>
      <c r="D545" s="4" t="str">
        <f>TEXT(Table1[[#This Row],[Date]],"MMM")</f>
        <v>Oct</v>
      </c>
      <c r="E545" s="5" t="s">
        <v>39</v>
      </c>
      <c r="F545" s="3" t="s">
        <v>61</v>
      </c>
      <c r="G545" s="3" t="s">
        <v>32</v>
      </c>
      <c r="H545" s="3" t="s">
        <v>28</v>
      </c>
      <c r="I545" s="3">
        <v>0</v>
      </c>
      <c r="J545" s="3">
        <v>88200</v>
      </c>
      <c r="K545" s="3">
        <v>98000</v>
      </c>
      <c r="L545" s="3">
        <v>10</v>
      </c>
      <c r="M545">
        <f>Table1[[#This Row],[Qty]]*Table1[[#This Row],[Sales Price]]</f>
        <v>980000</v>
      </c>
      <c r="N545">
        <f>Table1[[#This Row],[Qty]]*Table1[[#This Row],[Cost]]</f>
        <v>882000</v>
      </c>
      <c r="O545">
        <f>Table1[[#This Row],[Revenue]]-Table1[[#This Row],[Total Cost]]</f>
        <v>98000</v>
      </c>
    </row>
    <row r="546" spans="1:15">
      <c r="A546" s="3">
        <v>545</v>
      </c>
      <c r="B546" s="4">
        <v>45210</v>
      </c>
      <c r="C546" s="4" t="str">
        <f>TEXT(Table1[[#This Row],[Date]],"YYYY")</f>
        <v>2023</v>
      </c>
      <c r="D546" s="4" t="str">
        <f>TEXT(Table1[[#This Row],[Date]],"MMM")</f>
        <v>Oct</v>
      </c>
      <c r="E546" s="5" t="s">
        <v>56</v>
      </c>
      <c r="F546" s="3" t="s">
        <v>18</v>
      </c>
      <c r="G546" s="3" t="s">
        <v>19</v>
      </c>
      <c r="H546" s="3" t="s">
        <v>17</v>
      </c>
      <c r="I546" s="3">
        <v>0</v>
      </c>
      <c r="J546" s="3">
        <v>38250</v>
      </c>
      <c r="K546" s="3">
        <v>42500</v>
      </c>
      <c r="L546" s="3">
        <v>9</v>
      </c>
      <c r="M546">
        <f>Table1[[#This Row],[Qty]]*Table1[[#This Row],[Sales Price]]</f>
        <v>382500</v>
      </c>
      <c r="N546">
        <f>Table1[[#This Row],[Qty]]*Table1[[#This Row],[Cost]]</f>
        <v>344250</v>
      </c>
      <c r="O546">
        <f>Table1[[#This Row],[Revenue]]-Table1[[#This Row],[Total Cost]]</f>
        <v>38250</v>
      </c>
    </row>
    <row r="547" spans="1:15">
      <c r="A547" s="3">
        <v>546</v>
      </c>
      <c r="B547" s="4">
        <v>45211</v>
      </c>
      <c r="C547" s="4" t="str">
        <f>TEXT(Table1[[#This Row],[Date]],"YYYY")</f>
        <v>2023</v>
      </c>
      <c r="D547" s="4" t="str">
        <f>TEXT(Table1[[#This Row],[Date]],"MMM")</f>
        <v>Oct</v>
      </c>
      <c r="E547" s="5" t="s">
        <v>24</v>
      </c>
      <c r="F547" s="3" t="s">
        <v>61</v>
      </c>
      <c r="G547" s="3" t="s">
        <v>21</v>
      </c>
      <c r="H547" s="3" t="s">
        <v>17</v>
      </c>
      <c r="I547" s="3">
        <v>1</v>
      </c>
      <c r="J547" s="3">
        <v>2700</v>
      </c>
      <c r="K547" s="3">
        <v>3000</v>
      </c>
      <c r="L547" s="3">
        <v>27</v>
      </c>
      <c r="M547">
        <f>Table1[[#This Row],[Qty]]*Table1[[#This Row],[Sales Price]]</f>
        <v>81000</v>
      </c>
      <c r="N547">
        <f>Table1[[#This Row],[Qty]]*Table1[[#This Row],[Cost]]</f>
        <v>72900</v>
      </c>
      <c r="O547">
        <f>Table1[[#This Row],[Revenue]]-Table1[[#This Row],[Total Cost]]</f>
        <v>8100</v>
      </c>
    </row>
    <row r="548" spans="1:15">
      <c r="A548" s="3">
        <v>547</v>
      </c>
      <c r="B548" s="4">
        <v>45212</v>
      </c>
      <c r="C548" s="4" t="str">
        <f>TEXT(Table1[[#This Row],[Date]],"YYYY")</f>
        <v>2023</v>
      </c>
      <c r="D548" s="4" t="str">
        <f>TEXT(Table1[[#This Row],[Date]],"MMM")</f>
        <v>Oct</v>
      </c>
      <c r="E548" s="5" t="s">
        <v>33</v>
      </c>
      <c r="F548" s="3" t="s">
        <v>18</v>
      </c>
      <c r="G548" s="3" t="s">
        <v>23</v>
      </c>
      <c r="H548" s="3" t="s">
        <v>17</v>
      </c>
      <c r="I548" s="3"/>
      <c r="J548" s="3">
        <v>23850</v>
      </c>
      <c r="K548" s="3">
        <v>26500</v>
      </c>
      <c r="L548" s="3">
        <v>15</v>
      </c>
      <c r="M548">
        <f>Table1[[#This Row],[Qty]]*Table1[[#This Row],[Sales Price]]</f>
        <v>397500</v>
      </c>
      <c r="N548">
        <f>Table1[[#This Row],[Qty]]*Table1[[#This Row],[Cost]]</f>
        <v>357750</v>
      </c>
      <c r="O548">
        <f>Table1[[#This Row],[Revenue]]-Table1[[#This Row],[Total Cost]]</f>
        <v>39750</v>
      </c>
    </row>
    <row r="549" spans="1:15">
      <c r="A549" s="3">
        <v>548</v>
      </c>
      <c r="B549" s="4">
        <v>45213</v>
      </c>
      <c r="C549" s="4" t="str">
        <f>TEXT(Table1[[#This Row],[Date]],"YYYY")</f>
        <v>2023</v>
      </c>
      <c r="D549" s="4" t="str">
        <f>TEXT(Table1[[#This Row],[Date]],"MMM")</f>
        <v>Oct</v>
      </c>
      <c r="E549" s="5" t="s">
        <v>58</v>
      </c>
      <c r="F549" s="3" t="s">
        <v>61</v>
      </c>
      <c r="G549" s="3" t="s">
        <v>25</v>
      </c>
      <c r="H549" s="3" t="s">
        <v>17</v>
      </c>
      <c r="I549" s="3"/>
      <c r="J549" s="3">
        <v>24750</v>
      </c>
      <c r="K549" s="3">
        <v>27500</v>
      </c>
      <c r="L549" s="3">
        <v>3</v>
      </c>
      <c r="M549">
        <f>Table1[[#This Row],[Qty]]*Table1[[#This Row],[Sales Price]]</f>
        <v>82500</v>
      </c>
      <c r="N549">
        <f>Table1[[#This Row],[Qty]]*Table1[[#This Row],[Cost]]</f>
        <v>74250</v>
      </c>
      <c r="O549">
        <f>Table1[[#This Row],[Revenue]]-Table1[[#This Row],[Total Cost]]</f>
        <v>8250</v>
      </c>
    </row>
    <row r="550" spans="1:15">
      <c r="A550" s="3">
        <v>549</v>
      </c>
      <c r="B550" s="4">
        <v>45214</v>
      </c>
      <c r="C550" s="4" t="str">
        <f>TEXT(Table1[[#This Row],[Date]],"YYYY")</f>
        <v>2023</v>
      </c>
      <c r="D550" s="4" t="str">
        <f>TEXT(Table1[[#This Row],[Date]],"MMM")</f>
        <v>Oct</v>
      </c>
      <c r="E550" s="5" t="s">
        <v>54</v>
      </c>
      <c r="F550" s="3" t="s">
        <v>18</v>
      </c>
      <c r="G550" s="3" t="s">
        <v>26</v>
      </c>
      <c r="H550" s="3" t="s">
        <v>17</v>
      </c>
      <c r="I550" s="3">
        <v>1</v>
      </c>
      <c r="J550" s="3">
        <v>44550</v>
      </c>
      <c r="K550" s="3">
        <v>49500</v>
      </c>
      <c r="L550" s="3">
        <v>9</v>
      </c>
      <c r="M550">
        <f>Table1[[#This Row],[Qty]]*Table1[[#This Row],[Sales Price]]</f>
        <v>445500</v>
      </c>
      <c r="N550">
        <f>Table1[[#This Row],[Qty]]*Table1[[#This Row],[Cost]]</f>
        <v>400950</v>
      </c>
      <c r="O550">
        <f>Table1[[#This Row],[Revenue]]-Table1[[#This Row],[Total Cost]]</f>
        <v>44550</v>
      </c>
    </row>
    <row r="551" spans="1:15">
      <c r="A551" s="3">
        <v>550</v>
      </c>
      <c r="B551" s="4">
        <v>45215</v>
      </c>
      <c r="C551" s="4" t="str">
        <f>TEXT(Table1[[#This Row],[Date]],"YYYY")</f>
        <v>2023</v>
      </c>
      <c r="D551" s="4" t="str">
        <f>TEXT(Table1[[#This Row],[Date]],"MMM")</f>
        <v>Oct</v>
      </c>
      <c r="E551" s="5" t="s">
        <v>24</v>
      </c>
      <c r="F551" s="3" t="s">
        <v>61</v>
      </c>
      <c r="G551" s="3" t="s">
        <v>27</v>
      </c>
      <c r="H551" s="3" t="s">
        <v>28</v>
      </c>
      <c r="I551" s="3">
        <v>1</v>
      </c>
      <c r="J551" s="3">
        <v>9000</v>
      </c>
      <c r="K551" s="3">
        <v>10000</v>
      </c>
      <c r="L551" s="3">
        <v>22</v>
      </c>
      <c r="M551">
        <f>Table1[[#This Row],[Qty]]*Table1[[#This Row],[Sales Price]]</f>
        <v>220000</v>
      </c>
      <c r="N551">
        <f>Table1[[#This Row],[Qty]]*Table1[[#This Row],[Cost]]</f>
        <v>198000</v>
      </c>
      <c r="O551">
        <f>Table1[[#This Row],[Revenue]]-Table1[[#This Row],[Total Cost]]</f>
        <v>22000</v>
      </c>
    </row>
    <row r="552" spans="1:15">
      <c r="A552" s="3">
        <v>551</v>
      </c>
      <c r="B552" s="4">
        <v>45216</v>
      </c>
      <c r="C552" s="4" t="str">
        <f>TEXT(Table1[[#This Row],[Date]],"YYYY")</f>
        <v>2023</v>
      </c>
      <c r="D552" s="4" t="str">
        <f>TEXT(Table1[[#This Row],[Date]],"MMM")</f>
        <v>Oct</v>
      </c>
      <c r="E552" s="5" t="s">
        <v>56</v>
      </c>
      <c r="F552" s="3" t="s">
        <v>18</v>
      </c>
      <c r="G552" s="3" t="s">
        <v>30</v>
      </c>
      <c r="H552" s="3" t="s">
        <v>28</v>
      </c>
      <c r="I552" s="3">
        <v>0</v>
      </c>
      <c r="J552" s="3">
        <v>8640</v>
      </c>
      <c r="K552" s="3">
        <v>9600</v>
      </c>
      <c r="L552" s="3">
        <v>16</v>
      </c>
      <c r="M552">
        <f>Table1[[#This Row],[Qty]]*Table1[[#This Row],[Sales Price]]</f>
        <v>153600</v>
      </c>
      <c r="N552">
        <f>Table1[[#This Row],[Qty]]*Table1[[#This Row],[Cost]]</f>
        <v>138240</v>
      </c>
      <c r="O552">
        <f>Table1[[#This Row],[Revenue]]-Table1[[#This Row],[Total Cost]]</f>
        <v>15360</v>
      </c>
    </row>
    <row r="553" spans="1:15">
      <c r="A553" s="3">
        <v>552</v>
      </c>
      <c r="B553" s="4">
        <v>45217</v>
      </c>
      <c r="C553" s="4" t="str">
        <f>TEXT(Table1[[#This Row],[Date]],"YYYY")</f>
        <v>2023</v>
      </c>
      <c r="D553" s="4" t="str">
        <f>TEXT(Table1[[#This Row],[Date]],"MMM")</f>
        <v>Oct</v>
      </c>
      <c r="E553" s="5" t="s">
        <v>29</v>
      </c>
      <c r="F553" s="3" t="s">
        <v>61</v>
      </c>
      <c r="G553" s="3" t="s">
        <v>32</v>
      </c>
      <c r="H553" s="3" t="s">
        <v>28</v>
      </c>
      <c r="I553" s="3">
        <v>1</v>
      </c>
      <c r="J553" s="3">
        <v>9000</v>
      </c>
      <c r="K553" s="3">
        <v>10000</v>
      </c>
      <c r="L553" s="3">
        <v>6</v>
      </c>
      <c r="M553">
        <f>Table1[[#This Row],[Qty]]*Table1[[#This Row],[Sales Price]]</f>
        <v>60000</v>
      </c>
      <c r="N553">
        <f>Table1[[#This Row],[Qty]]*Table1[[#This Row],[Cost]]</f>
        <v>54000</v>
      </c>
      <c r="O553">
        <f>Table1[[#This Row],[Revenue]]-Table1[[#This Row],[Total Cost]]</f>
        <v>6000</v>
      </c>
    </row>
    <row r="554" spans="1:15">
      <c r="A554" s="3">
        <v>553</v>
      </c>
      <c r="B554" s="4">
        <v>45218</v>
      </c>
      <c r="C554" s="4" t="str">
        <f>TEXT(Table1[[#This Row],[Date]],"YYYY")</f>
        <v>2023</v>
      </c>
      <c r="D554" s="4" t="str">
        <f>TEXT(Table1[[#This Row],[Date]],"MMM")</f>
        <v>Oct</v>
      </c>
      <c r="E554" s="5" t="s">
        <v>39</v>
      </c>
      <c r="F554" s="3" t="s">
        <v>18</v>
      </c>
      <c r="G554" s="3" t="s">
        <v>19</v>
      </c>
      <c r="H554" s="3" t="s">
        <v>17</v>
      </c>
      <c r="I554" s="3">
        <v>1</v>
      </c>
      <c r="J554" s="3">
        <v>3870</v>
      </c>
      <c r="K554" s="3">
        <v>4300</v>
      </c>
      <c r="L554" s="3">
        <v>3</v>
      </c>
      <c r="M554">
        <f>Table1[[#This Row],[Qty]]*Table1[[#This Row],[Sales Price]]</f>
        <v>12900</v>
      </c>
      <c r="N554">
        <f>Table1[[#This Row],[Qty]]*Table1[[#This Row],[Cost]]</f>
        <v>11610</v>
      </c>
      <c r="O554">
        <f>Table1[[#This Row],[Revenue]]-Table1[[#This Row],[Total Cost]]</f>
        <v>1290</v>
      </c>
    </row>
    <row r="555" spans="1:15">
      <c r="A555" s="3">
        <v>554</v>
      </c>
      <c r="B555" s="4">
        <v>45219</v>
      </c>
      <c r="C555" s="4" t="str">
        <f>TEXT(Table1[[#This Row],[Date]],"YYYY")</f>
        <v>2023</v>
      </c>
      <c r="D555" s="4" t="str">
        <f>TEXT(Table1[[#This Row],[Date]],"MMM")</f>
        <v>Oct</v>
      </c>
      <c r="E555" s="5" t="s">
        <v>24</v>
      </c>
      <c r="F555" s="3" t="s">
        <v>61</v>
      </c>
      <c r="G555" s="3" t="s">
        <v>21</v>
      </c>
      <c r="H555" s="3" t="s">
        <v>17</v>
      </c>
      <c r="I555" s="3">
        <v>1</v>
      </c>
      <c r="J555" s="3">
        <v>45450</v>
      </c>
      <c r="K555" s="3">
        <v>50500</v>
      </c>
      <c r="L555" s="3">
        <v>5</v>
      </c>
      <c r="M555">
        <f>Table1[[#This Row],[Qty]]*Table1[[#This Row],[Sales Price]]</f>
        <v>252500</v>
      </c>
      <c r="N555">
        <f>Table1[[#This Row],[Qty]]*Table1[[#This Row],[Cost]]</f>
        <v>227250</v>
      </c>
      <c r="O555">
        <f>Table1[[#This Row],[Revenue]]-Table1[[#This Row],[Total Cost]]</f>
        <v>25250</v>
      </c>
    </row>
    <row r="556" spans="1:15">
      <c r="A556" s="3">
        <v>555</v>
      </c>
      <c r="B556" s="4">
        <v>45220</v>
      </c>
      <c r="C556" s="4" t="str">
        <f>TEXT(Table1[[#This Row],[Date]],"YYYY")</f>
        <v>2023</v>
      </c>
      <c r="D556" s="4" t="str">
        <f>TEXT(Table1[[#This Row],[Date]],"MMM")</f>
        <v>Oct</v>
      </c>
      <c r="E556" s="5" t="s">
        <v>22</v>
      </c>
      <c r="F556" s="3" t="s">
        <v>18</v>
      </c>
      <c r="G556" s="3" t="s">
        <v>23</v>
      </c>
      <c r="H556" s="3" t="s">
        <v>17</v>
      </c>
      <c r="I556" s="3"/>
      <c r="J556" s="3">
        <v>18225</v>
      </c>
      <c r="K556" s="3">
        <v>20250</v>
      </c>
      <c r="L556" s="3">
        <v>1</v>
      </c>
      <c r="M556">
        <f>Table1[[#This Row],[Qty]]*Table1[[#This Row],[Sales Price]]</f>
        <v>20250</v>
      </c>
      <c r="N556">
        <f>Table1[[#This Row],[Qty]]*Table1[[#This Row],[Cost]]</f>
        <v>18225</v>
      </c>
      <c r="O556">
        <f>Table1[[#This Row],[Revenue]]-Table1[[#This Row],[Total Cost]]</f>
        <v>2025</v>
      </c>
    </row>
    <row r="557" spans="1:15">
      <c r="A557" s="3">
        <v>556</v>
      </c>
      <c r="B557" s="4">
        <v>45221</v>
      </c>
      <c r="C557" s="4" t="str">
        <f>TEXT(Table1[[#This Row],[Date]],"YYYY")</f>
        <v>2023</v>
      </c>
      <c r="D557" s="4" t="str">
        <f>TEXT(Table1[[#This Row],[Date]],"MMM")</f>
        <v>Oct</v>
      </c>
      <c r="E557" s="5" t="s">
        <v>58</v>
      </c>
      <c r="F557" s="3" t="s">
        <v>61</v>
      </c>
      <c r="G557" s="3" t="s">
        <v>25</v>
      </c>
      <c r="H557" s="3" t="s">
        <v>17</v>
      </c>
      <c r="I557" s="3"/>
      <c r="J557" s="3">
        <v>1800</v>
      </c>
      <c r="K557" s="3">
        <v>2000</v>
      </c>
      <c r="L557" s="3">
        <v>5</v>
      </c>
      <c r="M557">
        <f>Table1[[#This Row],[Qty]]*Table1[[#This Row],[Sales Price]]</f>
        <v>10000</v>
      </c>
      <c r="N557">
        <f>Table1[[#This Row],[Qty]]*Table1[[#This Row],[Cost]]</f>
        <v>9000</v>
      </c>
      <c r="O557">
        <f>Table1[[#This Row],[Revenue]]-Table1[[#This Row],[Total Cost]]</f>
        <v>1000</v>
      </c>
    </row>
    <row r="558" spans="1:15">
      <c r="A558" s="3">
        <v>557</v>
      </c>
      <c r="B558" s="4">
        <v>45222</v>
      </c>
      <c r="C558" s="4" t="str">
        <f>TEXT(Table1[[#This Row],[Date]],"YYYY")</f>
        <v>2023</v>
      </c>
      <c r="D558" s="4" t="str">
        <f>TEXT(Table1[[#This Row],[Date]],"MMM")</f>
        <v>Oct</v>
      </c>
      <c r="E558" s="5" t="s">
        <v>50</v>
      </c>
      <c r="F558" s="3" t="s">
        <v>18</v>
      </c>
      <c r="G558" s="3" t="s">
        <v>26</v>
      </c>
      <c r="H558" s="3" t="s">
        <v>17</v>
      </c>
      <c r="I558" s="3"/>
      <c r="J558" s="3">
        <v>48600</v>
      </c>
      <c r="K558" s="3">
        <v>54000</v>
      </c>
      <c r="L558" s="3">
        <v>7</v>
      </c>
      <c r="M558">
        <f>Table1[[#This Row],[Qty]]*Table1[[#This Row],[Sales Price]]</f>
        <v>378000</v>
      </c>
      <c r="N558">
        <f>Table1[[#This Row],[Qty]]*Table1[[#This Row],[Cost]]</f>
        <v>340200</v>
      </c>
      <c r="O558">
        <f>Table1[[#This Row],[Revenue]]-Table1[[#This Row],[Total Cost]]</f>
        <v>37800</v>
      </c>
    </row>
    <row r="559" spans="1:15">
      <c r="A559" s="3">
        <v>558</v>
      </c>
      <c r="B559" s="4">
        <v>45223</v>
      </c>
      <c r="C559" s="4" t="str">
        <f>TEXT(Table1[[#This Row],[Date]],"YYYY")</f>
        <v>2023</v>
      </c>
      <c r="D559" s="4" t="str">
        <f>TEXT(Table1[[#This Row],[Date]],"MMM")</f>
        <v>Oct</v>
      </c>
      <c r="E559" s="5" t="s">
        <v>22</v>
      </c>
      <c r="F559" s="3" t="s">
        <v>61</v>
      </c>
      <c r="G559" s="3" t="s">
        <v>27</v>
      </c>
      <c r="H559" s="3" t="s">
        <v>28</v>
      </c>
      <c r="I559" s="3">
        <v>1</v>
      </c>
      <c r="J559" s="3">
        <v>72900</v>
      </c>
      <c r="K559" s="3">
        <v>81000</v>
      </c>
      <c r="L559" s="3">
        <v>4</v>
      </c>
      <c r="M559">
        <f>Table1[[#This Row],[Qty]]*Table1[[#This Row],[Sales Price]]</f>
        <v>324000</v>
      </c>
      <c r="N559">
        <f>Table1[[#This Row],[Qty]]*Table1[[#This Row],[Cost]]</f>
        <v>291600</v>
      </c>
      <c r="O559">
        <f>Table1[[#This Row],[Revenue]]-Table1[[#This Row],[Total Cost]]</f>
        <v>32400</v>
      </c>
    </row>
    <row r="560" spans="1:15">
      <c r="A560" s="3">
        <v>559</v>
      </c>
      <c r="B560" s="4">
        <v>45224</v>
      </c>
      <c r="C560" s="4" t="str">
        <f>TEXT(Table1[[#This Row],[Date]],"YYYY")</f>
        <v>2023</v>
      </c>
      <c r="D560" s="4" t="str">
        <f>TEXT(Table1[[#This Row],[Date]],"MMM")</f>
        <v>Oct</v>
      </c>
      <c r="E560" s="5" t="s">
        <v>40</v>
      </c>
      <c r="F560" s="3" t="s">
        <v>18</v>
      </c>
      <c r="G560" s="3" t="s">
        <v>30</v>
      </c>
      <c r="H560" s="3" t="s">
        <v>28</v>
      </c>
      <c r="I560" s="3">
        <v>1</v>
      </c>
      <c r="J560" s="3">
        <v>9450</v>
      </c>
      <c r="K560" s="3">
        <v>10500</v>
      </c>
      <c r="L560" s="3">
        <v>8</v>
      </c>
      <c r="M560">
        <f>Table1[[#This Row],[Qty]]*Table1[[#This Row],[Sales Price]]</f>
        <v>84000</v>
      </c>
      <c r="N560">
        <f>Table1[[#This Row],[Qty]]*Table1[[#This Row],[Cost]]</f>
        <v>75600</v>
      </c>
      <c r="O560">
        <f>Table1[[#This Row],[Revenue]]-Table1[[#This Row],[Total Cost]]</f>
        <v>8400</v>
      </c>
    </row>
    <row r="561" spans="1:15">
      <c r="A561" s="3">
        <v>560</v>
      </c>
      <c r="B561" s="4">
        <v>45225</v>
      </c>
      <c r="C561" s="4" t="str">
        <f>TEXT(Table1[[#This Row],[Date]],"YYYY")</f>
        <v>2023</v>
      </c>
      <c r="D561" s="4" t="str">
        <f>TEXT(Table1[[#This Row],[Date]],"MMM")</f>
        <v>Oct</v>
      </c>
      <c r="E561" s="5" t="s">
        <v>57</v>
      </c>
      <c r="F561" s="3" t="s">
        <v>61</v>
      </c>
      <c r="G561" s="3" t="s">
        <v>32</v>
      </c>
      <c r="H561" s="3" t="s">
        <v>28</v>
      </c>
      <c r="I561" s="3">
        <v>1</v>
      </c>
      <c r="J561" s="3">
        <v>36000</v>
      </c>
      <c r="K561" s="3">
        <v>40000</v>
      </c>
      <c r="L561" s="3">
        <v>8</v>
      </c>
      <c r="M561">
        <f>Table1[[#This Row],[Qty]]*Table1[[#This Row],[Sales Price]]</f>
        <v>320000</v>
      </c>
      <c r="N561">
        <f>Table1[[#This Row],[Qty]]*Table1[[#This Row],[Cost]]</f>
        <v>288000</v>
      </c>
      <c r="O561">
        <f>Table1[[#This Row],[Revenue]]-Table1[[#This Row],[Total Cost]]</f>
        <v>32000</v>
      </c>
    </row>
    <row r="562" spans="1:15">
      <c r="A562" s="3">
        <v>561</v>
      </c>
      <c r="B562" s="4">
        <v>45226</v>
      </c>
      <c r="C562" s="4" t="str">
        <f>TEXT(Table1[[#This Row],[Date]],"YYYY")</f>
        <v>2023</v>
      </c>
      <c r="D562" s="4" t="str">
        <f>TEXT(Table1[[#This Row],[Date]],"MMM")</f>
        <v>Oct</v>
      </c>
      <c r="E562" s="5" t="s">
        <v>14</v>
      </c>
      <c r="F562" s="3" t="s">
        <v>18</v>
      </c>
      <c r="G562" s="3" t="s">
        <v>19</v>
      </c>
      <c r="H562" s="3" t="s">
        <v>17</v>
      </c>
      <c r="I562" s="3">
        <v>1</v>
      </c>
      <c r="J562" s="3">
        <v>24300</v>
      </c>
      <c r="K562" s="3">
        <v>27000</v>
      </c>
      <c r="L562" s="3">
        <v>9</v>
      </c>
      <c r="M562">
        <f>Table1[[#This Row],[Qty]]*Table1[[#This Row],[Sales Price]]</f>
        <v>243000</v>
      </c>
      <c r="N562">
        <f>Table1[[#This Row],[Qty]]*Table1[[#This Row],[Cost]]</f>
        <v>218700</v>
      </c>
      <c r="O562">
        <f>Table1[[#This Row],[Revenue]]-Table1[[#This Row],[Total Cost]]</f>
        <v>24300</v>
      </c>
    </row>
    <row r="563" spans="1:15">
      <c r="A563" s="3">
        <v>562</v>
      </c>
      <c r="B563" s="4">
        <v>45227</v>
      </c>
      <c r="C563" s="4" t="str">
        <f>TEXT(Table1[[#This Row],[Date]],"YYYY")</f>
        <v>2023</v>
      </c>
      <c r="D563" s="4" t="str">
        <f>TEXT(Table1[[#This Row],[Date]],"MMM")</f>
        <v>Oct</v>
      </c>
      <c r="E563" s="5" t="s">
        <v>31</v>
      </c>
      <c r="F563" s="3" t="s">
        <v>61</v>
      </c>
      <c r="G563" s="3" t="s">
        <v>21</v>
      </c>
      <c r="H563" s="3" t="s">
        <v>17</v>
      </c>
      <c r="I563" s="3">
        <v>1</v>
      </c>
      <c r="J563" s="3">
        <v>9180</v>
      </c>
      <c r="K563" s="3">
        <v>10200</v>
      </c>
      <c r="L563" s="3">
        <v>2</v>
      </c>
      <c r="M563">
        <f>Table1[[#This Row],[Qty]]*Table1[[#This Row],[Sales Price]]</f>
        <v>20400</v>
      </c>
      <c r="N563">
        <f>Table1[[#This Row],[Qty]]*Table1[[#This Row],[Cost]]</f>
        <v>18360</v>
      </c>
      <c r="O563">
        <f>Table1[[#This Row],[Revenue]]-Table1[[#This Row],[Total Cost]]</f>
        <v>2040</v>
      </c>
    </row>
    <row r="564" spans="1:15">
      <c r="A564" s="3">
        <v>563</v>
      </c>
      <c r="B564" s="4">
        <v>45228</v>
      </c>
      <c r="C564" s="4" t="str">
        <f>TEXT(Table1[[#This Row],[Date]],"YYYY")</f>
        <v>2023</v>
      </c>
      <c r="D564" s="4" t="str">
        <f>TEXT(Table1[[#This Row],[Date]],"MMM")</f>
        <v>Oct</v>
      </c>
      <c r="E564" s="5" t="s">
        <v>35</v>
      </c>
      <c r="F564" s="3" t="s">
        <v>18</v>
      </c>
      <c r="G564" s="3" t="s">
        <v>23</v>
      </c>
      <c r="H564" s="3" t="s">
        <v>17</v>
      </c>
      <c r="I564" s="3">
        <v>1</v>
      </c>
      <c r="J564" s="3">
        <v>8640</v>
      </c>
      <c r="K564" s="3">
        <v>9600</v>
      </c>
      <c r="L564" s="3">
        <v>1</v>
      </c>
      <c r="M564">
        <f>Table1[[#This Row],[Qty]]*Table1[[#This Row],[Sales Price]]</f>
        <v>9600</v>
      </c>
      <c r="N564">
        <f>Table1[[#This Row],[Qty]]*Table1[[#This Row],[Cost]]</f>
        <v>8640</v>
      </c>
      <c r="O564">
        <f>Table1[[#This Row],[Revenue]]-Table1[[#This Row],[Total Cost]]</f>
        <v>960</v>
      </c>
    </row>
    <row r="565" spans="1:15">
      <c r="A565" s="3">
        <v>564</v>
      </c>
      <c r="B565" s="4">
        <v>45229</v>
      </c>
      <c r="C565" s="4" t="str">
        <f>TEXT(Table1[[#This Row],[Date]],"YYYY")</f>
        <v>2023</v>
      </c>
      <c r="D565" s="4" t="str">
        <f>TEXT(Table1[[#This Row],[Date]],"MMM")</f>
        <v>Oct</v>
      </c>
      <c r="E565" s="5" t="s">
        <v>39</v>
      </c>
      <c r="F565" s="3" t="s">
        <v>61</v>
      </c>
      <c r="G565" s="3" t="s">
        <v>25</v>
      </c>
      <c r="H565" s="3" t="s">
        <v>17</v>
      </c>
      <c r="I565" s="3">
        <v>1</v>
      </c>
      <c r="J565" s="3">
        <v>8280</v>
      </c>
      <c r="K565" s="3">
        <v>9200</v>
      </c>
      <c r="L565" s="3">
        <v>22</v>
      </c>
      <c r="M565">
        <f>Table1[[#This Row],[Qty]]*Table1[[#This Row],[Sales Price]]</f>
        <v>202400</v>
      </c>
      <c r="N565">
        <f>Table1[[#This Row],[Qty]]*Table1[[#This Row],[Cost]]</f>
        <v>182160</v>
      </c>
      <c r="O565">
        <f>Table1[[#This Row],[Revenue]]-Table1[[#This Row],[Total Cost]]</f>
        <v>20240</v>
      </c>
    </row>
    <row r="566" spans="1:15">
      <c r="A566" s="3">
        <v>565</v>
      </c>
      <c r="B566" s="4">
        <v>45230</v>
      </c>
      <c r="C566" s="4" t="str">
        <f>TEXT(Table1[[#This Row],[Date]],"YYYY")</f>
        <v>2023</v>
      </c>
      <c r="D566" s="4" t="str">
        <f>TEXT(Table1[[#This Row],[Date]],"MMM")</f>
        <v>Oct</v>
      </c>
      <c r="E566" s="5" t="s">
        <v>35</v>
      </c>
      <c r="F566" s="3" t="s">
        <v>18</v>
      </c>
      <c r="G566" s="3" t="s">
        <v>26</v>
      </c>
      <c r="H566" s="3" t="s">
        <v>17</v>
      </c>
      <c r="I566" s="3"/>
      <c r="J566" s="3">
        <v>4950</v>
      </c>
      <c r="K566" s="3">
        <v>5500</v>
      </c>
      <c r="L566" s="3">
        <v>8</v>
      </c>
      <c r="M566">
        <f>Table1[[#This Row],[Qty]]*Table1[[#This Row],[Sales Price]]</f>
        <v>44000</v>
      </c>
      <c r="N566">
        <f>Table1[[#This Row],[Qty]]*Table1[[#This Row],[Cost]]</f>
        <v>39600</v>
      </c>
      <c r="O566">
        <f>Table1[[#This Row],[Revenue]]-Table1[[#This Row],[Total Cost]]</f>
        <v>4400</v>
      </c>
    </row>
    <row r="567" spans="1:15">
      <c r="A567" s="3">
        <v>566</v>
      </c>
      <c r="B567" s="4">
        <v>45231</v>
      </c>
      <c r="C567" s="4" t="str">
        <f>TEXT(Table1[[#This Row],[Date]],"YYYY")</f>
        <v>2023</v>
      </c>
      <c r="D567" s="4" t="str">
        <f>TEXT(Table1[[#This Row],[Date]],"MMM")</f>
        <v>Nov</v>
      </c>
      <c r="E567" s="5" t="s">
        <v>40</v>
      </c>
      <c r="F567" s="3" t="s">
        <v>61</v>
      </c>
      <c r="G567" s="3" t="s">
        <v>27</v>
      </c>
      <c r="H567" s="3" t="s">
        <v>28</v>
      </c>
      <c r="I567" s="3"/>
      <c r="J567" s="3">
        <v>3150</v>
      </c>
      <c r="K567" s="3">
        <v>3500</v>
      </c>
      <c r="L567" s="3">
        <v>7</v>
      </c>
      <c r="M567">
        <f>Table1[[#This Row],[Qty]]*Table1[[#This Row],[Sales Price]]</f>
        <v>24500</v>
      </c>
      <c r="N567">
        <f>Table1[[#This Row],[Qty]]*Table1[[#This Row],[Cost]]</f>
        <v>22050</v>
      </c>
      <c r="O567">
        <f>Table1[[#This Row],[Revenue]]-Table1[[#This Row],[Total Cost]]</f>
        <v>2450</v>
      </c>
    </row>
    <row r="568" spans="1:15">
      <c r="A568" s="3">
        <v>567</v>
      </c>
      <c r="B568" s="4">
        <v>45232</v>
      </c>
      <c r="C568" s="4" t="str">
        <f>TEXT(Table1[[#This Row],[Date]],"YYYY")</f>
        <v>2023</v>
      </c>
      <c r="D568" s="4" t="str">
        <f>TEXT(Table1[[#This Row],[Date]],"MMM")</f>
        <v>Nov</v>
      </c>
      <c r="E568" s="5" t="s">
        <v>40</v>
      </c>
      <c r="F568" s="3" t="s">
        <v>18</v>
      </c>
      <c r="G568" s="3" t="s">
        <v>30</v>
      </c>
      <c r="H568" s="3" t="s">
        <v>28</v>
      </c>
      <c r="I568" s="3">
        <v>1</v>
      </c>
      <c r="J568" s="3">
        <v>2700</v>
      </c>
      <c r="K568" s="3">
        <v>3000</v>
      </c>
      <c r="L568" s="3">
        <v>56</v>
      </c>
      <c r="M568">
        <f>Table1[[#This Row],[Qty]]*Table1[[#This Row],[Sales Price]]</f>
        <v>168000</v>
      </c>
      <c r="N568">
        <f>Table1[[#This Row],[Qty]]*Table1[[#This Row],[Cost]]</f>
        <v>151200</v>
      </c>
      <c r="O568">
        <f>Table1[[#This Row],[Revenue]]-Table1[[#This Row],[Total Cost]]</f>
        <v>16800</v>
      </c>
    </row>
    <row r="569" spans="1:15">
      <c r="A569" s="3">
        <v>568</v>
      </c>
      <c r="B569" s="4">
        <v>45233</v>
      </c>
      <c r="C569" s="4" t="str">
        <f>TEXT(Table1[[#This Row],[Date]],"YYYY")</f>
        <v>2023</v>
      </c>
      <c r="D569" s="4" t="str">
        <f>TEXT(Table1[[#This Row],[Date]],"MMM")</f>
        <v>Nov</v>
      </c>
      <c r="E569" s="5" t="s">
        <v>39</v>
      </c>
      <c r="F569" s="3" t="s">
        <v>61</v>
      </c>
      <c r="G569" s="3" t="s">
        <v>32</v>
      </c>
      <c r="H569" s="3" t="s">
        <v>28</v>
      </c>
      <c r="I569" s="3">
        <v>1</v>
      </c>
      <c r="J569" s="3">
        <v>4050</v>
      </c>
      <c r="K569" s="3">
        <v>4500</v>
      </c>
      <c r="L569" s="3">
        <v>10</v>
      </c>
      <c r="M569">
        <f>Table1[[#This Row],[Qty]]*Table1[[#This Row],[Sales Price]]</f>
        <v>45000</v>
      </c>
      <c r="N569">
        <f>Table1[[#This Row],[Qty]]*Table1[[#This Row],[Cost]]</f>
        <v>40500</v>
      </c>
      <c r="O569">
        <f>Table1[[#This Row],[Revenue]]-Table1[[#This Row],[Total Cost]]</f>
        <v>4500</v>
      </c>
    </row>
    <row r="570" spans="1:15">
      <c r="A570" s="3">
        <v>569</v>
      </c>
      <c r="B570" s="4">
        <v>45234</v>
      </c>
      <c r="C570" s="4" t="str">
        <f>TEXT(Table1[[#This Row],[Date]],"YYYY")</f>
        <v>2023</v>
      </c>
      <c r="D570" s="4" t="str">
        <f>TEXT(Table1[[#This Row],[Date]],"MMM")</f>
        <v>Nov</v>
      </c>
      <c r="E570" s="5" t="s">
        <v>22</v>
      </c>
      <c r="F570" s="3" t="s">
        <v>18</v>
      </c>
      <c r="G570" s="3" t="s">
        <v>19</v>
      </c>
      <c r="H570" s="3" t="s">
        <v>17</v>
      </c>
      <c r="I570" s="3">
        <v>1</v>
      </c>
      <c r="J570" s="3">
        <v>53100</v>
      </c>
      <c r="K570" s="3">
        <v>59000</v>
      </c>
      <c r="L570" s="3">
        <v>9</v>
      </c>
      <c r="M570">
        <f>Table1[[#This Row],[Qty]]*Table1[[#This Row],[Sales Price]]</f>
        <v>531000</v>
      </c>
      <c r="N570">
        <f>Table1[[#This Row],[Qty]]*Table1[[#This Row],[Cost]]</f>
        <v>477900</v>
      </c>
      <c r="O570">
        <f>Table1[[#This Row],[Revenue]]-Table1[[#This Row],[Total Cost]]</f>
        <v>53100</v>
      </c>
    </row>
    <row r="571" spans="1:15">
      <c r="A571" s="3">
        <v>570</v>
      </c>
      <c r="B571" s="4">
        <v>45235</v>
      </c>
      <c r="C571" s="4" t="str">
        <f>TEXT(Table1[[#This Row],[Date]],"YYYY")</f>
        <v>2023</v>
      </c>
      <c r="D571" s="4" t="str">
        <f>TEXT(Table1[[#This Row],[Date]],"MMM")</f>
        <v>Nov</v>
      </c>
      <c r="E571" s="5" t="s">
        <v>57</v>
      </c>
      <c r="F571" s="3" t="s">
        <v>61</v>
      </c>
      <c r="G571" s="3" t="s">
        <v>21</v>
      </c>
      <c r="H571" s="3" t="s">
        <v>17</v>
      </c>
      <c r="I571" s="3">
        <v>0</v>
      </c>
      <c r="J571" s="3">
        <v>88200</v>
      </c>
      <c r="K571" s="3">
        <v>98000</v>
      </c>
      <c r="L571" s="3">
        <v>27</v>
      </c>
      <c r="M571">
        <f>Table1[[#This Row],[Qty]]*Table1[[#This Row],[Sales Price]]</f>
        <v>2646000</v>
      </c>
      <c r="N571">
        <f>Table1[[#This Row],[Qty]]*Table1[[#This Row],[Cost]]</f>
        <v>2381400</v>
      </c>
      <c r="O571">
        <f>Table1[[#This Row],[Revenue]]-Table1[[#This Row],[Total Cost]]</f>
        <v>264600</v>
      </c>
    </row>
    <row r="572" spans="1:15">
      <c r="A572" s="3">
        <v>571</v>
      </c>
      <c r="B572" s="4">
        <v>45236</v>
      </c>
      <c r="C572" s="4" t="str">
        <f>TEXT(Table1[[#This Row],[Date]],"YYYY")</f>
        <v>2023</v>
      </c>
      <c r="D572" s="4" t="str">
        <f>TEXT(Table1[[#This Row],[Date]],"MMM")</f>
        <v>Nov</v>
      </c>
      <c r="E572" s="5" t="s">
        <v>22</v>
      </c>
      <c r="F572" s="3" t="s">
        <v>18</v>
      </c>
      <c r="G572" s="3" t="s">
        <v>23</v>
      </c>
      <c r="H572" s="3" t="s">
        <v>17</v>
      </c>
      <c r="I572" s="3">
        <v>0</v>
      </c>
      <c r="J572" s="3">
        <v>8640</v>
      </c>
      <c r="K572" s="3">
        <v>9600</v>
      </c>
      <c r="L572" s="3">
        <v>15</v>
      </c>
      <c r="M572">
        <f>Table1[[#This Row],[Qty]]*Table1[[#This Row],[Sales Price]]</f>
        <v>144000</v>
      </c>
      <c r="N572">
        <f>Table1[[#This Row],[Qty]]*Table1[[#This Row],[Cost]]</f>
        <v>129600</v>
      </c>
      <c r="O572">
        <f>Table1[[#This Row],[Revenue]]-Table1[[#This Row],[Total Cost]]</f>
        <v>14400</v>
      </c>
    </row>
    <row r="573" spans="1:15">
      <c r="A573" s="3">
        <v>572</v>
      </c>
      <c r="B573" s="4">
        <v>45237</v>
      </c>
      <c r="C573" s="4" t="str">
        <f>TEXT(Table1[[#This Row],[Date]],"YYYY")</f>
        <v>2023</v>
      </c>
      <c r="D573" s="4" t="str">
        <f>TEXT(Table1[[#This Row],[Date]],"MMM")</f>
        <v>Nov</v>
      </c>
      <c r="E573" s="5" t="s">
        <v>50</v>
      </c>
      <c r="F573" s="3" t="s">
        <v>61</v>
      </c>
      <c r="G573" s="3" t="s">
        <v>25</v>
      </c>
      <c r="H573" s="3" t="s">
        <v>17</v>
      </c>
      <c r="I573" s="3">
        <v>1</v>
      </c>
      <c r="J573" s="3">
        <v>8280</v>
      </c>
      <c r="K573" s="3">
        <v>9200</v>
      </c>
      <c r="L573" s="3">
        <v>3</v>
      </c>
      <c r="M573">
        <f>Table1[[#This Row],[Qty]]*Table1[[#This Row],[Sales Price]]</f>
        <v>27600</v>
      </c>
      <c r="N573">
        <f>Table1[[#This Row],[Qty]]*Table1[[#This Row],[Cost]]</f>
        <v>24840</v>
      </c>
      <c r="O573">
        <f>Table1[[#This Row],[Revenue]]-Table1[[#This Row],[Total Cost]]</f>
        <v>2760</v>
      </c>
    </row>
    <row r="574" spans="1:15">
      <c r="A574" s="3">
        <v>573</v>
      </c>
      <c r="B574" s="4">
        <v>45238</v>
      </c>
      <c r="C574" s="4" t="str">
        <f>TEXT(Table1[[#This Row],[Date]],"YYYY")</f>
        <v>2023</v>
      </c>
      <c r="D574" s="4" t="str">
        <f>TEXT(Table1[[#This Row],[Date]],"MMM")</f>
        <v>Nov</v>
      </c>
      <c r="E574" s="5" t="s">
        <v>39</v>
      </c>
      <c r="F574" s="3" t="s">
        <v>18</v>
      </c>
      <c r="G574" s="3" t="s">
        <v>26</v>
      </c>
      <c r="H574" s="3" t="s">
        <v>17</v>
      </c>
      <c r="I574" s="3"/>
      <c r="J574" s="3">
        <v>4950</v>
      </c>
      <c r="K574" s="3">
        <v>5500</v>
      </c>
      <c r="L574" s="3">
        <v>9</v>
      </c>
      <c r="M574">
        <f>Table1[[#This Row],[Qty]]*Table1[[#This Row],[Sales Price]]</f>
        <v>49500</v>
      </c>
      <c r="N574">
        <f>Table1[[#This Row],[Qty]]*Table1[[#This Row],[Cost]]</f>
        <v>44550</v>
      </c>
      <c r="O574">
        <f>Table1[[#This Row],[Revenue]]-Table1[[#This Row],[Total Cost]]</f>
        <v>4950</v>
      </c>
    </row>
    <row r="575" spans="1:15">
      <c r="A575" s="3">
        <v>574</v>
      </c>
      <c r="B575" s="4">
        <v>45239</v>
      </c>
      <c r="C575" s="4" t="str">
        <f>TEXT(Table1[[#This Row],[Date]],"YYYY")</f>
        <v>2023</v>
      </c>
      <c r="D575" s="4" t="str">
        <f>TEXT(Table1[[#This Row],[Date]],"MMM")</f>
        <v>Nov</v>
      </c>
      <c r="E575" s="5" t="s">
        <v>14</v>
      </c>
      <c r="F575" s="3" t="s">
        <v>61</v>
      </c>
      <c r="G575" s="3" t="s">
        <v>27</v>
      </c>
      <c r="H575" s="3" t="s">
        <v>28</v>
      </c>
      <c r="I575" s="3"/>
      <c r="J575" s="3">
        <v>3150</v>
      </c>
      <c r="K575" s="3">
        <v>3500</v>
      </c>
      <c r="L575" s="3">
        <v>22</v>
      </c>
      <c r="M575">
        <f>Table1[[#This Row],[Qty]]*Table1[[#This Row],[Sales Price]]</f>
        <v>77000</v>
      </c>
      <c r="N575">
        <f>Table1[[#This Row],[Qty]]*Table1[[#This Row],[Cost]]</f>
        <v>69300</v>
      </c>
      <c r="O575">
        <f>Table1[[#This Row],[Revenue]]-Table1[[#This Row],[Total Cost]]</f>
        <v>7700</v>
      </c>
    </row>
    <row r="576" spans="1:15">
      <c r="A576" s="3">
        <v>575</v>
      </c>
      <c r="B576" s="4">
        <v>45240</v>
      </c>
      <c r="C576" s="4" t="str">
        <f>TEXT(Table1[[#This Row],[Date]],"YYYY")</f>
        <v>2023</v>
      </c>
      <c r="D576" s="4" t="str">
        <f>TEXT(Table1[[#This Row],[Date]],"MMM")</f>
        <v>Nov</v>
      </c>
      <c r="E576" s="5" t="s">
        <v>63</v>
      </c>
      <c r="F576" s="3" t="s">
        <v>18</v>
      </c>
      <c r="G576" s="3" t="s">
        <v>30</v>
      </c>
      <c r="H576" s="3" t="s">
        <v>28</v>
      </c>
      <c r="I576" s="3">
        <v>1</v>
      </c>
      <c r="J576" s="3">
        <v>2700</v>
      </c>
      <c r="K576" s="3">
        <v>3000</v>
      </c>
      <c r="L576" s="3">
        <v>16</v>
      </c>
      <c r="M576">
        <f>Table1[[#This Row],[Qty]]*Table1[[#This Row],[Sales Price]]</f>
        <v>48000</v>
      </c>
      <c r="N576">
        <f>Table1[[#This Row],[Qty]]*Table1[[#This Row],[Cost]]</f>
        <v>43200</v>
      </c>
      <c r="O576">
        <f>Table1[[#This Row],[Revenue]]-Table1[[#This Row],[Total Cost]]</f>
        <v>4800</v>
      </c>
    </row>
    <row r="577" spans="1:15">
      <c r="A577" s="3">
        <v>576</v>
      </c>
      <c r="B577" s="4">
        <v>45241</v>
      </c>
      <c r="C577" s="4" t="str">
        <f>TEXT(Table1[[#This Row],[Date]],"YYYY")</f>
        <v>2023</v>
      </c>
      <c r="D577" s="4" t="str">
        <f>TEXT(Table1[[#This Row],[Date]],"MMM")</f>
        <v>Nov</v>
      </c>
      <c r="E577" s="5" t="s">
        <v>50</v>
      </c>
      <c r="F577" s="3" t="s">
        <v>61</v>
      </c>
      <c r="G577" s="3" t="s">
        <v>32</v>
      </c>
      <c r="H577" s="3" t="s">
        <v>28</v>
      </c>
      <c r="I577" s="3"/>
      <c r="J577" s="3">
        <v>4050</v>
      </c>
      <c r="K577" s="3">
        <v>4500</v>
      </c>
      <c r="L577" s="3">
        <v>6</v>
      </c>
      <c r="M577">
        <f>Table1[[#This Row],[Qty]]*Table1[[#This Row],[Sales Price]]</f>
        <v>27000</v>
      </c>
      <c r="N577">
        <f>Table1[[#This Row],[Qty]]*Table1[[#This Row],[Cost]]</f>
        <v>24300</v>
      </c>
      <c r="O577">
        <f>Table1[[#This Row],[Revenue]]-Table1[[#This Row],[Total Cost]]</f>
        <v>2700</v>
      </c>
    </row>
    <row r="578" spans="1:15">
      <c r="A578" s="3">
        <v>577</v>
      </c>
      <c r="B578" s="4">
        <v>45242</v>
      </c>
      <c r="C578" s="4" t="str">
        <f>TEXT(Table1[[#This Row],[Date]],"YYYY")</f>
        <v>2023</v>
      </c>
      <c r="D578" s="4" t="str">
        <f>TEXT(Table1[[#This Row],[Date]],"MMM")</f>
        <v>Nov</v>
      </c>
      <c r="E578" s="5" t="s">
        <v>22</v>
      </c>
      <c r="F578" s="3" t="s">
        <v>18</v>
      </c>
      <c r="G578" s="3" t="s">
        <v>19</v>
      </c>
      <c r="H578" s="3" t="s">
        <v>17</v>
      </c>
      <c r="I578" s="3"/>
      <c r="J578" s="3">
        <v>53100</v>
      </c>
      <c r="K578" s="3">
        <v>59000</v>
      </c>
      <c r="L578" s="3">
        <v>3</v>
      </c>
      <c r="M578">
        <f>Table1[[#This Row],[Qty]]*Table1[[#This Row],[Sales Price]]</f>
        <v>177000</v>
      </c>
      <c r="N578">
        <f>Table1[[#This Row],[Qty]]*Table1[[#This Row],[Cost]]</f>
        <v>159300</v>
      </c>
      <c r="O578">
        <f>Table1[[#This Row],[Revenue]]-Table1[[#This Row],[Total Cost]]</f>
        <v>17700</v>
      </c>
    </row>
    <row r="579" spans="1:15">
      <c r="A579" s="3">
        <v>578</v>
      </c>
      <c r="B579" s="4">
        <v>45243</v>
      </c>
      <c r="C579" s="4" t="str">
        <f>TEXT(Table1[[#This Row],[Date]],"YYYY")</f>
        <v>2023</v>
      </c>
      <c r="D579" s="4" t="str">
        <f>TEXT(Table1[[#This Row],[Date]],"MMM")</f>
        <v>Nov</v>
      </c>
      <c r="E579" s="5" t="s">
        <v>24</v>
      </c>
      <c r="F579" s="3" t="s">
        <v>15</v>
      </c>
      <c r="G579" s="3" t="s">
        <v>21</v>
      </c>
      <c r="H579" s="3" t="s">
        <v>17</v>
      </c>
      <c r="I579" s="3"/>
      <c r="J579" s="3">
        <v>88200</v>
      </c>
      <c r="K579" s="3">
        <v>98000</v>
      </c>
      <c r="L579" s="3">
        <v>5</v>
      </c>
      <c r="M579">
        <f>Table1[[#This Row],[Qty]]*Table1[[#This Row],[Sales Price]]</f>
        <v>490000</v>
      </c>
      <c r="N579">
        <f>Table1[[#This Row],[Qty]]*Table1[[#This Row],[Cost]]</f>
        <v>441000</v>
      </c>
      <c r="O579">
        <f>Table1[[#This Row],[Revenue]]-Table1[[#This Row],[Total Cost]]</f>
        <v>49000</v>
      </c>
    </row>
    <row r="580" spans="1:15">
      <c r="A580" s="3">
        <v>579</v>
      </c>
      <c r="B580" s="4">
        <v>45244</v>
      </c>
      <c r="C580" s="4" t="str">
        <f>TEXT(Table1[[#This Row],[Date]],"YYYY")</f>
        <v>2023</v>
      </c>
      <c r="D580" s="4" t="str">
        <f>TEXT(Table1[[#This Row],[Date]],"MMM")</f>
        <v>Nov</v>
      </c>
      <c r="E580" s="5" t="s">
        <v>31</v>
      </c>
      <c r="F580" s="3" t="s">
        <v>18</v>
      </c>
      <c r="G580" s="3" t="s">
        <v>23</v>
      </c>
      <c r="H580" s="3" t="s">
        <v>17</v>
      </c>
      <c r="I580" s="3">
        <v>1</v>
      </c>
      <c r="J580" s="3">
        <v>38250</v>
      </c>
      <c r="K580" s="3">
        <v>42500</v>
      </c>
      <c r="L580" s="3">
        <v>1</v>
      </c>
      <c r="M580">
        <f>Table1[[#This Row],[Qty]]*Table1[[#This Row],[Sales Price]]</f>
        <v>42500</v>
      </c>
      <c r="N580">
        <f>Table1[[#This Row],[Qty]]*Table1[[#This Row],[Cost]]</f>
        <v>38250</v>
      </c>
      <c r="O580">
        <f>Table1[[#This Row],[Revenue]]-Table1[[#This Row],[Total Cost]]</f>
        <v>4250</v>
      </c>
    </row>
    <row r="581" spans="1:15">
      <c r="A581" s="3">
        <v>580</v>
      </c>
      <c r="B581" s="4">
        <v>45245</v>
      </c>
      <c r="C581" s="4" t="str">
        <f>TEXT(Table1[[#This Row],[Date]],"YYYY")</f>
        <v>2023</v>
      </c>
      <c r="D581" s="4" t="str">
        <f>TEXT(Table1[[#This Row],[Date]],"MMM")</f>
        <v>Nov</v>
      </c>
      <c r="E581" s="5" t="s">
        <v>39</v>
      </c>
      <c r="F581" s="3" t="s">
        <v>15</v>
      </c>
      <c r="G581" s="3" t="s">
        <v>25</v>
      </c>
      <c r="H581" s="3" t="s">
        <v>17</v>
      </c>
      <c r="I581" s="3">
        <v>1</v>
      </c>
      <c r="J581" s="3">
        <v>2700</v>
      </c>
      <c r="K581" s="3">
        <v>3000</v>
      </c>
      <c r="L581" s="3">
        <v>5</v>
      </c>
      <c r="M581">
        <f>Table1[[#This Row],[Qty]]*Table1[[#This Row],[Sales Price]]</f>
        <v>15000</v>
      </c>
      <c r="N581">
        <f>Table1[[#This Row],[Qty]]*Table1[[#This Row],[Cost]]</f>
        <v>13500</v>
      </c>
      <c r="O581">
        <f>Table1[[#This Row],[Revenue]]-Table1[[#This Row],[Total Cost]]</f>
        <v>1500</v>
      </c>
    </row>
    <row r="582" spans="1:15">
      <c r="A582" s="3">
        <v>581</v>
      </c>
      <c r="B582" s="4">
        <v>45246</v>
      </c>
      <c r="C582" s="4" t="str">
        <f>TEXT(Table1[[#This Row],[Date]],"YYYY")</f>
        <v>2023</v>
      </c>
      <c r="D582" s="4" t="str">
        <f>TEXT(Table1[[#This Row],[Date]],"MMM")</f>
        <v>Nov</v>
      </c>
      <c r="E582" s="5" t="s">
        <v>50</v>
      </c>
      <c r="F582" s="3" t="s">
        <v>18</v>
      </c>
      <c r="G582" s="3" t="s">
        <v>26</v>
      </c>
      <c r="H582" s="3" t="s">
        <v>17</v>
      </c>
      <c r="I582" s="3">
        <v>1</v>
      </c>
      <c r="J582" s="3">
        <v>23850</v>
      </c>
      <c r="K582" s="3">
        <v>26500</v>
      </c>
      <c r="L582" s="3">
        <v>7</v>
      </c>
      <c r="M582">
        <f>Table1[[#This Row],[Qty]]*Table1[[#This Row],[Sales Price]]</f>
        <v>185500</v>
      </c>
      <c r="N582">
        <f>Table1[[#This Row],[Qty]]*Table1[[#This Row],[Cost]]</f>
        <v>166950</v>
      </c>
      <c r="O582">
        <f>Table1[[#This Row],[Revenue]]-Table1[[#This Row],[Total Cost]]</f>
        <v>18550</v>
      </c>
    </row>
    <row r="583" spans="1:15">
      <c r="A583" s="3">
        <v>582</v>
      </c>
      <c r="B583" s="4">
        <v>45247</v>
      </c>
      <c r="C583" s="4" t="str">
        <f>TEXT(Table1[[#This Row],[Date]],"YYYY")</f>
        <v>2023</v>
      </c>
      <c r="D583" s="4" t="str">
        <f>TEXT(Table1[[#This Row],[Date]],"MMM")</f>
        <v>Nov</v>
      </c>
      <c r="E583" s="5" t="s">
        <v>40</v>
      </c>
      <c r="F583" s="3" t="s">
        <v>15</v>
      </c>
      <c r="G583" s="3" t="s">
        <v>27</v>
      </c>
      <c r="H583" s="3" t="s">
        <v>28</v>
      </c>
      <c r="I583" s="3">
        <v>1</v>
      </c>
      <c r="J583" s="3">
        <v>24750</v>
      </c>
      <c r="K583" s="3">
        <v>27500</v>
      </c>
      <c r="L583" s="3">
        <v>4</v>
      </c>
      <c r="M583">
        <f>Table1[[#This Row],[Qty]]*Table1[[#This Row],[Sales Price]]</f>
        <v>110000</v>
      </c>
      <c r="N583">
        <f>Table1[[#This Row],[Qty]]*Table1[[#This Row],[Cost]]</f>
        <v>99000</v>
      </c>
      <c r="O583">
        <f>Table1[[#This Row],[Revenue]]-Table1[[#This Row],[Total Cost]]</f>
        <v>11000</v>
      </c>
    </row>
    <row r="584" spans="1:15">
      <c r="A584" s="3">
        <v>583</v>
      </c>
      <c r="B584" s="4">
        <v>45248</v>
      </c>
      <c r="C584" s="4" t="str">
        <f>TEXT(Table1[[#This Row],[Date]],"YYYY")</f>
        <v>2023</v>
      </c>
      <c r="D584" s="4" t="str">
        <f>TEXT(Table1[[#This Row],[Date]],"MMM")</f>
        <v>Nov</v>
      </c>
      <c r="E584" s="5" t="s">
        <v>31</v>
      </c>
      <c r="F584" s="3" t="s">
        <v>18</v>
      </c>
      <c r="G584" s="3" t="s">
        <v>30</v>
      </c>
      <c r="H584" s="3" t="s">
        <v>28</v>
      </c>
      <c r="I584" s="3">
        <v>1</v>
      </c>
      <c r="J584" s="3">
        <v>44550</v>
      </c>
      <c r="K584" s="3">
        <v>49500</v>
      </c>
      <c r="L584" s="3">
        <v>8</v>
      </c>
      <c r="M584">
        <f>Table1[[#This Row],[Qty]]*Table1[[#This Row],[Sales Price]]</f>
        <v>396000</v>
      </c>
      <c r="N584">
        <f>Table1[[#This Row],[Qty]]*Table1[[#This Row],[Cost]]</f>
        <v>356400</v>
      </c>
      <c r="O584">
        <f>Table1[[#This Row],[Revenue]]-Table1[[#This Row],[Total Cost]]</f>
        <v>39600</v>
      </c>
    </row>
    <row r="585" spans="1:15">
      <c r="A585" s="3">
        <v>584</v>
      </c>
      <c r="B585" s="4">
        <v>45249</v>
      </c>
      <c r="C585" s="4" t="str">
        <f>TEXT(Table1[[#This Row],[Date]],"YYYY")</f>
        <v>2023</v>
      </c>
      <c r="D585" s="4" t="str">
        <f>TEXT(Table1[[#This Row],[Date]],"MMM")</f>
        <v>Nov</v>
      </c>
      <c r="E585" s="5" t="s">
        <v>58</v>
      </c>
      <c r="F585" s="3" t="s">
        <v>15</v>
      </c>
      <c r="G585" s="3" t="s">
        <v>32</v>
      </c>
      <c r="H585" s="3" t="s">
        <v>28</v>
      </c>
      <c r="I585" s="3">
        <v>1</v>
      </c>
      <c r="J585" s="3">
        <v>9000</v>
      </c>
      <c r="K585" s="3">
        <v>10000</v>
      </c>
      <c r="L585" s="3">
        <v>8</v>
      </c>
      <c r="M585">
        <f>Table1[[#This Row],[Qty]]*Table1[[#This Row],[Sales Price]]</f>
        <v>80000</v>
      </c>
      <c r="N585">
        <f>Table1[[#This Row],[Qty]]*Table1[[#This Row],[Cost]]</f>
        <v>72000</v>
      </c>
      <c r="O585">
        <f>Table1[[#This Row],[Revenue]]-Table1[[#This Row],[Total Cost]]</f>
        <v>8000</v>
      </c>
    </row>
    <row r="586" spans="1:15">
      <c r="A586" s="3">
        <v>585</v>
      </c>
      <c r="B586" s="4">
        <v>45250</v>
      </c>
      <c r="C586" s="4" t="str">
        <f>TEXT(Table1[[#This Row],[Date]],"YYYY")</f>
        <v>2023</v>
      </c>
      <c r="D586" s="4" t="str">
        <f>TEXT(Table1[[#This Row],[Date]],"MMM")</f>
        <v>Nov</v>
      </c>
      <c r="E586" s="5" t="s">
        <v>54</v>
      </c>
      <c r="F586" s="3" t="s">
        <v>18</v>
      </c>
      <c r="G586" s="3" t="s">
        <v>19</v>
      </c>
      <c r="H586" s="3" t="s">
        <v>17</v>
      </c>
      <c r="I586" s="3">
        <v>1</v>
      </c>
      <c r="J586" s="3">
        <v>8640</v>
      </c>
      <c r="K586" s="3">
        <v>9600</v>
      </c>
      <c r="L586" s="3">
        <v>9</v>
      </c>
      <c r="M586">
        <f>Table1[[#This Row],[Qty]]*Table1[[#This Row],[Sales Price]]</f>
        <v>86400</v>
      </c>
      <c r="N586">
        <f>Table1[[#This Row],[Qty]]*Table1[[#This Row],[Cost]]</f>
        <v>77760</v>
      </c>
      <c r="O586">
        <f>Table1[[#This Row],[Revenue]]-Table1[[#This Row],[Total Cost]]</f>
        <v>8640</v>
      </c>
    </row>
    <row r="587" spans="1:15">
      <c r="A587" s="3">
        <v>586</v>
      </c>
      <c r="B587" s="4">
        <v>45251</v>
      </c>
      <c r="C587" s="4" t="str">
        <f>TEXT(Table1[[#This Row],[Date]],"YYYY")</f>
        <v>2023</v>
      </c>
      <c r="D587" s="4" t="str">
        <f>TEXT(Table1[[#This Row],[Date]],"MMM")</f>
        <v>Nov</v>
      </c>
      <c r="E587" s="5" t="s">
        <v>22</v>
      </c>
      <c r="F587" s="3" t="s">
        <v>15</v>
      </c>
      <c r="G587" s="3" t="s">
        <v>21</v>
      </c>
      <c r="H587" s="3" t="s">
        <v>17</v>
      </c>
      <c r="I587" s="3"/>
      <c r="J587" s="3">
        <v>9000</v>
      </c>
      <c r="K587" s="3">
        <v>10000</v>
      </c>
      <c r="L587" s="3">
        <v>2</v>
      </c>
      <c r="M587">
        <f>Table1[[#This Row],[Qty]]*Table1[[#This Row],[Sales Price]]</f>
        <v>20000</v>
      </c>
      <c r="N587">
        <f>Table1[[#This Row],[Qty]]*Table1[[#This Row],[Cost]]</f>
        <v>18000</v>
      </c>
      <c r="O587">
        <f>Table1[[#This Row],[Revenue]]-Table1[[#This Row],[Total Cost]]</f>
        <v>2000</v>
      </c>
    </row>
    <row r="588" spans="1:15">
      <c r="A588" s="3">
        <v>587</v>
      </c>
      <c r="B588" s="4">
        <v>45252</v>
      </c>
      <c r="C588" s="4" t="str">
        <f>TEXT(Table1[[#This Row],[Date]],"YYYY")</f>
        <v>2023</v>
      </c>
      <c r="D588" s="4" t="str">
        <f>TEXT(Table1[[#This Row],[Date]],"MMM")</f>
        <v>Nov</v>
      </c>
      <c r="E588" s="5" t="s">
        <v>22</v>
      </c>
      <c r="F588" s="3" t="s">
        <v>18</v>
      </c>
      <c r="G588" s="3" t="s">
        <v>23</v>
      </c>
      <c r="H588" s="3" t="s">
        <v>17</v>
      </c>
      <c r="I588" s="3"/>
      <c r="J588" s="3">
        <v>3870</v>
      </c>
      <c r="K588" s="3">
        <v>4300</v>
      </c>
      <c r="L588" s="3">
        <v>1</v>
      </c>
      <c r="M588">
        <f>Table1[[#This Row],[Qty]]*Table1[[#This Row],[Sales Price]]</f>
        <v>4300</v>
      </c>
      <c r="N588">
        <f>Table1[[#This Row],[Qty]]*Table1[[#This Row],[Cost]]</f>
        <v>3870</v>
      </c>
      <c r="O588">
        <f>Table1[[#This Row],[Revenue]]-Table1[[#This Row],[Total Cost]]</f>
        <v>430</v>
      </c>
    </row>
    <row r="589" spans="1:15">
      <c r="A589" s="3">
        <v>588</v>
      </c>
      <c r="B589" s="4">
        <v>45253</v>
      </c>
      <c r="C589" s="4" t="str">
        <f>TEXT(Table1[[#This Row],[Date]],"YYYY")</f>
        <v>2023</v>
      </c>
      <c r="D589" s="4" t="str">
        <f>TEXT(Table1[[#This Row],[Date]],"MMM")</f>
        <v>Nov</v>
      </c>
      <c r="E589" s="5" t="s">
        <v>56</v>
      </c>
      <c r="F589" s="3" t="s">
        <v>15</v>
      </c>
      <c r="G589" s="3" t="s">
        <v>25</v>
      </c>
      <c r="H589" s="3" t="s">
        <v>17</v>
      </c>
      <c r="I589" s="3">
        <v>1</v>
      </c>
      <c r="J589" s="3">
        <v>8640</v>
      </c>
      <c r="K589" s="3">
        <v>9600</v>
      </c>
      <c r="L589" s="3">
        <v>22</v>
      </c>
      <c r="M589">
        <f>Table1[[#This Row],[Qty]]*Table1[[#This Row],[Sales Price]]</f>
        <v>211200</v>
      </c>
      <c r="N589">
        <f>Table1[[#This Row],[Qty]]*Table1[[#This Row],[Cost]]</f>
        <v>190080</v>
      </c>
      <c r="O589">
        <f>Table1[[#This Row],[Revenue]]-Table1[[#This Row],[Total Cost]]</f>
        <v>21120</v>
      </c>
    </row>
    <row r="590" spans="1:15">
      <c r="A590" s="3">
        <v>589</v>
      </c>
      <c r="B590" s="4">
        <v>45254</v>
      </c>
      <c r="C590" s="4" t="str">
        <f>TEXT(Table1[[#This Row],[Date]],"YYYY")</f>
        <v>2023</v>
      </c>
      <c r="D590" s="4" t="str">
        <f>TEXT(Table1[[#This Row],[Date]],"MMM")</f>
        <v>Nov</v>
      </c>
      <c r="E590" s="5" t="s">
        <v>22</v>
      </c>
      <c r="F590" s="3" t="s">
        <v>18</v>
      </c>
      <c r="G590" s="3" t="s">
        <v>26</v>
      </c>
      <c r="H590" s="3" t="s">
        <v>17</v>
      </c>
      <c r="I590" s="3">
        <v>1</v>
      </c>
      <c r="J590" s="3">
        <v>8280</v>
      </c>
      <c r="K590" s="3">
        <v>9200</v>
      </c>
      <c r="L590" s="3">
        <v>8</v>
      </c>
      <c r="M590">
        <f>Table1[[#This Row],[Qty]]*Table1[[#This Row],[Sales Price]]</f>
        <v>73600</v>
      </c>
      <c r="N590">
        <f>Table1[[#This Row],[Qty]]*Table1[[#This Row],[Cost]]</f>
        <v>66240</v>
      </c>
      <c r="O590">
        <f>Table1[[#This Row],[Revenue]]-Table1[[#This Row],[Total Cost]]</f>
        <v>7360</v>
      </c>
    </row>
    <row r="591" spans="1:15">
      <c r="A591" s="3">
        <v>590</v>
      </c>
      <c r="B591" s="4">
        <v>45255</v>
      </c>
      <c r="C591" s="4" t="str">
        <f>TEXT(Table1[[#This Row],[Date]],"YYYY")</f>
        <v>2023</v>
      </c>
      <c r="D591" s="4" t="str">
        <f>TEXT(Table1[[#This Row],[Date]],"MMM")</f>
        <v>Nov</v>
      </c>
      <c r="E591" s="5" t="s">
        <v>31</v>
      </c>
      <c r="F591" s="3" t="s">
        <v>15</v>
      </c>
      <c r="G591" s="3" t="s">
        <v>27</v>
      </c>
      <c r="H591" s="3" t="s">
        <v>28</v>
      </c>
      <c r="I591" s="3">
        <v>1</v>
      </c>
      <c r="J591" s="3">
        <v>4950</v>
      </c>
      <c r="K591" s="3">
        <v>5500</v>
      </c>
      <c r="L591" s="3">
        <v>7</v>
      </c>
      <c r="M591">
        <f>Table1[[#This Row],[Qty]]*Table1[[#This Row],[Sales Price]]</f>
        <v>38500</v>
      </c>
      <c r="N591">
        <f>Table1[[#This Row],[Qty]]*Table1[[#This Row],[Cost]]</f>
        <v>34650</v>
      </c>
      <c r="O591">
        <f>Table1[[#This Row],[Revenue]]-Table1[[#This Row],[Total Cost]]</f>
        <v>3850</v>
      </c>
    </row>
    <row r="592" spans="1:15">
      <c r="A592" s="3">
        <v>591</v>
      </c>
      <c r="B592" s="4">
        <v>45256</v>
      </c>
      <c r="C592" s="4" t="str">
        <f>TEXT(Table1[[#This Row],[Date]],"YYYY")</f>
        <v>2023</v>
      </c>
      <c r="D592" s="4" t="str">
        <f>TEXT(Table1[[#This Row],[Date]],"MMM")</f>
        <v>Nov</v>
      </c>
      <c r="E592" s="5" t="s">
        <v>31</v>
      </c>
      <c r="F592" s="3" t="s">
        <v>18</v>
      </c>
      <c r="G592" s="3" t="s">
        <v>30</v>
      </c>
      <c r="H592" s="3" t="s">
        <v>28</v>
      </c>
      <c r="I592" s="3">
        <v>0</v>
      </c>
      <c r="J592" s="3">
        <v>3150</v>
      </c>
      <c r="K592" s="3">
        <v>3500</v>
      </c>
      <c r="L592" s="3">
        <v>56</v>
      </c>
      <c r="M592">
        <f>Table1[[#This Row],[Qty]]*Table1[[#This Row],[Sales Price]]</f>
        <v>196000</v>
      </c>
      <c r="N592">
        <f>Table1[[#This Row],[Qty]]*Table1[[#This Row],[Cost]]</f>
        <v>176400</v>
      </c>
      <c r="O592">
        <f>Table1[[#This Row],[Revenue]]-Table1[[#This Row],[Total Cost]]</f>
        <v>19600</v>
      </c>
    </row>
    <row r="593" spans="1:15">
      <c r="A593" s="3">
        <v>592</v>
      </c>
      <c r="B593" s="4">
        <v>45257</v>
      </c>
      <c r="C593" s="4" t="str">
        <f>TEXT(Table1[[#This Row],[Date]],"YYYY")</f>
        <v>2023</v>
      </c>
      <c r="D593" s="4" t="str">
        <f>TEXT(Table1[[#This Row],[Date]],"MMM")</f>
        <v>Nov</v>
      </c>
      <c r="E593" s="5" t="s">
        <v>40</v>
      </c>
      <c r="F593" s="3" t="s">
        <v>15</v>
      </c>
      <c r="G593" s="3" t="s">
        <v>32</v>
      </c>
      <c r="H593" s="3" t="s">
        <v>28</v>
      </c>
      <c r="I593" s="3">
        <v>1</v>
      </c>
      <c r="J593" s="3">
        <v>2700</v>
      </c>
      <c r="K593" s="3">
        <v>3000</v>
      </c>
      <c r="L593" s="3">
        <v>10</v>
      </c>
      <c r="M593">
        <f>Table1[[#This Row],[Qty]]*Table1[[#This Row],[Sales Price]]</f>
        <v>30000</v>
      </c>
      <c r="N593">
        <f>Table1[[#This Row],[Qty]]*Table1[[#This Row],[Cost]]</f>
        <v>27000</v>
      </c>
      <c r="O593">
        <f>Table1[[#This Row],[Revenue]]-Table1[[#This Row],[Total Cost]]</f>
        <v>3000</v>
      </c>
    </row>
    <row r="594" spans="1:15">
      <c r="A594" s="3">
        <v>593</v>
      </c>
      <c r="B594" s="4">
        <v>45258</v>
      </c>
      <c r="C594" s="4" t="str">
        <f>TEXT(Table1[[#This Row],[Date]],"YYYY")</f>
        <v>2023</v>
      </c>
      <c r="D594" s="4" t="str">
        <f>TEXT(Table1[[#This Row],[Date]],"MMM")</f>
        <v>Nov</v>
      </c>
      <c r="E594" s="5" t="s">
        <v>31</v>
      </c>
      <c r="F594" s="3" t="s">
        <v>18</v>
      </c>
      <c r="G594" s="3" t="s">
        <v>44</v>
      </c>
      <c r="H594" s="3" t="s">
        <v>43</v>
      </c>
      <c r="I594" s="3">
        <v>0</v>
      </c>
      <c r="J594" s="3">
        <v>4050</v>
      </c>
      <c r="K594" s="3">
        <v>4500</v>
      </c>
      <c r="L594" s="3">
        <v>9</v>
      </c>
      <c r="M594">
        <f>Table1[[#This Row],[Qty]]*Table1[[#This Row],[Sales Price]]</f>
        <v>40500</v>
      </c>
      <c r="N594">
        <f>Table1[[#This Row],[Qty]]*Table1[[#This Row],[Cost]]</f>
        <v>36450</v>
      </c>
      <c r="O594">
        <f>Table1[[#This Row],[Revenue]]-Table1[[#This Row],[Total Cost]]</f>
        <v>4050</v>
      </c>
    </row>
    <row r="595" spans="1:15">
      <c r="A595" s="3">
        <v>594</v>
      </c>
      <c r="B595" s="4">
        <v>45259</v>
      </c>
      <c r="C595" s="4" t="str">
        <f>TEXT(Table1[[#This Row],[Date]],"YYYY")</f>
        <v>2023</v>
      </c>
      <c r="D595" s="4" t="str">
        <f>TEXT(Table1[[#This Row],[Date]],"MMM")</f>
        <v>Nov</v>
      </c>
      <c r="E595" s="5" t="s">
        <v>24</v>
      </c>
      <c r="F595" s="3" t="s">
        <v>15</v>
      </c>
      <c r="G595" s="3" t="s">
        <v>45</v>
      </c>
      <c r="H595" s="3" t="s">
        <v>43</v>
      </c>
      <c r="I595" s="3"/>
      <c r="J595" s="3">
        <v>53100</v>
      </c>
      <c r="K595" s="3">
        <v>59000</v>
      </c>
      <c r="L595" s="3">
        <v>27</v>
      </c>
      <c r="M595">
        <f>Table1[[#This Row],[Qty]]*Table1[[#This Row],[Sales Price]]</f>
        <v>1593000</v>
      </c>
      <c r="N595">
        <f>Table1[[#This Row],[Qty]]*Table1[[#This Row],[Cost]]</f>
        <v>1433700</v>
      </c>
      <c r="O595">
        <f>Table1[[#This Row],[Revenue]]-Table1[[#This Row],[Total Cost]]</f>
        <v>159300</v>
      </c>
    </row>
    <row r="596" spans="1:15">
      <c r="A596" s="3">
        <v>595</v>
      </c>
      <c r="B596" s="4">
        <v>45260</v>
      </c>
      <c r="C596" s="4" t="str">
        <f>TEXT(Table1[[#This Row],[Date]],"YYYY")</f>
        <v>2023</v>
      </c>
      <c r="D596" s="4" t="str">
        <f>TEXT(Table1[[#This Row],[Date]],"MMM")</f>
        <v>Nov</v>
      </c>
      <c r="E596" s="5" t="s">
        <v>56</v>
      </c>
      <c r="F596" s="3" t="s">
        <v>18</v>
      </c>
      <c r="G596" s="3" t="s">
        <v>47</v>
      </c>
      <c r="H596" s="3" t="s">
        <v>43</v>
      </c>
      <c r="I596" s="3"/>
      <c r="J596" s="3">
        <v>88200</v>
      </c>
      <c r="K596" s="3">
        <v>98000</v>
      </c>
      <c r="L596" s="3">
        <v>15</v>
      </c>
      <c r="M596">
        <f>Table1[[#This Row],[Qty]]*Table1[[#This Row],[Sales Price]]</f>
        <v>1470000</v>
      </c>
      <c r="N596">
        <f>Table1[[#This Row],[Qty]]*Table1[[#This Row],[Cost]]</f>
        <v>1323000</v>
      </c>
      <c r="O596">
        <f>Table1[[#This Row],[Revenue]]-Table1[[#This Row],[Total Cost]]</f>
        <v>147000</v>
      </c>
    </row>
    <row r="597" spans="1:15">
      <c r="A597" s="3">
        <v>596</v>
      </c>
      <c r="B597" s="4">
        <v>45261</v>
      </c>
      <c r="C597" s="4" t="str">
        <f>TEXT(Table1[[#This Row],[Date]],"YYYY")</f>
        <v>2023</v>
      </c>
      <c r="D597" s="4" t="str">
        <f>TEXT(Table1[[#This Row],[Date]],"MMM")</f>
        <v>Dec</v>
      </c>
      <c r="E597" s="5" t="s">
        <v>31</v>
      </c>
      <c r="F597" s="3" t="s">
        <v>15</v>
      </c>
      <c r="G597" s="3" t="s">
        <v>44</v>
      </c>
      <c r="H597" s="3" t="s">
        <v>43</v>
      </c>
      <c r="I597" s="3"/>
      <c r="J597" s="3">
        <v>38250</v>
      </c>
      <c r="K597" s="3">
        <v>42500</v>
      </c>
      <c r="L597" s="3">
        <v>3</v>
      </c>
      <c r="M597">
        <f>Table1[[#This Row],[Qty]]*Table1[[#This Row],[Sales Price]]</f>
        <v>127500</v>
      </c>
      <c r="N597">
        <f>Table1[[#This Row],[Qty]]*Table1[[#This Row],[Cost]]</f>
        <v>114750</v>
      </c>
      <c r="O597">
        <f>Table1[[#This Row],[Revenue]]-Table1[[#This Row],[Total Cost]]</f>
        <v>12750</v>
      </c>
    </row>
    <row r="598" spans="1:15">
      <c r="A598" s="3">
        <v>597</v>
      </c>
      <c r="B598" s="4">
        <v>45262</v>
      </c>
      <c r="C598" s="4" t="str">
        <f>TEXT(Table1[[#This Row],[Date]],"YYYY")</f>
        <v>2023</v>
      </c>
      <c r="D598" s="4" t="str">
        <f>TEXT(Table1[[#This Row],[Date]],"MMM")</f>
        <v>Dec</v>
      </c>
      <c r="E598" s="5" t="s">
        <v>35</v>
      </c>
      <c r="F598" s="3" t="s">
        <v>18</v>
      </c>
      <c r="G598" s="3" t="s">
        <v>45</v>
      </c>
      <c r="H598" s="3" t="s">
        <v>43</v>
      </c>
      <c r="I598" s="3">
        <v>1</v>
      </c>
      <c r="J598" s="3">
        <v>2700</v>
      </c>
      <c r="K598" s="3">
        <v>3000</v>
      </c>
      <c r="L598" s="3">
        <v>9</v>
      </c>
      <c r="M598">
        <f>Table1[[#This Row],[Qty]]*Table1[[#This Row],[Sales Price]]</f>
        <v>27000</v>
      </c>
      <c r="N598">
        <f>Table1[[#This Row],[Qty]]*Table1[[#This Row],[Cost]]</f>
        <v>24300</v>
      </c>
      <c r="O598">
        <f>Table1[[#This Row],[Revenue]]-Table1[[#This Row],[Total Cost]]</f>
        <v>2700</v>
      </c>
    </row>
    <row r="599" spans="1:15">
      <c r="A599" s="3">
        <v>598</v>
      </c>
      <c r="B599" s="4">
        <v>45263</v>
      </c>
      <c r="C599" s="4" t="str">
        <f>TEXT(Table1[[#This Row],[Date]],"YYYY")</f>
        <v>2023</v>
      </c>
      <c r="D599" s="4" t="str">
        <f>TEXT(Table1[[#This Row],[Date]],"MMM")</f>
        <v>Dec</v>
      </c>
      <c r="E599" s="5" t="s">
        <v>22</v>
      </c>
      <c r="F599" s="3" t="s">
        <v>15</v>
      </c>
      <c r="G599" s="3" t="s">
        <v>47</v>
      </c>
      <c r="H599" s="3" t="s">
        <v>43</v>
      </c>
      <c r="I599" s="3">
        <v>1</v>
      </c>
      <c r="J599" s="3">
        <v>23850</v>
      </c>
      <c r="K599" s="3">
        <v>26500</v>
      </c>
      <c r="L599" s="3">
        <v>22</v>
      </c>
      <c r="M599">
        <f>Table1[[#This Row],[Qty]]*Table1[[#This Row],[Sales Price]]</f>
        <v>583000</v>
      </c>
      <c r="N599">
        <f>Table1[[#This Row],[Qty]]*Table1[[#This Row],[Cost]]</f>
        <v>524700</v>
      </c>
      <c r="O599">
        <f>Table1[[#This Row],[Revenue]]-Table1[[#This Row],[Total Cost]]</f>
        <v>58300</v>
      </c>
    </row>
    <row r="600" spans="1:15">
      <c r="A600" s="3">
        <v>599</v>
      </c>
      <c r="B600" s="4">
        <v>45264</v>
      </c>
      <c r="C600" s="4" t="str">
        <f>TEXT(Table1[[#This Row],[Date]],"YYYY")</f>
        <v>2023</v>
      </c>
      <c r="D600" s="4" t="str">
        <f>TEXT(Table1[[#This Row],[Date]],"MMM")</f>
        <v>Dec</v>
      </c>
      <c r="E600" s="5" t="s">
        <v>66</v>
      </c>
      <c r="F600" s="3" t="s">
        <v>18</v>
      </c>
      <c r="G600" s="3" t="s">
        <v>44</v>
      </c>
      <c r="H600" s="3" t="s">
        <v>43</v>
      </c>
      <c r="I600" s="3">
        <v>0</v>
      </c>
      <c r="J600" s="3">
        <v>24750</v>
      </c>
      <c r="K600" s="3">
        <v>27500</v>
      </c>
      <c r="L600" s="3">
        <v>16</v>
      </c>
      <c r="M600">
        <f>Table1[[#This Row],[Qty]]*Table1[[#This Row],[Sales Price]]</f>
        <v>440000</v>
      </c>
      <c r="N600">
        <f>Table1[[#This Row],[Qty]]*Table1[[#This Row],[Cost]]</f>
        <v>396000</v>
      </c>
      <c r="O600">
        <f>Table1[[#This Row],[Revenue]]-Table1[[#This Row],[Total Cost]]</f>
        <v>44000</v>
      </c>
    </row>
    <row r="601" spans="1:15">
      <c r="A601" s="3">
        <v>600</v>
      </c>
      <c r="B601" s="4">
        <v>45265</v>
      </c>
      <c r="C601" s="4" t="str">
        <f>TEXT(Table1[[#This Row],[Date]],"YYYY")</f>
        <v>2023</v>
      </c>
      <c r="D601" s="4" t="str">
        <f>TEXT(Table1[[#This Row],[Date]],"MMM")</f>
        <v>Dec</v>
      </c>
      <c r="E601" s="5" t="s">
        <v>31</v>
      </c>
      <c r="F601" s="3" t="s">
        <v>15</v>
      </c>
      <c r="G601" s="3" t="s">
        <v>45</v>
      </c>
      <c r="H601" s="3" t="s">
        <v>43</v>
      </c>
      <c r="I601" s="3">
        <v>1</v>
      </c>
      <c r="J601" s="3">
        <v>44550</v>
      </c>
      <c r="K601" s="3">
        <v>49500</v>
      </c>
      <c r="L601" s="3">
        <v>6</v>
      </c>
      <c r="M601">
        <f>Table1[[#This Row],[Qty]]*Table1[[#This Row],[Sales Price]]</f>
        <v>297000</v>
      </c>
      <c r="N601">
        <f>Table1[[#This Row],[Qty]]*Table1[[#This Row],[Cost]]</f>
        <v>267300</v>
      </c>
      <c r="O601">
        <f>Table1[[#This Row],[Revenue]]-Table1[[#This Row],[Total Cost]]</f>
        <v>29700</v>
      </c>
    </row>
    <row r="602" spans="1:15">
      <c r="A602" s="3">
        <v>601</v>
      </c>
      <c r="B602" s="4">
        <v>45266</v>
      </c>
      <c r="C602" s="4" t="str">
        <f>TEXT(Table1[[#This Row],[Date]],"YYYY")</f>
        <v>2023</v>
      </c>
      <c r="D602" s="4" t="str">
        <f>TEXT(Table1[[#This Row],[Date]],"MMM")</f>
        <v>Dec</v>
      </c>
      <c r="E602" s="5" t="s">
        <v>22</v>
      </c>
      <c r="F602" s="3" t="s">
        <v>18</v>
      </c>
      <c r="G602" s="3" t="s">
        <v>47</v>
      </c>
      <c r="H602" s="3" t="s">
        <v>43</v>
      </c>
      <c r="I602" s="3">
        <v>1</v>
      </c>
      <c r="J602" s="3">
        <v>9000</v>
      </c>
      <c r="K602" s="3">
        <v>10000</v>
      </c>
      <c r="L602" s="3">
        <v>3</v>
      </c>
      <c r="M602">
        <f>Table1[[#This Row],[Qty]]*Table1[[#This Row],[Sales Price]]</f>
        <v>30000</v>
      </c>
      <c r="N602">
        <f>Table1[[#This Row],[Qty]]*Table1[[#This Row],[Cost]]</f>
        <v>27000</v>
      </c>
      <c r="O602">
        <f>Table1[[#This Row],[Revenue]]-Table1[[#This Row],[Total Cost]]</f>
        <v>3000</v>
      </c>
    </row>
    <row r="603" spans="1:15">
      <c r="A603" s="3">
        <v>602</v>
      </c>
      <c r="B603" s="4">
        <v>45267</v>
      </c>
      <c r="C603" s="4" t="str">
        <f>TEXT(Table1[[#This Row],[Date]],"YYYY")</f>
        <v>2023</v>
      </c>
      <c r="D603" s="4" t="str">
        <f>TEXT(Table1[[#This Row],[Date]],"MMM")</f>
        <v>Dec</v>
      </c>
      <c r="E603" s="5" t="s">
        <v>67</v>
      </c>
      <c r="F603" s="3" t="s">
        <v>15</v>
      </c>
      <c r="G603" s="3" t="s">
        <v>44</v>
      </c>
      <c r="H603" s="3" t="s">
        <v>43</v>
      </c>
      <c r="I603" s="3">
        <v>1</v>
      </c>
      <c r="J603" s="3">
        <v>8640</v>
      </c>
      <c r="K603" s="3">
        <v>9600</v>
      </c>
      <c r="L603" s="3">
        <v>5</v>
      </c>
      <c r="M603">
        <f>Table1[[#This Row],[Qty]]*Table1[[#This Row],[Sales Price]]</f>
        <v>48000</v>
      </c>
      <c r="N603">
        <f>Table1[[#This Row],[Qty]]*Table1[[#This Row],[Cost]]</f>
        <v>43200</v>
      </c>
      <c r="O603">
        <f>Table1[[#This Row],[Revenue]]-Table1[[#This Row],[Total Cost]]</f>
        <v>4800</v>
      </c>
    </row>
    <row r="604" spans="1:15">
      <c r="A604" s="3">
        <v>603</v>
      </c>
      <c r="B604" s="4">
        <v>45268</v>
      </c>
      <c r="C604" s="4" t="str">
        <f>TEXT(Table1[[#This Row],[Date]],"YYYY")</f>
        <v>2023</v>
      </c>
      <c r="D604" s="4" t="str">
        <f>TEXT(Table1[[#This Row],[Date]],"MMM")</f>
        <v>Dec</v>
      </c>
      <c r="E604" s="5" t="s">
        <v>59</v>
      </c>
      <c r="F604" s="3" t="s">
        <v>18</v>
      </c>
      <c r="G604" s="3" t="s">
        <v>45</v>
      </c>
      <c r="H604" s="3" t="s">
        <v>43</v>
      </c>
      <c r="I604" s="3">
        <v>1</v>
      </c>
      <c r="J604" s="3">
        <v>9000</v>
      </c>
      <c r="K604" s="3">
        <v>10000</v>
      </c>
      <c r="L604" s="3">
        <v>1</v>
      </c>
      <c r="M604">
        <f>Table1[[#This Row],[Qty]]*Table1[[#This Row],[Sales Price]]</f>
        <v>10000</v>
      </c>
      <c r="N604">
        <f>Table1[[#This Row],[Qty]]*Table1[[#This Row],[Cost]]</f>
        <v>9000</v>
      </c>
      <c r="O604">
        <f>Table1[[#This Row],[Revenue]]-Table1[[#This Row],[Total Cost]]</f>
        <v>1000</v>
      </c>
    </row>
    <row r="605" spans="1:15">
      <c r="A605" s="3">
        <v>604</v>
      </c>
      <c r="B605" s="4">
        <v>45269</v>
      </c>
      <c r="C605" s="4" t="str">
        <f>TEXT(Table1[[#This Row],[Date]],"YYYY")</f>
        <v>2023</v>
      </c>
      <c r="D605" s="4" t="str">
        <f>TEXT(Table1[[#This Row],[Date]],"MMM")</f>
        <v>Dec</v>
      </c>
      <c r="E605" s="5" t="s">
        <v>39</v>
      </c>
      <c r="F605" s="3" t="s">
        <v>15</v>
      </c>
      <c r="G605" s="3" t="s">
        <v>47</v>
      </c>
      <c r="H605" s="3" t="s">
        <v>43</v>
      </c>
      <c r="I605" s="3"/>
      <c r="J605" s="3">
        <v>3870</v>
      </c>
      <c r="K605" s="3">
        <v>4300</v>
      </c>
      <c r="L605" s="3">
        <v>5</v>
      </c>
      <c r="M605">
        <f>Table1[[#This Row],[Qty]]*Table1[[#This Row],[Sales Price]]</f>
        <v>21500</v>
      </c>
      <c r="N605">
        <f>Table1[[#This Row],[Qty]]*Table1[[#This Row],[Cost]]</f>
        <v>19350</v>
      </c>
      <c r="O605">
        <f>Table1[[#This Row],[Revenue]]-Table1[[#This Row],[Total Cost]]</f>
        <v>2150</v>
      </c>
    </row>
    <row r="606" spans="1:15">
      <c r="A606" s="3">
        <v>605</v>
      </c>
      <c r="B606" s="4">
        <v>45270</v>
      </c>
      <c r="C606" s="4" t="str">
        <f>TEXT(Table1[[#This Row],[Date]],"YYYY")</f>
        <v>2023</v>
      </c>
      <c r="D606" s="4" t="str">
        <f>TEXT(Table1[[#This Row],[Date]],"MMM")</f>
        <v>Dec</v>
      </c>
      <c r="E606" s="5" t="s">
        <v>39</v>
      </c>
      <c r="F606" s="3" t="s">
        <v>18</v>
      </c>
      <c r="G606" s="3" t="s">
        <v>44</v>
      </c>
      <c r="H606" s="3" t="s">
        <v>43</v>
      </c>
      <c r="I606" s="3"/>
      <c r="J606" s="3">
        <v>8280</v>
      </c>
      <c r="K606" s="3">
        <v>9200</v>
      </c>
      <c r="L606" s="3">
        <v>7</v>
      </c>
      <c r="M606">
        <f>Table1[[#This Row],[Qty]]*Table1[[#This Row],[Sales Price]]</f>
        <v>64400</v>
      </c>
      <c r="N606">
        <f>Table1[[#This Row],[Qty]]*Table1[[#This Row],[Cost]]</f>
        <v>57960</v>
      </c>
      <c r="O606">
        <f>Table1[[#This Row],[Revenue]]-Table1[[#This Row],[Total Cost]]</f>
        <v>6440</v>
      </c>
    </row>
    <row r="607" spans="1:15">
      <c r="A607" s="3">
        <v>606</v>
      </c>
      <c r="B607" s="4">
        <v>45271</v>
      </c>
      <c r="C607" s="4" t="str">
        <f>TEXT(Table1[[#This Row],[Date]],"YYYY")</f>
        <v>2023</v>
      </c>
      <c r="D607" s="4" t="str">
        <f>TEXT(Table1[[#This Row],[Date]],"MMM")</f>
        <v>Dec</v>
      </c>
      <c r="E607" s="5" t="s">
        <v>39</v>
      </c>
      <c r="F607" s="3" t="s">
        <v>15</v>
      </c>
      <c r="G607" s="3" t="s">
        <v>45</v>
      </c>
      <c r="H607" s="3" t="s">
        <v>43</v>
      </c>
      <c r="I607" s="3">
        <v>1</v>
      </c>
      <c r="J607" s="3">
        <v>4950</v>
      </c>
      <c r="K607" s="3">
        <v>5500</v>
      </c>
      <c r="L607" s="3">
        <v>4</v>
      </c>
      <c r="M607">
        <f>Table1[[#This Row],[Qty]]*Table1[[#This Row],[Sales Price]]</f>
        <v>22000</v>
      </c>
      <c r="N607">
        <f>Table1[[#This Row],[Qty]]*Table1[[#This Row],[Cost]]</f>
        <v>19800</v>
      </c>
      <c r="O607">
        <f>Table1[[#This Row],[Revenue]]-Table1[[#This Row],[Total Cost]]</f>
        <v>2200</v>
      </c>
    </row>
    <row r="608" spans="1:15">
      <c r="A608" s="3">
        <v>607</v>
      </c>
      <c r="B608" s="4">
        <v>45272</v>
      </c>
      <c r="C608" s="4" t="str">
        <f>TEXT(Table1[[#This Row],[Date]],"YYYY")</f>
        <v>2023</v>
      </c>
      <c r="D608" s="4" t="str">
        <f>TEXT(Table1[[#This Row],[Date]],"MMM")</f>
        <v>Dec</v>
      </c>
      <c r="E608" s="5" t="s">
        <v>14</v>
      </c>
      <c r="F608" s="3" t="s">
        <v>18</v>
      </c>
      <c r="G608" s="3" t="s">
        <v>47</v>
      </c>
      <c r="H608" s="3" t="s">
        <v>43</v>
      </c>
      <c r="I608" s="3">
        <v>1</v>
      </c>
      <c r="J608" s="3">
        <v>3150</v>
      </c>
      <c r="K608" s="3">
        <v>3500</v>
      </c>
      <c r="L608" s="3">
        <v>8</v>
      </c>
      <c r="M608">
        <f>Table1[[#This Row],[Qty]]*Table1[[#This Row],[Sales Price]]</f>
        <v>28000</v>
      </c>
      <c r="N608">
        <f>Table1[[#This Row],[Qty]]*Table1[[#This Row],[Cost]]</f>
        <v>25200</v>
      </c>
      <c r="O608">
        <f>Table1[[#This Row],[Revenue]]-Table1[[#This Row],[Total Cost]]</f>
        <v>2800</v>
      </c>
    </row>
    <row r="609" spans="1:15">
      <c r="A609" s="3">
        <v>608</v>
      </c>
      <c r="B609" s="4">
        <v>45273</v>
      </c>
      <c r="C609" s="4" t="str">
        <f>TEXT(Table1[[#This Row],[Date]],"YYYY")</f>
        <v>2023</v>
      </c>
      <c r="D609" s="4" t="str">
        <f>TEXT(Table1[[#This Row],[Date]],"MMM")</f>
        <v>Dec</v>
      </c>
      <c r="E609" s="5" t="s">
        <v>33</v>
      </c>
      <c r="F609" s="3" t="s">
        <v>15</v>
      </c>
      <c r="G609" s="3" t="s">
        <v>44</v>
      </c>
      <c r="H609" s="3" t="s">
        <v>43</v>
      </c>
      <c r="I609" s="3">
        <v>1</v>
      </c>
      <c r="J609" s="3">
        <v>2700</v>
      </c>
      <c r="K609" s="3">
        <v>3000</v>
      </c>
      <c r="L609" s="3">
        <v>8</v>
      </c>
      <c r="M609">
        <f>Table1[[#This Row],[Qty]]*Table1[[#This Row],[Sales Price]]</f>
        <v>24000</v>
      </c>
      <c r="N609">
        <f>Table1[[#This Row],[Qty]]*Table1[[#This Row],[Cost]]</f>
        <v>21600</v>
      </c>
      <c r="O609">
        <f>Table1[[#This Row],[Revenue]]-Table1[[#This Row],[Total Cost]]</f>
        <v>2400</v>
      </c>
    </row>
    <row r="610" spans="1:15">
      <c r="A610" s="3">
        <v>609</v>
      </c>
      <c r="B610" s="4">
        <v>45274</v>
      </c>
      <c r="C610" s="4" t="str">
        <f>TEXT(Table1[[#This Row],[Date]],"YYYY")</f>
        <v>2023</v>
      </c>
      <c r="D610" s="4" t="str">
        <f>TEXT(Table1[[#This Row],[Date]],"MMM")</f>
        <v>Dec</v>
      </c>
      <c r="E610" s="5" t="s">
        <v>31</v>
      </c>
      <c r="F610" s="3" t="s">
        <v>18</v>
      </c>
      <c r="G610" s="3" t="s">
        <v>45</v>
      </c>
      <c r="H610" s="3" t="s">
        <v>43</v>
      </c>
      <c r="I610" s="3">
        <v>1</v>
      </c>
      <c r="J610" s="3">
        <v>4050</v>
      </c>
      <c r="K610" s="3">
        <v>4500</v>
      </c>
      <c r="L610" s="3">
        <v>9</v>
      </c>
      <c r="M610">
        <f>Table1[[#This Row],[Qty]]*Table1[[#This Row],[Sales Price]]</f>
        <v>40500</v>
      </c>
      <c r="N610">
        <f>Table1[[#This Row],[Qty]]*Table1[[#This Row],[Cost]]</f>
        <v>36450</v>
      </c>
      <c r="O610">
        <f>Table1[[#This Row],[Revenue]]-Table1[[#This Row],[Total Cost]]</f>
        <v>4050</v>
      </c>
    </row>
    <row r="611" spans="1:15">
      <c r="A611" s="3">
        <v>610</v>
      </c>
      <c r="B611" s="4">
        <v>45275</v>
      </c>
      <c r="C611" s="4" t="str">
        <f>TEXT(Table1[[#This Row],[Date]],"YYYY")</f>
        <v>2023</v>
      </c>
      <c r="D611" s="4" t="str">
        <f>TEXT(Table1[[#This Row],[Date]],"MMM")</f>
        <v>Dec</v>
      </c>
      <c r="E611" s="5" t="s">
        <v>39</v>
      </c>
      <c r="F611" s="3" t="s">
        <v>15</v>
      </c>
      <c r="G611" s="3" t="s">
        <v>47</v>
      </c>
      <c r="H611" s="3" t="s">
        <v>43</v>
      </c>
      <c r="I611" s="3">
        <v>1</v>
      </c>
      <c r="J611" s="3">
        <v>8280</v>
      </c>
      <c r="K611" s="3">
        <v>9200</v>
      </c>
      <c r="L611" s="3">
        <v>2</v>
      </c>
      <c r="M611">
        <f>Table1[[#This Row],[Qty]]*Table1[[#This Row],[Sales Price]]</f>
        <v>18400</v>
      </c>
      <c r="N611">
        <f>Table1[[#This Row],[Qty]]*Table1[[#This Row],[Cost]]</f>
        <v>16560</v>
      </c>
      <c r="O611">
        <f>Table1[[#This Row],[Revenue]]-Table1[[#This Row],[Total Cost]]</f>
        <v>1840</v>
      </c>
    </row>
    <row r="612" spans="1:15">
      <c r="A612" s="3">
        <v>611</v>
      </c>
      <c r="B612" s="4">
        <v>45276</v>
      </c>
      <c r="C612" s="4" t="str">
        <f>TEXT(Table1[[#This Row],[Date]],"YYYY")</f>
        <v>2023</v>
      </c>
      <c r="D612" s="4" t="str">
        <f>TEXT(Table1[[#This Row],[Date]],"MMM")</f>
        <v>Dec</v>
      </c>
      <c r="E612" s="5" t="s">
        <v>24</v>
      </c>
      <c r="F612" s="3" t="s">
        <v>18</v>
      </c>
      <c r="G612" s="3" t="s">
        <v>44</v>
      </c>
      <c r="H612" s="3" t="s">
        <v>43</v>
      </c>
      <c r="I612" s="3">
        <v>1</v>
      </c>
      <c r="J612" s="3">
        <v>4950</v>
      </c>
      <c r="K612" s="3">
        <v>5500</v>
      </c>
      <c r="L612" s="3">
        <v>1</v>
      </c>
      <c r="M612">
        <f>Table1[[#This Row],[Qty]]*Table1[[#This Row],[Sales Price]]</f>
        <v>5500</v>
      </c>
      <c r="N612">
        <f>Table1[[#This Row],[Qty]]*Table1[[#This Row],[Cost]]</f>
        <v>4950</v>
      </c>
      <c r="O612">
        <f>Table1[[#This Row],[Revenue]]-Table1[[#This Row],[Total Cost]]</f>
        <v>550</v>
      </c>
    </row>
    <row r="613" spans="1:15">
      <c r="A613" s="3">
        <v>612</v>
      </c>
      <c r="B613" s="4">
        <v>45277</v>
      </c>
      <c r="C613" s="4" t="str">
        <f>TEXT(Table1[[#This Row],[Date]],"YYYY")</f>
        <v>2023</v>
      </c>
      <c r="D613" s="4" t="str">
        <f>TEXT(Table1[[#This Row],[Date]],"MMM")</f>
        <v>Dec</v>
      </c>
      <c r="E613" s="5" t="s">
        <v>40</v>
      </c>
      <c r="F613" s="3" t="s">
        <v>15</v>
      </c>
      <c r="G613" s="3" t="s">
        <v>45</v>
      </c>
      <c r="H613" s="3" t="s">
        <v>43</v>
      </c>
      <c r="I613" s="3"/>
      <c r="J613" s="3">
        <v>3150</v>
      </c>
      <c r="K613" s="3">
        <v>3500</v>
      </c>
      <c r="L613" s="3">
        <v>22</v>
      </c>
      <c r="M613">
        <f>Table1[[#This Row],[Qty]]*Table1[[#This Row],[Sales Price]]</f>
        <v>77000</v>
      </c>
      <c r="N613">
        <f>Table1[[#This Row],[Qty]]*Table1[[#This Row],[Cost]]</f>
        <v>69300</v>
      </c>
      <c r="O613">
        <f>Table1[[#This Row],[Revenue]]-Table1[[#This Row],[Total Cost]]</f>
        <v>7700</v>
      </c>
    </row>
    <row r="614" spans="1:15">
      <c r="A614" s="3">
        <v>613</v>
      </c>
      <c r="B614" s="4">
        <v>45278</v>
      </c>
      <c r="C614" s="4" t="str">
        <f>TEXT(Table1[[#This Row],[Date]],"YYYY")</f>
        <v>2023</v>
      </c>
      <c r="D614" s="4" t="str">
        <f>TEXT(Table1[[#This Row],[Date]],"MMM")</f>
        <v>Dec</v>
      </c>
      <c r="E614" s="5" t="s">
        <v>56</v>
      </c>
      <c r="F614" s="3" t="s">
        <v>18</v>
      </c>
      <c r="G614" s="3" t="s">
        <v>47</v>
      </c>
      <c r="H614" s="3" t="s">
        <v>43</v>
      </c>
      <c r="I614" s="3"/>
      <c r="J614" s="3">
        <v>2700</v>
      </c>
      <c r="K614" s="3">
        <v>3000</v>
      </c>
      <c r="L614" s="3">
        <v>8</v>
      </c>
      <c r="M614">
        <f>Table1[[#This Row],[Qty]]*Table1[[#This Row],[Sales Price]]</f>
        <v>24000</v>
      </c>
      <c r="N614">
        <f>Table1[[#This Row],[Qty]]*Table1[[#This Row],[Cost]]</f>
        <v>21600</v>
      </c>
      <c r="O614">
        <f>Table1[[#This Row],[Revenue]]-Table1[[#This Row],[Total Cost]]</f>
        <v>2400</v>
      </c>
    </row>
    <row r="615" spans="1:15">
      <c r="A615" s="3">
        <v>614</v>
      </c>
      <c r="B615" s="4">
        <v>45279</v>
      </c>
      <c r="C615" s="4" t="str">
        <f>TEXT(Table1[[#This Row],[Date]],"YYYY")</f>
        <v>2023</v>
      </c>
      <c r="D615" s="4" t="str">
        <f>TEXT(Table1[[#This Row],[Date]],"MMM")</f>
        <v>Dec</v>
      </c>
      <c r="E615" s="5" t="s">
        <v>39</v>
      </c>
      <c r="F615" s="3" t="s">
        <v>15</v>
      </c>
      <c r="G615" s="3" t="s">
        <v>44</v>
      </c>
      <c r="H615" s="3" t="s">
        <v>43</v>
      </c>
      <c r="I615" s="3"/>
      <c r="J615" s="3">
        <v>4050</v>
      </c>
      <c r="K615" s="3">
        <v>4500</v>
      </c>
      <c r="L615" s="3">
        <v>7</v>
      </c>
      <c r="M615">
        <f>Table1[[#This Row],[Qty]]*Table1[[#This Row],[Sales Price]]</f>
        <v>31500</v>
      </c>
      <c r="N615">
        <f>Table1[[#This Row],[Qty]]*Table1[[#This Row],[Cost]]</f>
        <v>28350</v>
      </c>
      <c r="O615">
        <f>Table1[[#This Row],[Revenue]]-Table1[[#This Row],[Total Cost]]</f>
        <v>3150</v>
      </c>
    </row>
    <row r="616" spans="1:15">
      <c r="A616" s="3">
        <v>615</v>
      </c>
      <c r="B616" s="4">
        <v>45280</v>
      </c>
      <c r="C616" s="4" t="str">
        <f>TEXT(Table1[[#This Row],[Date]],"YYYY")</f>
        <v>2023</v>
      </c>
      <c r="D616" s="4" t="str">
        <f>TEXT(Table1[[#This Row],[Date]],"MMM")</f>
        <v>Dec</v>
      </c>
      <c r="E616" s="5" t="s">
        <v>14</v>
      </c>
      <c r="F616" s="3" t="s">
        <v>18</v>
      </c>
      <c r="G616" s="3" t="s">
        <v>45</v>
      </c>
      <c r="H616" s="3" t="s">
        <v>43</v>
      </c>
      <c r="I616" s="3">
        <v>1</v>
      </c>
      <c r="J616" s="3">
        <v>8280</v>
      </c>
      <c r="K616" s="3">
        <v>9200</v>
      </c>
      <c r="L616" s="3">
        <v>56</v>
      </c>
      <c r="M616">
        <f>Table1[[#This Row],[Qty]]*Table1[[#This Row],[Sales Price]]</f>
        <v>515200</v>
      </c>
      <c r="N616">
        <f>Table1[[#This Row],[Qty]]*Table1[[#This Row],[Cost]]</f>
        <v>463680</v>
      </c>
      <c r="O616">
        <f>Table1[[#This Row],[Revenue]]-Table1[[#This Row],[Total Cost]]</f>
        <v>51520</v>
      </c>
    </row>
    <row r="617" spans="1:15">
      <c r="A617" s="3">
        <v>616</v>
      </c>
      <c r="B617" s="4">
        <v>45281</v>
      </c>
      <c r="C617" s="4" t="str">
        <f>TEXT(Table1[[#This Row],[Date]],"YYYY")</f>
        <v>2023</v>
      </c>
      <c r="D617" s="4" t="str">
        <f>TEXT(Table1[[#This Row],[Date]],"MMM")</f>
        <v>Dec</v>
      </c>
      <c r="E617" s="5" t="s">
        <v>56</v>
      </c>
      <c r="F617" s="3" t="s">
        <v>15</v>
      </c>
      <c r="G617" s="3" t="s">
        <v>47</v>
      </c>
      <c r="H617" s="3" t="s">
        <v>43</v>
      </c>
      <c r="I617" s="3">
        <v>1</v>
      </c>
      <c r="J617" s="3">
        <v>4950</v>
      </c>
      <c r="K617" s="3">
        <v>5500</v>
      </c>
      <c r="L617" s="3">
        <v>10</v>
      </c>
      <c r="M617">
        <f>Table1[[#This Row],[Qty]]*Table1[[#This Row],[Sales Price]]</f>
        <v>55000</v>
      </c>
      <c r="N617">
        <f>Table1[[#This Row],[Qty]]*Table1[[#This Row],[Cost]]</f>
        <v>49500</v>
      </c>
      <c r="O617">
        <f>Table1[[#This Row],[Revenue]]-Table1[[#This Row],[Total Cost]]</f>
        <v>5500</v>
      </c>
    </row>
    <row r="618" spans="1:15">
      <c r="A618" s="3">
        <v>617</v>
      </c>
      <c r="B618" s="4">
        <v>45282</v>
      </c>
      <c r="C618" s="4" t="str">
        <f>TEXT(Table1[[#This Row],[Date]],"YYYY")</f>
        <v>2023</v>
      </c>
      <c r="D618" s="4" t="str">
        <f>TEXT(Table1[[#This Row],[Date]],"MMM")</f>
        <v>Dec</v>
      </c>
      <c r="E618" s="5" t="s">
        <v>39</v>
      </c>
      <c r="F618" s="3" t="s">
        <v>18</v>
      </c>
      <c r="G618" s="3" t="s">
        <v>44</v>
      </c>
      <c r="H618" s="3" t="s">
        <v>43</v>
      </c>
      <c r="I618" s="3">
        <v>1</v>
      </c>
      <c r="J618" s="3">
        <v>3150</v>
      </c>
      <c r="K618" s="3">
        <v>3500</v>
      </c>
      <c r="L618" s="3">
        <v>9</v>
      </c>
      <c r="M618">
        <f>Table1[[#This Row],[Qty]]*Table1[[#This Row],[Sales Price]]</f>
        <v>31500</v>
      </c>
      <c r="N618">
        <f>Table1[[#This Row],[Qty]]*Table1[[#This Row],[Cost]]</f>
        <v>28350</v>
      </c>
      <c r="O618">
        <f>Table1[[#This Row],[Revenue]]-Table1[[#This Row],[Total Cost]]</f>
        <v>3150</v>
      </c>
    </row>
    <row r="619" spans="1:15">
      <c r="A619" s="3">
        <v>618</v>
      </c>
      <c r="B619" s="4">
        <v>45283</v>
      </c>
      <c r="C619" s="4" t="str">
        <f>TEXT(Table1[[#This Row],[Date]],"YYYY")</f>
        <v>2023</v>
      </c>
      <c r="D619" s="4" t="str">
        <f>TEXT(Table1[[#This Row],[Date]],"MMM")</f>
        <v>Dec</v>
      </c>
      <c r="E619" s="5" t="s">
        <v>56</v>
      </c>
      <c r="F619" s="3" t="s">
        <v>15</v>
      </c>
      <c r="G619" s="3" t="s">
        <v>45</v>
      </c>
      <c r="H619" s="3" t="s">
        <v>43</v>
      </c>
      <c r="I619" s="3">
        <v>0</v>
      </c>
      <c r="J619" s="3">
        <v>2700</v>
      </c>
      <c r="K619" s="3">
        <v>3000</v>
      </c>
      <c r="L619" s="3">
        <v>27</v>
      </c>
      <c r="M619">
        <f>Table1[[#This Row],[Qty]]*Table1[[#This Row],[Sales Price]]</f>
        <v>81000</v>
      </c>
      <c r="N619">
        <f>Table1[[#This Row],[Qty]]*Table1[[#This Row],[Cost]]</f>
        <v>72900</v>
      </c>
      <c r="O619">
        <f>Table1[[#This Row],[Revenue]]-Table1[[#This Row],[Total Cost]]</f>
        <v>8100</v>
      </c>
    </row>
    <row r="620" spans="1:15">
      <c r="A620" s="3">
        <v>619</v>
      </c>
      <c r="B620" s="4">
        <v>45284</v>
      </c>
      <c r="C620" s="4" t="str">
        <f>TEXT(Table1[[#This Row],[Date]],"YYYY")</f>
        <v>2023</v>
      </c>
      <c r="D620" s="4" t="str">
        <f>TEXT(Table1[[#This Row],[Date]],"MMM")</f>
        <v>Dec</v>
      </c>
      <c r="E620" s="5" t="s">
        <v>39</v>
      </c>
      <c r="F620" s="3" t="s">
        <v>18</v>
      </c>
      <c r="G620" s="3" t="s">
        <v>47</v>
      </c>
      <c r="H620" s="3" t="s">
        <v>43</v>
      </c>
      <c r="I620" s="3">
        <v>0</v>
      </c>
      <c r="J620" s="3">
        <v>4050</v>
      </c>
      <c r="K620" s="3">
        <v>4500</v>
      </c>
      <c r="L620" s="3">
        <v>15</v>
      </c>
      <c r="M620">
        <f>Table1[[#This Row],[Qty]]*Table1[[#This Row],[Sales Price]]</f>
        <v>67500</v>
      </c>
      <c r="N620">
        <f>Table1[[#This Row],[Qty]]*Table1[[#This Row],[Cost]]</f>
        <v>60750</v>
      </c>
      <c r="O620">
        <f>Table1[[#This Row],[Revenue]]-Table1[[#This Row],[Total Cost]]</f>
        <v>6750</v>
      </c>
    </row>
    <row r="621" spans="1:15">
      <c r="A621" s="3">
        <v>620</v>
      </c>
      <c r="B621" s="4">
        <v>45285</v>
      </c>
      <c r="C621" s="4" t="str">
        <f>TEXT(Table1[[#This Row],[Date]],"YYYY")</f>
        <v>2023</v>
      </c>
      <c r="D621" s="4" t="str">
        <f>TEXT(Table1[[#This Row],[Date]],"MMM")</f>
        <v>Dec</v>
      </c>
      <c r="E621" s="5" t="s">
        <v>63</v>
      </c>
      <c r="F621" s="3" t="s">
        <v>15</v>
      </c>
      <c r="G621" s="3" t="s">
        <v>44</v>
      </c>
      <c r="H621" s="3" t="s">
        <v>43</v>
      </c>
      <c r="I621" s="3">
        <v>0</v>
      </c>
      <c r="J621" s="3">
        <v>8280</v>
      </c>
      <c r="K621" s="3">
        <v>9200</v>
      </c>
      <c r="L621" s="3">
        <v>3</v>
      </c>
      <c r="M621">
        <f>Table1[[#This Row],[Qty]]*Table1[[#This Row],[Sales Price]]</f>
        <v>27600</v>
      </c>
      <c r="N621">
        <f>Table1[[#This Row],[Qty]]*Table1[[#This Row],[Cost]]</f>
        <v>24840</v>
      </c>
      <c r="O621">
        <f>Table1[[#This Row],[Revenue]]-Table1[[#This Row],[Total Cost]]</f>
        <v>2760</v>
      </c>
    </row>
    <row r="622" spans="1:15">
      <c r="A622" s="3">
        <v>621</v>
      </c>
      <c r="B622" s="4">
        <v>45286</v>
      </c>
      <c r="C622" s="4" t="str">
        <f>TEXT(Table1[[#This Row],[Date]],"YYYY")</f>
        <v>2023</v>
      </c>
      <c r="D622" s="4" t="str">
        <f>TEXT(Table1[[#This Row],[Date]],"MMM")</f>
        <v>Dec</v>
      </c>
      <c r="E622" s="5" t="s">
        <v>35</v>
      </c>
      <c r="F622" s="3" t="s">
        <v>18</v>
      </c>
      <c r="G622" s="3" t="s">
        <v>45</v>
      </c>
      <c r="H622" s="3" t="s">
        <v>43</v>
      </c>
      <c r="I622" s="3">
        <v>1</v>
      </c>
      <c r="J622" s="3">
        <v>4950</v>
      </c>
      <c r="K622" s="3">
        <v>5500</v>
      </c>
      <c r="L622" s="3">
        <v>9</v>
      </c>
      <c r="M622">
        <f>Table1[[#This Row],[Qty]]*Table1[[#This Row],[Sales Price]]</f>
        <v>49500</v>
      </c>
      <c r="N622">
        <f>Table1[[#This Row],[Qty]]*Table1[[#This Row],[Cost]]</f>
        <v>44550</v>
      </c>
      <c r="O622">
        <f>Table1[[#This Row],[Revenue]]-Table1[[#This Row],[Total Cost]]</f>
        <v>4950</v>
      </c>
    </row>
    <row r="623" spans="1:15">
      <c r="A623" s="3">
        <v>622</v>
      </c>
      <c r="B623" s="4">
        <v>45287</v>
      </c>
      <c r="C623" s="4" t="str">
        <f>TEXT(Table1[[#This Row],[Date]],"YYYY")</f>
        <v>2023</v>
      </c>
      <c r="D623" s="4" t="str">
        <f>TEXT(Table1[[#This Row],[Date]],"MMM")</f>
        <v>Dec</v>
      </c>
      <c r="E623" s="5" t="s">
        <v>24</v>
      </c>
      <c r="F623" s="3" t="s">
        <v>15</v>
      </c>
      <c r="G623" s="3" t="s">
        <v>47</v>
      </c>
      <c r="H623" s="3" t="s">
        <v>43</v>
      </c>
      <c r="I623" s="3"/>
      <c r="J623" s="3">
        <v>3150</v>
      </c>
      <c r="K623" s="3">
        <v>3500</v>
      </c>
      <c r="L623" s="3">
        <v>22</v>
      </c>
      <c r="M623">
        <f>Table1[[#This Row],[Qty]]*Table1[[#This Row],[Sales Price]]</f>
        <v>77000</v>
      </c>
      <c r="N623">
        <f>Table1[[#This Row],[Qty]]*Table1[[#This Row],[Cost]]</f>
        <v>69300</v>
      </c>
      <c r="O623">
        <f>Table1[[#This Row],[Revenue]]-Table1[[#This Row],[Total Cost]]</f>
        <v>7700</v>
      </c>
    </row>
    <row r="624" spans="1:15">
      <c r="A624" s="3">
        <v>623</v>
      </c>
      <c r="B624" s="4">
        <v>45288</v>
      </c>
      <c r="C624" s="4" t="str">
        <f>TEXT(Table1[[#This Row],[Date]],"YYYY")</f>
        <v>2023</v>
      </c>
      <c r="D624" s="4" t="str">
        <f>TEXT(Table1[[#This Row],[Date]],"MMM")</f>
        <v>Dec</v>
      </c>
      <c r="E624" s="5" t="s">
        <v>59</v>
      </c>
      <c r="F624" s="3" t="s">
        <v>18</v>
      </c>
      <c r="G624" s="3" t="s">
        <v>44</v>
      </c>
      <c r="H624" s="3" t="s">
        <v>43</v>
      </c>
      <c r="I624" s="3"/>
      <c r="J624" s="3">
        <v>2700</v>
      </c>
      <c r="K624" s="3">
        <v>3000</v>
      </c>
      <c r="L624" s="3">
        <v>16</v>
      </c>
      <c r="M624">
        <f>Table1[[#This Row],[Qty]]*Table1[[#This Row],[Sales Price]]</f>
        <v>48000</v>
      </c>
      <c r="N624">
        <f>Table1[[#This Row],[Qty]]*Table1[[#This Row],[Cost]]</f>
        <v>43200</v>
      </c>
      <c r="O624">
        <f>Table1[[#This Row],[Revenue]]-Table1[[#This Row],[Total Cost]]</f>
        <v>4800</v>
      </c>
    </row>
    <row r="625" spans="1:15">
      <c r="A625" s="3">
        <v>624</v>
      </c>
      <c r="B625" s="4">
        <v>45289</v>
      </c>
      <c r="C625" s="4" t="str">
        <f>TEXT(Table1[[#This Row],[Date]],"YYYY")</f>
        <v>2023</v>
      </c>
      <c r="D625" s="4" t="str">
        <f>TEXT(Table1[[#This Row],[Date]],"MMM")</f>
        <v>Dec</v>
      </c>
      <c r="E625" s="5" t="s">
        <v>39</v>
      </c>
      <c r="F625" s="3" t="s">
        <v>15</v>
      </c>
      <c r="G625" s="3" t="s">
        <v>45</v>
      </c>
      <c r="H625" s="3" t="s">
        <v>43</v>
      </c>
      <c r="I625" s="3">
        <v>1</v>
      </c>
      <c r="J625" s="3">
        <v>4050</v>
      </c>
      <c r="K625" s="3">
        <v>4500</v>
      </c>
      <c r="L625" s="3">
        <v>6</v>
      </c>
      <c r="M625">
        <f>Table1[[#This Row],[Qty]]*Table1[[#This Row],[Sales Price]]</f>
        <v>27000</v>
      </c>
      <c r="N625">
        <f>Table1[[#This Row],[Qty]]*Table1[[#This Row],[Cost]]</f>
        <v>24300</v>
      </c>
      <c r="O625">
        <f>Table1[[#This Row],[Revenue]]-Table1[[#This Row],[Total Cost]]</f>
        <v>2700</v>
      </c>
    </row>
    <row r="626" spans="1:15">
      <c r="A626" s="3">
        <v>625</v>
      </c>
      <c r="B626" s="4">
        <v>45290</v>
      </c>
      <c r="C626" s="4" t="str">
        <f>TEXT(Table1[[#This Row],[Date]],"YYYY")</f>
        <v>2023</v>
      </c>
      <c r="D626" s="4" t="str">
        <f>TEXT(Table1[[#This Row],[Date]],"MMM")</f>
        <v>Dec</v>
      </c>
      <c r="E626" s="5" t="s">
        <v>64</v>
      </c>
      <c r="F626" s="3" t="s">
        <v>18</v>
      </c>
      <c r="G626" s="3" t="s">
        <v>47</v>
      </c>
      <c r="H626" s="3" t="s">
        <v>43</v>
      </c>
      <c r="I626" s="3">
        <v>1</v>
      </c>
      <c r="J626" s="3">
        <v>4950</v>
      </c>
      <c r="K626" s="3">
        <v>5500</v>
      </c>
      <c r="L626" s="3">
        <v>3</v>
      </c>
      <c r="M626">
        <f>Table1[[#This Row],[Qty]]*Table1[[#This Row],[Sales Price]]</f>
        <v>16500</v>
      </c>
      <c r="N626">
        <f>Table1[[#This Row],[Qty]]*Table1[[#This Row],[Cost]]</f>
        <v>14850</v>
      </c>
      <c r="O626">
        <f>Table1[[#This Row],[Revenue]]-Table1[[#This Row],[Total Cost]]</f>
        <v>1650</v>
      </c>
    </row>
    <row r="627" spans="1:15">
      <c r="A627" s="3">
        <v>626</v>
      </c>
      <c r="B627" s="4">
        <v>45291</v>
      </c>
      <c r="C627" s="4" t="str">
        <f>TEXT(Table1[[#This Row],[Date]],"YYYY")</f>
        <v>2023</v>
      </c>
      <c r="D627" s="4" t="str">
        <f>TEXT(Table1[[#This Row],[Date]],"MMM")</f>
        <v>Dec</v>
      </c>
      <c r="E627" s="5" t="s">
        <v>56</v>
      </c>
      <c r="F627" s="3" t="s">
        <v>15</v>
      </c>
      <c r="G627" s="3" t="s">
        <v>44</v>
      </c>
      <c r="H627" s="3" t="s">
        <v>43</v>
      </c>
      <c r="I627" s="3">
        <v>0</v>
      </c>
      <c r="J627" s="3">
        <v>3150</v>
      </c>
      <c r="K627" s="3">
        <v>3500</v>
      </c>
      <c r="L627" s="3">
        <v>5</v>
      </c>
      <c r="M627">
        <f>Table1[[#This Row],[Qty]]*Table1[[#This Row],[Sales Price]]</f>
        <v>17500</v>
      </c>
      <c r="N627">
        <f>Table1[[#This Row],[Qty]]*Table1[[#This Row],[Cost]]</f>
        <v>15750</v>
      </c>
      <c r="O627">
        <f>Table1[[#This Row],[Revenue]]-Table1[[#This Row],[Total Cost]]</f>
        <v>1750</v>
      </c>
    </row>
    <row r="628" spans="1:15">
      <c r="A628" s="3">
        <v>627</v>
      </c>
      <c r="B628" s="4">
        <v>45129</v>
      </c>
      <c r="C628" s="4" t="str">
        <f>TEXT(Table1[[#This Row],[Date]],"YYYY")</f>
        <v>2023</v>
      </c>
      <c r="D628" s="4" t="str">
        <f>TEXT(Table1[[#This Row],[Date]],"MMM")</f>
        <v>Jul</v>
      </c>
      <c r="E628" s="5" t="s">
        <v>33</v>
      </c>
      <c r="F628" s="3" t="s">
        <v>18</v>
      </c>
      <c r="G628" s="3" t="s">
        <v>45</v>
      </c>
      <c r="H628" s="3" t="s">
        <v>43</v>
      </c>
      <c r="I628" s="3">
        <v>1</v>
      </c>
      <c r="J628" s="3">
        <v>2700</v>
      </c>
      <c r="K628" s="3">
        <v>3000</v>
      </c>
      <c r="L628" s="3">
        <v>1</v>
      </c>
      <c r="M628">
        <f>Table1[[#This Row],[Qty]]*Table1[[#This Row],[Sales Price]]</f>
        <v>3000</v>
      </c>
      <c r="N628">
        <f>Table1[[#This Row],[Qty]]*Table1[[#This Row],[Cost]]</f>
        <v>2700</v>
      </c>
      <c r="O628">
        <f>Table1[[#This Row],[Revenue]]-Table1[[#This Row],[Total Cost]]</f>
        <v>300</v>
      </c>
    </row>
    <row r="629" spans="1:15">
      <c r="A629" s="3">
        <v>628</v>
      </c>
      <c r="B629" s="4">
        <v>45130</v>
      </c>
      <c r="C629" s="4" t="str">
        <f>TEXT(Table1[[#This Row],[Date]],"YYYY")</f>
        <v>2023</v>
      </c>
      <c r="D629" s="4" t="str">
        <f>TEXT(Table1[[#This Row],[Date]],"MMM")</f>
        <v>Jul</v>
      </c>
      <c r="E629" s="5" t="s">
        <v>20</v>
      </c>
      <c r="F629" s="3" t="s">
        <v>15</v>
      </c>
      <c r="G629" s="3" t="s">
        <v>47</v>
      </c>
      <c r="H629" s="3" t="s">
        <v>43</v>
      </c>
      <c r="I629" s="3">
        <v>1</v>
      </c>
      <c r="J629" s="3">
        <v>4050</v>
      </c>
      <c r="K629" s="3">
        <v>4500</v>
      </c>
      <c r="L629" s="3">
        <v>5</v>
      </c>
      <c r="M629">
        <f>Table1[[#This Row],[Qty]]*Table1[[#This Row],[Sales Price]]</f>
        <v>22500</v>
      </c>
      <c r="N629">
        <f>Table1[[#This Row],[Qty]]*Table1[[#This Row],[Cost]]</f>
        <v>20250</v>
      </c>
      <c r="O629">
        <f>Table1[[#This Row],[Revenue]]-Table1[[#This Row],[Total Cost]]</f>
        <v>2250</v>
      </c>
    </row>
    <row r="630" spans="1:15">
      <c r="A630" s="3">
        <v>629</v>
      </c>
      <c r="B630" s="4">
        <v>45131</v>
      </c>
      <c r="C630" s="4" t="str">
        <f>TEXT(Table1[[#This Row],[Date]],"YYYY")</f>
        <v>2023</v>
      </c>
      <c r="D630" s="4" t="str">
        <f>TEXT(Table1[[#This Row],[Date]],"MMM")</f>
        <v>Jul</v>
      </c>
      <c r="E630" s="5" t="s">
        <v>39</v>
      </c>
      <c r="F630" s="3" t="s">
        <v>18</v>
      </c>
      <c r="G630" s="3" t="s">
        <v>44</v>
      </c>
      <c r="H630" s="3" t="s">
        <v>43</v>
      </c>
      <c r="I630" s="3">
        <v>1</v>
      </c>
      <c r="J630" s="3">
        <v>8280</v>
      </c>
      <c r="K630" s="3">
        <v>9200</v>
      </c>
      <c r="L630" s="3">
        <v>7</v>
      </c>
      <c r="M630">
        <f>Table1[[#This Row],[Qty]]*Table1[[#This Row],[Sales Price]]</f>
        <v>64400</v>
      </c>
      <c r="N630">
        <f>Table1[[#This Row],[Qty]]*Table1[[#This Row],[Cost]]</f>
        <v>57960</v>
      </c>
      <c r="O630">
        <f>Table1[[#This Row],[Revenue]]-Table1[[#This Row],[Total Cost]]</f>
        <v>6440</v>
      </c>
    </row>
    <row r="631" spans="1:15">
      <c r="A631" s="3">
        <v>630</v>
      </c>
      <c r="B631" s="4">
        <v>45132</v>
      </c>
      <c r="C631" s="4" t="str">
        <f>TEXT(Table1[[#This Row],[Date]],"YYYY")</f>
        <v>2023</v>
      </c>
      <c r="D631" s="4" t="str">
        <f>TEXT(Table1[[#This Row],[Date]],"MMM")</f>
        <v>Jul</v>
      </c>
      <c r="E631" s="5" t="s">
        <v>31</v>
      </c>
      <c r="F631" s="3" t="s">
        <v>15</v>
      </c>
      <c r="G631" s="3" t="s">
        <v>45</v>
      </c>
      <c r="H631" s="3" t="s">
        <v>43</v>
      </c>
      <c r="I631" s="3"/>
      <c r="J631" s="3">
        <v>4950</v>
      </c>
      <c r="K631" s="3">
        <v>5500</v>
      </c>
      <c r="L631" s="3">
        <v>4</v>
      </c>
      <c r="M631">
        <f>Table1[[#This Row],[Qty]]*Table1[[#This Row],[Sales Price]]</f>
        <v>22000</v>
      </c>
      <c r="N631">
        <f>Table1[[#This Row],[Qty]]*Table1[[#This Row],[Cost]]</f>
        <v>19800</v>
      </c>
      <c r="O631">
        <f>Table1[[#This Row],[Revenue]]-Table1[[#This Row],[Total Cost]]</f>
        <v>2200</v>
      </c>
    </row>
    <row r="632" spans="1:15">
      <c r="A632" s="3">
        <v>631</v>
      </c>
      <c r="B632" s="4">
        <v>45133</v>
      </c>
      <c r="C632" s="4" t="str">
        <f>TEXT(Table1[[#This Row],[Date]],"YYYY")</f>
        <v>2023</v>
      </c>
      <c r="D632" s="4" t="str">
        <f>TEXT(Table1[[#This Row],[Date]],"MMM")</f>
        <v>Jul</v>
      </c>
      <c r="E632" s="5" t="s">
        <v>39</v>
      </c>
      <c r="F632" s="3" t="s">
        <v>18</v>
      </c>
      <c r="G632" s="3" t="s">
        <v>47</v>
      </c>
      <c r="H632" s="3" t="s">
        <v>43</v>
      </c>
      <c r="I632" s="3"/>
      <c r="J632" s="3">
        <v>3150</v>
      </c>
      <c r="K632" s="3">
        <v>3500</v>
      </c>
      <c r="L632" s="3">
        <v>8</v>
      </c>
      <c r="M632">
        <f>Table1[[#This Row],[Qty]]*Table1[[#This Row],[Sales Price]]</f>
        <v>28000</v>
      </c>
      <c r="N632">
        <f>Table1[[#This Row],[Qty]]*Table1[[#This Row],[Cost]]</f>
        <v>25200</v>
      </c>
      <c r="O632">
        <f>Table1[[#This Row],[Revenue]]-Table1[[#This Row],[Total Cost]]</f>
        <v>2800</v>
      </c>
    </row>
    <row r="633" spans="1:15">
      <c r="A633" s="3">
        <v>632</v>
      </c>
      <c r="B633" s="4">
        <v>45134</v>
      </c>
      <c r="C633" s="4" t="str">
        <f>TEXT(Table1[[#This Row],[Date]],"YYYY")</f>
        <v>2023</v>
      </c>
      <c r="D633" s="4" t="str">
        <f>TEXT(Table1[[#This Row],[Date]],"MMM")</f>
        <v>Jul</v>
      </c>
      <c r="E633" s="5" t="s">
        <v>39</v>
      </c>
      <c r="F633" s="3" t="s">
        <v>15</v>
      </c>
      <c r="G633" s="3" t="s">
        <v>44</v>
      </c>
      <c r="H633" s="3" t="s">
        <v>43</v>
      </c>
      <c r="I633" s="3"/>
      <c r="J633" s="3">
        <v>2700</v>
      </c>
      <c r="K633" s="3">
        <v>3000</v>
      </c>
      <c r="L633" s="3">
        <v>8</v>
      </c>
      <c r="M633">
        <f>Table1[[#This Row],[Qty]]*Table1[[#This Row],[Sales Price]]</f>
        <v>24000</v>
      </c>
      <c r="N633">
        <f>Table1[[#This Row],[Qty]]*Table1[[#This Row],[Cost]]</f>
        <v>21600</v>
      </c>
      <c r="O633">
        <f>Table1[[#This Row],[Revenue]]-Table1[[#This Row],[Total Cost]]</f>
        <v>2400</v>
      </c>
    </row>
    <row r="634" spans="1:15">
      <c r="A634" s="3">
        <v>633</v>
      </c>
      <c r="B634" s="4">
        <v>45135</v>
      </c>
      <c r="C634" s="4" t="str">
        <f>TEXT(Table1[[#This Row],[Date]],"YYYY")</f>
        <v>2023</v>
      </c>
      <c r="D634" s="4" t="str">
        <f>TEXT(Table1[[#This Row],[Date]],"MMM")</f>
        <v>Jul</v>
      </c>
      <c r="E634" s="5" t="s">
        <v>58</v>
      </c>
      <c r="F634" s="3" t="s">
        <v>18</v>
      </c>
      <c r="G634" s="3" t="s">
        <v>45</v>
      </c>
      <c r="H634" s="3" t="s">
        <v>43</v>
      </c>
      <c r="I634" s="3">
        <v>1</v>
      </c>
      <c r="J634" s="3">
        <v>4050</v>
      </c>
      <c r="K634" s="3">
        <v>4500</v>
      </c>
      <c r="L634" s="3">
        <v>9</v>
      </c>
      <c r="M634">
        <f>Table1[[#This Row],[Qty]]*Table1[[#This Row],[Sales Price]]</f>
        <v>40500</v>
      </c>
      <c r="N634">
        <f>Table1[[#This Row],[Qty]]*Table1[[#This Row],[Cost]]</f>
        <v>36450</v>
      </c>
      <c r="O634">
        <f>Table1[[#This Row],[Revenue]]-Table1[[#This Row],[Total Cost]]</f>
        <v>4050</v>
      </c>
    </row>
    <row r="635" spans="1:15">
      <c r="A635" s="3">
        <v>634</v>
      </c>
      <c r="B635" s="4">
        <v>45136</v>
      </c>
      <c r="C635" s="4" t="str">
        <f>TEXT(Table1[[#This Row],[Date]],"YYYY")</f>
        <v>2023</v>
      </c>
      <c r="D635" s="4" t="str">
        <f>TEXT(Table1[[#This Row],[Date]],"MMM")</f>
        <v>Jul</v>
      </c>
      <c r="E635" s="5" t="s">
        <v>46</v>
      </c>
      <c r="F635" s="3" t="s">
        <v>15</v>
      </c>
      <c r="G635" s="3" t="s">
        <v>47</v>
      </c>
      <c r="H635" s="3" t="s">
        <v>43</v>
      </c>
      <c r="I635" s="3">
        <v>1</v>
      </c>
      <c r="J635" s="3">
        <v>8280</v>
      </c>
      <c r="K635" s="3">
        <v>9200</v>
      </c>
      <c r="L635" s="3">
        <v>2</v>
      </c>
      <c r="M635">
        <f>Table1[[#This Row],[Qty]]*Table1[[#This Row],[Sales Price]]</f>
        <v>18400</v>
      </c>
      <c r="N635">
        <f>Table1[[#This Row],[Qty]]*Table1[[#This Row],[Cost]]</f>
        <v>16560</v>
      </c>
      <c r="O635">
        <f>Table1[[#This Row],[Revenue]]-Table1[[#This Row],[Total Cost]]</f>
        <v>1840</v>
      </c>
    </row>
    <row r="636" spans="1:15">
      <c r="A636" s="3">
        <v>635</v>
      </c>
      <c r="B636" s="4">
        <v>45137</v>
      </c>
      <c r="C636" s="4" t="str">
        <f>TEXT(Table1[[#This Row],[Date]],"YYYY")</f>
        <v>2023</v>
      </c>
      <c r="D636" s="4" t="str">
        <f>TEXT(Table1[[#This Row],[Date]],"MMM")</f>
        <v>Jul</v>
      </c>
      <c r="E636" s="5" t="s">
        <v>40</v>
      </c>
      <c r="F636" s="3" t="s">
        <v>18</v>
      </c>
      <c r="G636" s="3" t="s">
        <v>44</v>
      </c>
      <c r="H636" s="3" t="s">
        <v>43</v>
      </c>
      <c r="I636" s="3">
        <v>1</v>
      </c>
      <c r="J636" s="3">
        <v>4950</v>
      </c>
      <c r="K636" s="3">
        <v>5500</v>
      </c>
      <c r="L636" s="3">
        <v>1</v>
      </c>
      <c r="M636">
        <f>Table1[[#This Row],[Qty]]*Table1[[#This Row],[Sales Price]]</f>
        <v>5500</v>
      </c>
      <c r="N636">
        <f>Table1[[#This Row],[Qty]]*Table1[[#This Row],[Cost]]</f>
        <v>4950</v>
      </c>
      <c r="O636">
        <f>Table1[[#This Row],[Revenue]]-Table1[[#This Row],[Total Cost]]</f>
        <v>550</v>
      </c>
    </row>
    <row r="637" spans="1:15">
      <c r="A637" s="3">
        <v>636</v>
      </c>
      <c r="B637" s="4">
        <v>45138</v>
      </c>
      <c r="C637" s="4" t="str">
        <f>TEXT(Table1[[#This Row],[Date]],"YYYY")</f>
        <v>2023</v>
      </c>
      <c r="D637" s="4" t="str">
        <f>TEXT(Table1[[#This Row],[Date]],"MMM")</f>
        <v>Jul</v>
      </c>
      <c r="E637" s="5" t="s">
        <v>14</v>
      </c>
      <c r="F637" s="3" t="s">
        <v>15</v>
      </c>
      <c r="G637" s="3" t="s">
        <v>45</v>
      </c>
      <c r="H637" s="3" t="s">
        <v>43</v>
      </c>
      <c r="I637" s="3">
        <v>1</v>
      </c>
      <c r="J637" s="3">
        <v>3150</v>
      </c>
      <c r="K637" s="3">
        <v>3500</v>
      </c>
      <c r="L637" s="3">
        <v>22</v>
      </c>
      <c r="M637">
        <f>Table1[[#This Row],[Qty]]*Table1[[#This Row],[Sales Price]]</f>
        <v>77000</v>
      </c>
      <c r="N637">
        <f>Table1[[#This Row],[Qty]]*Table1[[#This Row],[Cost]]</f>
        <v>69300</v>
      </c>
      <c r="O637">
        <f>Table1[[#This Row],[Revenue]]-Table1[[#This Row],[Total Cost]]</f>
        <v>7700</v>
      </c>
    </row>
    <row r="638" spans="1:15">
      <c r="A638" s="3">
        <v>637</v>
      </c>
      <c r="B638" s="4">
        <v>45139</v>
      </c>
      <c r="C638" s="4" t="str">
        <f>TEXT(Table1[[#This Row],[Date]],"YYYY")</f>
        <v>2023</v>
      </c>
      <c r="D638" s="4" t="str">
        <f>TEXT(Table1[[#This Row],[Date]],"MMM")</f>
        <v>Aug</v>
      </c>
      <c r="E638" s="5" t="s">
        <v>39</v>
      </c>
      <c r="F638" s="3" t="s">
        <v>18</v>
      </c>
      <c r="G638" s="3" t="s">
        <v>47</v>
      </c>
      <c r="H638" s="3" t="s">
        <v>43</v>
      </c>
      <c r="I638" s="3">
        <v>1</v>
      </c>
      <c r="J638" s="3">
        <v>2700</v>
      </c>
      <c r="K638" s="3">
        <v>3000</v>
      </c>
      <c r="L638" s="3">
        <v>8</v>
      </c>
      <c r="M638">
        <f>Table1[[#This Row],[Qty]]*Table1[[#This Row],[Sales Price]]</f>
        <v>24000</v>
      </c>
      <c r="N638">
        <f>Table1[[#This Row],[Qty]]*Table1[[#This Row],[Cost]]</f>
        <v>21600</v>
      </c>
      <c r="O638">
        <f>Table1[[#This Row],[Revenue]]-Table1[[#This Row],[Total Cost]]</f>
        <v>2400</v>
      </c>
    </row>
    <row r="639" spans="1:15">
      <c r="A639" s="3">
        <v>638</v>
      </c>
      <c r="B639" s="4">
        <v>45140</v>
      </c>
      <c r="C639" s="4" t="str">
        <f>TEXT(Table1[[#This Row],[Date]],"YYYY")</f>
        <v>2023</v>
      </c>
      <c r="D639" s="4" t="str">
        <f>TEXT(Table1[[#This Row],[Date]],"MMM")</f>
        <v>Aug</v>
      </c>
      <c r="E639" s="5" t="s">
        <v>39</v>
      </c>
      <c r="F639" s="3" t="s">
        <v>15</v>
      </c>
      <c r="G639" s="3" t="s">
        <v>44</v>
      </c>
      <c r="H639" s="3" t="s">
        <v>43</v>
      </c>
      <c r="I639" s="3">
        <v>1</v>
      </c>
      <c r="J639" s="3">
        <v>4050</v>
      </c>
      <c r="K639" s="3">
        <v>4500</v>
      </c>
      <c r="L639" s="3">
        <v>7</v>
      </c>
      <c r="M639">
        <f>Table1[[#This Row],[Qty]]*Table1[[#This Row],[Sales Price]]</f>
        <v>31500</v>
      </c>
      <c r="N639">
        <f>Table1[[#This Row],[Qty]]*Table1[[#This Row],[Cost]]</f>
        <v>28350</v>
      </c>
      <c r="O639">
        <f>Table1[[#This Row],[Revenue]]-Table1[[#This Row],[Total Cost]]</f>
        <v>3150</v>
      </c>
    </row>
    <row r="640" spans="1:15">
      <c r="A640" s="3">
        <v>639</v>
      </c>
      <c r="B640" s="4">
        <v>45141</v>
      </c>
      <c r="C640" s="4" t="str">
        <f>TEXT(Table1[[#This Row],[Date]],"YYYY")</f>
        <v>2023</v>
      </c>
      <c r="D640" s="4" t="str">
        <f>TEXT(Table1[[#This Row],[Date]],"MMM")</f>
        <v>Aug</v>
      </c>
      <c r="E640" s="5" t="s">
        <v>39</v>
      </c>
      <c r="F640" s="3" t="s">
        <v>18</v>
      </c>
      <c r="G640" s="3" t="s">
        <v>45</v>
      </c>
      <c r="H640" s="3" t="s">
        <v>43</v>
      </c>
      <c r="I640" s="3">
        <v>1</v>
      </c>
      <c r="J640" s="3">
        <v>4950</v>
      </c>
      <c r="K640" s="3">
        <v>5500</v>
      </c>
      <c r="L640" s="3">
        <v>56</v>
      </c>
      <c r="M640">
        <f>Table1[[#This Row],[Qty]]*Table1[[#This Row],[Sales Price]]</f>
        <v>308000</v>
      </c>
      <c r="N640">
        <f>Table1[[#This Row],[Qty]]*Table1[[#This Row],[Cost]]</f>
        <v>277200</v>
      </c>
      <c r="O640">
        <f>Table1[[#This Row],[Revenue]]-Table1[[#This Row],[Total Cost]]</f>
        <v>30800</v>
      </c>
    </row>
    <row r="641" spans="1:15">
      <c r="A641" s="3">
        <v>640</v>
      </c>
      <c r="B641" s="4">
        <v>45142</v>
      </c>
      <c r="C641" s="4" t="str">
        <f>TEXT(Table1[[#This Row],[Date]],"YYYY")</f>
        <v>2023</v>
      </c>
      <c r="D641" s="4" t="str">
        <f>TEXT(Table1[[#This Row],[Date]],"MMM")</f>
        <v>Aug</v>
      </c>
      <c r="E641" s="5" t="s">
        <v>39</v>
      </c>
      <c r="F641" s="3" t="s">
        <v>15</v>
      </c>
      <c r="G641" s="3" t="s">
        <v>47</v>
      </c>
      <c r="H641" s="3" t="s">
        <v>43</v>
      </c>
      <c r="I641" s="3"/>
      <c r="J641" s="3">
        <v>3150</v>
      </c>
      <c r="K641" s="3">
        <v>3500</v>
      </c>
      <c r="L641" s="3">
        <v>10</v>
      </c>
      <c r="M641">
        <f>Table1[[#This Row],[Qty]]*Table1[[#This Row],[Sales Price]]</f>
        <v>35000</v>
      </c>
      <c r="N641">
        <f>Table1[[#This Row],[Qty]]*Table1[[#This Row],[Cost]]</f>
        <v>31500</v>
      </c>
      <c r="O641">
        <f>Table1[[#This Row],[Revenue]]-Table1[[#This Row],[Total Cost]]</f>
        <v>3500</v>
      </c>
    </row>
    <row r="642" spans="1:15">
      <c r="A642" s="3">
        <v>641</v>
      </c>
      <c r="B642" s="4">
        <v>45143</v>
      </c>
      <c r="C642" s="4" t="str">
        <f>TEXT(Table1[[#This Row],[Date]],"YYYY")</f>
        <v>2023</v>
      </c>
      <c r="D642" s="4" t="str">
        <f>TEXT(Table1[[#This Row],[Date]],"MMM")</f>
        <v>Aug</v>
      </c>
      <c r="E642" s="5" t="s">
        <v>14</v>
      </c>
      <c r="F642" s="3" t="s">
        <v>18</v>
      </c>
      <c r="G642" s="3" t="s">
        <v>44</v>
      </c>
      <c r="H642" s="3" t="s">
        <v>43</v>
      </c>
      <c r="I642" s="3"/>
      <c r="J642" s="3">
        <v>2700</v>
      </c>
      <c r="K642" s="3">
        <v>3000</v>
      </c>
      <c r="L642" s="3">
        <v>9</v>
      </c>
      <c r="M642">
        <f>Table1[[#This Row],[Qty]]*Table1[[#This Row],[Sales Price]]</f>
        <v>27000</v>
      </c>
      <c r="N642">
        <f>Table1[[#This Row],[Qty]]*Table1[[#This Row],[Cost]]</f>
        <v>24300</v>
      </c>
      <c r="O642">
        <f>Table1[[#This Row],[Revenue]]-Table1[[#This Row],[Total Cost]]</f>
        <v>2700</v>
      </c>
    </row>
    <row r="643" spans="1:15">
      <c r="A643" s="3">
        <v>642</v>
      </c>
      <c r="B643" s="4">
        <v>45144</v>
      </c>
      <c r="C643" s="4" t="str">
        <f>TEXT(Table1[[#This Row],[Date]],"YYYY")</f>
        <v>2023</v>
      </c>
      <c r="D643" s="4" t="str">
        <f>TEXT(Table1[[#This Row],[Date]],"MMM")</f>
        <v>Aug</v>
      </c>
      <c r="E643" s="5" t="s">
        <v>39</v>
      </c>
      <c r="F643" s="3" t="s">
        <v>15</v>
      </c>
      <c r="G643" s="3" t="s">
        <v>45</v>
      </c>
      <c r="H643" s="3" t="s">
        <v>43</v>
      </c>
      <c r="I643" s="3">
        <v>1</v>
      </c>
      <c r="J643" s="3">
        <v>4050</v>
      </c>
      <c r="K643" s="3">
        <v>4500</v>
      </c>
      <c r="L643" s="3">
        <v>27</v>
      </c>
      <c r="M643">
        <f>Table1[[#This Row],[Qty]]*Table1[[#This Row],[Sales Price]]</f>
        <v>121500</v>
      </c>
      <c r="N643">
        <f>Table1[[#This Row],[Qty]]*Table1[[#This Row],[Cost]]</f>
        <v>109350</v>
      </c>
      <c r="O643">
        <f>Table1[[#This Row],[Revenue]]-Table1[[#This Row],[Total Cost]]</f>
        <v>12150</v>
      </c>
    </row>
    <row r="644" spans="1:15">
      <c r="A644" s="3">
        <v>643</v>
      </c>
      <c r="B644" s="4">
        <v>45145</v>
      </c>
      <c r="C644" s="4" t="str">
        <f>TEXT(Table1[[#This Row],[Date]],"YYYY")</f>
        <v>2023</v>
      </c>
      <c r="D644" s="4" t="str">
        <f>TEXT(Table1[[#This Row],[Date]],"MMM")</f>
        <v>Aug</v>
      </c>
      <c r="E644" s="5" t="s">
        <v>33</v>
      </c>
      <c r="F644" s="3" t="s">
        <v>18</v>
      </c>
      <c r="G644" s="3" t="s">
        <v>47</v>
      </c>
      <c r="H644" s="3" t="s">
        <v>43</v>
      </c>
      <c r="I644" s="3">
        <v>1</v>
      </c>
      <c r="J644" s="3">
        <v>8280</v>
      </c>
      <c r="K644" s="3">
        <v>9200</v>
      </c>
      <c r="L644" s="3">
        <v>15</v>
      </c>
      <c r="M644">
        <f>Table1[[#This Row],[Qty]]*Table1[[#This Row],[Sales Price]]</f>
        <v>138000</v>
      </c>
      <c r="N644">
        <f>Table1[[#This Row],[Qty]]*Table1[[#This Row],[Cost]]</f>
        <v>124200</v>
      </c>
      <c r="O644">
        <f>Table1[[#This Row],[Revenue]]-Table1[[#This Row],[Total Cost]]</f>
        <v>13800</v>
      </c>
    </row>
    <row r="645" spans="1:15">
      <c r="A645" s="3">
        <v>644</v>
      </c>
      <c r="B645" s="4">
        <v>45146</v>
      </c>
      <c r="C645" s="4" t="str">
        <f>TEXT(Table1[[#This Row],[Date]],"YYYY")</f>
        <v>2023</v>
      </c>
      <c r="D645" s="4" t="str">
        <f>TEXT(Table1[[#This Row],[Date]],"MMM")</f>
        <v>Aug</v>
      </c>
      <c r="E645" s="5" t="s">
        <v>40</v>
      </c>
      <c r="F645" s="3" t="s">
        <v>15</v>
      </c>
      <c r="G645" s="3" t="s">
        <v>44</v>
      </c>
      <c r="H645" s="3" t="s">
        <v>43</v>
      </c>
      <c r="I645" s="3">
        <v>1</v>
      </c>
      <c r="J645" s="3">
        <v>4950</v>
      </c>
      <c r="K645" s="3">
        <v>5500</v>
      </c>
      <c r="L645" s="3">
        <v>3</v>
      </c>
      <c r="M645">
        <f>Table1[[#This Row],[Qty]]*Table1[[#This Row],[Sales Price]]</f>
        <v>16500</v>
      </c>
      <c r="N645">
        <f>Table1[[#This Row],[Qty]]*Table1[[#This Row],[Cost]]</f>
        <v>14850</v>
      </c>
      <c r="O645">
        <f>Table1[[#This Row],[Revenue]]-Table1[[#This Row],[Total Cost]]</f>
        <v>1650</v>
      </c>
    </row>
    <row r="646" spans="1:15">
      <c r="A646" s="3">
        <v>645</v>
      </c>
      <c r="B646" s="4">
        <v>45147</v>
      </c>
      <c r="C646" s="4" t="str">
        <f>TEXT(Table1[[#This Row],[Date]],"YYYY")</f>
        <v>2023</v>
      </c>
      <c r="D646" s="4" t="str">
        <f>TEXT(Table1[[#This Row],[Date]],"MMM")</f>
        <v>Aug</v>
      </c>
      <c r="E646" s="5" t="s">
        <v>58</v>
      </c>
      <c r="F646" s="3" t="s">
        <v>18</v>
      </c>
      <c r="G646" s="3" t="s">
        <v>45</v>
      </c>
      <c r="H646" s="3" t="s">
        <v>43</v>
      </c>
      <c r="I646" s="3">
        <v>0</v>
      </c>
      <c r="J646" s="3">
        <v>3150</v>
      </c>
      <c r="K646" s="3">
        <v>3500</v>
      </c>
      <c r="L646" s="3">
        <v>9</v>
      </c>
      <c r="M646">
        <f>Table1[[#This Row],[Qty]]*Table1[[#This Row],[Sales Price]]</f>
        <v>31500</v>
      </c>
      <c r="N646">
        <f>Table1[[#This Row],[Qty]]*Table1[[#This Row],[Cost]]</f>
        <v>28350</v>
      </c>
      <c r="O646">
        <f>Table1[[#This Row],[Revenue]]-Table1[[#This Row],[Total Cost]]</f>
        <v>3150</v>
      </c>
    </row>
    <row r="647" spans="1:15">
      <c r="A647" s="3">
        <v>646</v>
      </c>
      <c r="B647" s="4">
        <v>45148</v>
      </c>
      <c r="C647" s="4" t="str">
        <f>TEXT(Table1[[#This Row],[Date]],"YYYY")</f>
        <v>2023</v>
      </c>
      <c r="D647" s="4" t="str">
        <f>TEXT(Table1[[#This Row],[Date]],"MMM")</f>
        <v>Aug</v>
      </c>
      <c r="E647" s="5" t="s">
        <v>68</v>
      </c>
      <c r="F647" s="3" t="s">
        <v>15</v>
      </c>
      <c r="G647" s="3" t="s">
        <v>47</v>
      </c>
      <c r="H647" s="3" t="s">
        <v>43</v>
      </c>
      <c r="I647" s="3">
        <v>0</v>
      </c>
      <c r="J647" s="3">
        <v>2700</v>
      </c>
      <c r="K647" s="3">
        <v>3000</v>
      </c>
      <c r="L647" s="3">
        <v>22</v>
      </c>
      <c r="M647">
        <f>Table1[[#This Row],[Qty]]*Table1[[#This Row],[Sales Price]]</f>
        <v>66000</v>
      </c>
      <c r="N647">
        <f>Table1[[#This Row],[Qty]]*Table1[[#This Row],[Cost]]</f>
        <v>59400</v>
      </c>
      <c r="O647">
        <f>Table1[[#This Row],[Revenue]]-Table1[[#This Row],[Total Cost]]</f>
        <v>6600</v>
      </c>
    </row>
    <row r="648" spans="1:15">
      <c r="A648" s="3">
        <v>647</v>
      </c>
      <c r="B648" s="4">
        <v>45210</v>
      </c>
      <c r="C648" s="4" t="str">
        <f>TEXT(Table1[[#This Row],[Date]],"YYYY")</f>
        <v>2023</v>
      </c>
      <c r="D648" s="4" t="str">
        <f>TEXT(Table1[[#This Row],[Date]],"MMM")</f>
        <v>Oct</v>
      </c>
      <c r="E648" s="5" t="s">
        <v>39</v>
      </c>
      <c r="F648" s="3" t="s">
        <v>18</v>
      </c>
      <c r="G648" s="3" t="s">
        <v>44</v>
      </c>
      <c r="H648" s="3" t="s">
        <v>43</v>
      </c>
      <c r="I648" s="3">
        <v>0</v>
      </c>
      <c r="J648" s="3">
        <v>4050</v>
      </c>
      <c r="K648" s="3">
        <v>4500</v>
      </c>
      <c r="L648" s="3">
        <v>16</v>
      </c>
      <c r="M648">
        <f>Table1[[#This Row],[Qty]]*Table1[[#This Row],[Sales Price]]</f>
        <v>72000</v>
      </c>
      <c r="N648">
        <f>Table1[[#This Row],[Qty]]*Table1[[#This Row],[Cost]]</f>
        <v>64800</v>
      </c>
      <c r="O648">
        <f>Table1[[#This Row],[Revenue]]-Table1[[#This Row],[Total Cost]]</f>
        <v>7200</v>
      </c>
    </row>
    <row r="649" spans="1:15">
      <c r="A649" s="3">
        <v>648</v>
      </c>
      <c r="B649" s="4">
        <v>45210</v>
      </c>
      <c r="C649" s="4" t="str">
        <f>TEXT(Table1[[#This Row],[Date]],"YYYY")</f>
        <v>2023</v>
      </c>
      <c r="D649" s="4" t="str">
        <f>TEXT(Table1[[#This Row],[Date]],"MMM")</f>
        <v>Oct</v>
      </c>
      <c r="E649" s="5" t="s">
        <v>22</v>
      </c>
      <c r="F649" s="3" t="s">
        <v>15</v>
      </c>
      <c r="G649" s="3" t="s">
        <v>45</v>
      </c>
      <c r="H649" s="3" t="s">
        <v>43</v>
      </c>
      <c r="I649" s="3"/>
      <c r="J649" s="3">
        <v>8280</v>
      </c>
      <c r="K649" s="3">
        <v>9200</v>
      </c>
      <c r="L649" s="3">
        <v>6</v>
      </c>
      <c r="M649">
        <f>Table1[[#This Row],[Qty]]*Table1[[#This Row],[Sales Price]]</f>
        <v>55200</v>
      </c>
      <c r="N649">
        <f>Table1[[#This Row],[Qty]]*Table1[[#This Row],[Cost]]</f>
        <v>49680</v>
      </c>
      <c r="O649">
        <f>Table1[[#This Row],[Revenue]]-Table1[[#This Row],[Total Cost]]</f>
        <v>5520</v>
      </c>
    </row>
    <row r="650" spans="1:15">
      <c r="A650" s="3">
        <v>649</v>
      </c>
      <c r="B650" s="4">
        <v>45210</v>
      </c>
      <c r="C650" s="4" t="str">
        <f>TEXT(Table1[[#This Row],[Date]],"YYYY")</f>
        <v>2023</v>
      </c>
      <c r="D650" s="4" t="str">
        <f>TEXT(Table1[[#This Row],[Date]],"MMM")</f>
        <v>Oct</v>
      </c>
      <c r="E650" s="5" t="s">
        <v>24</v>
      </c>
      <c r="F650" s="3" t="s">
        <v>18</v>
      </c>
      <c r="G650" s="3" t="s">
        <v>47</v>
      </c>
      <c r="H650" s="3" t="s">
        <v>43</v>
      </c>
      <c r="I650" s="3"/>
      <c r="J650" s="3">
        <v>4950</v>
      </c>
      <c r="K650" s="3">
        <v>5500</v>
      </c>
      <c r="L650" s="3">
        <v>3</v>
      </c>
      <c r="M650">
        <f>Table1[[#This Row],[Qty]]*Table1[[#This Row],[Sales Price]]</f>
        <v>16500</v>
      </c>
      <c r="N650">
        <f>Table1[[#This Row],[Qty]]*Table1[[#This Row],[Cost]]</f>
        <v>14850</v>
      </c>
      <c r="O650">
        <f>Table1[[#This Row],[Revenue]]-Table1[[#This Row],[Total Cost]]</f>
        <v>1650</v>
      </c>
    </row>
    <row r="651" spans="1:15">
      <c r="A651" s="3">
        <v>650</v>
      </c>
      <c r="B651" s="4">
        <v>45210</v>
      </c>
      <c r="C651" s="4" t="str">
        <f>TEXT(Table1[[#This Row],[Date]],"YYYY")</f>
        <v>2023</v>
      </c>
      <c r="D651" s="4" t="str">
        <f>TEXT(Table1[[#This Row],[Date]],"MMM")</f>
        <v>Oct</v>
      </c>
      <c r="E651" s="5" t="s">
        <v>39</v>
      </c>
      <c r="F651" s="3" t="s">
        <v>15</v>
      </c>
      <c r="G651" s="3" t="s">
        <v>44</v>
      </c>
      <c r="H651" s="3" t="s">
        <v>43</v>
      </c>
      <c r="I651" s="3"/>
      <c r="J651" s="3">
        <v>3150</v>
      </c>
      <c r="K651" s="3">
        <v>3500</v>
      </c>
      <c r="L651" s="3">
        <v>5</v>
      </c>
      <c r="M651">
        <f>Table1[[#This Row],[Qty]]*Table1[[#This Row],[Sales Price]]</f>
        <v>17500</v>
      </c>
      <c r="N651">
        <f>Table1[[#This Row],[Qty]]*Table1[[#This Row],[Cost]]</f>
        <v>15750</v>
      </c>
      <c r="O651">
        <f>Table1[[#This Row],[Revenue]]-Table1[[#This Row],[Total Cost]]</f>
        <v>1750</v>
      </c>
    </row>
    <row r="652" spans="1:15">
      <c r="A652" s="3">
        <v>651</v>
      </c>
      <c r="B652" s="4">
        <v>45210</v>
      </c>
      <c r="C652" s="4" t="str">
        <f>TEXT(Table1[[#This Row],[Date]],"YYYY")</f>
        <v>2023</v>
      </c>
      <c r="D652" s="4" t="str">
        <f>TEXT(Table1[[#This Row],[Date]],"MMM")</f>
        <v>Oct</v>
      </c>
      <c r="E652" s="5" t="s">
        <v>40</v>
      </c>
      <c r="F652" s="3" t="s">
        <v>18</v>
      </c>
      <c r="G652" s="3" t="s">
        <v>45</v>
      </c>
      <c r="H652" s="3" t="s">
        <v>43</v>
      </c>
      <c r="I652" s="3">
        <v>1</v>
      </c>
      <c r="J652" s="3">
        <v>2700</v>
      </c>
      <c r="K652" s="3">
        <v>3000</v>
      </c>
      <c r="L652" s="3">
        <v>1</v>
      </c>
      <c r="M652">
        <f>Table1[[#This Row],[Qty]]*Table1[[#This Row],[Sales Price]]</f>
        <v>3000</v>
      </c>
      <c r="N652">
        <f>Table1[[#This Row],[Qty]]*Table1[[#This Row],[Cost]]</f>
        <v>2700</v>
      </c>
      <c r="O652">
        <f>Table1[[#This Row],[Revenue]]-Table1[[#This Row],[Total Cost]]</f>
        <v>300</v>
      </c>
    </row>
    <row r="653" spans="1:15">
      <c r="A653" s="3">
        <v>652</v>
      </c>
      <c r="B653" s="4">
        <v>45210</v>
      </c>
      <c r="C653" s="4" t="str">
        <f>TEXT(Table1[[#This Row],[Date]],"YYYY")</f>
        <v>2023</v>
      </c>
      <c r="D653" s="4" t="str">
        <f>TEXT(Table1[[#This Row],[Date]],"MMM")</f>
        <v>Oct</v>
      </c>
      <c r="E653" s="5" t="s">
        <v>57</v>
      </c>
      <c r="F653" s="3" t="s">
        <v>15</v>
      </c>
      <c r="G653" s="3" t="s">
        <v>47</v>
      </c>
      <c r="H653" s="3" t="s">
        <v>43</v>
      </c>
      <c r="I653" s="3">
        <v>1</v>
      </c>
      <c r="J653" s="3">
        <v>4050</v>
      </c>
      <c r="K653" s="3">
        <v>4500</v>
      </c>
      <c r="L653" s="3">
        <v>5</v>
      </c>
      <c r="M653">
        <f>Table1[[#This Row],[Qty]]*Table1[[#This Row],[Sales Price]]</f>
        <v>22500</v>
      </c>
      <c r="N653">
        <f>Table1[[#This Row],[Qty]]*Table1[[#This Row],[Cost]]</f>
        <v>20250</v>
      </c>
      <c r="O653">
        <f>Table1[[#This Row],[Revenue]]-Table1[[#This Row],[Total Cost]]</f>
        <v>2250</v>
      </c>
    </row>
    <row r="654" spans="1:15">
      <c r="A654" s="3">
        <v>653</v>
      </c>
      <c r="B654" s="4">
        <v>45210</v>
      </c>
      <c r="C654" s="4" t="str">
        <f>TEXT(Table1[[#This Row],[Date]],"YYYY")</f>
        <v>2023</v>
      </c>
      <c r="D654" s="4" t="str">
        <f>TEXT(Table1[[#This Row],[Date]],"MMM")</f>
        <v>Oct</v>
      </c>
      <c r="E654" s="5" t="s">
        <v>59</v>
      </c>
      <c r="F654" s="3" t="s">
        <v>18</v>
      </c>
      <c r="G654" s="3" t="s">
        <v>44</v>
      </c>
      <c r="H654" s="3" t="s">
        <v>43</v>
      </c>
      <c r="I654" s="3">
        <v>1</v>
      </c>
      <c r="J654" s="3">
        <v>4950</v>
      </c>
      <c r="K654" s="3">
        <v>5500</v>
      </c>
      <c r="L654" s="3">
        <v>7</v>
      </c>
      <c r="M654">
        <f>Table1[[#This Row],[Qty]]*Table1[[#This Row],[Sales Price]]</f>
        <v>38500</v>
      </c>
      <c r="N654">
        <f>Table1[[#This Row],[Qty]]*Table1[[#This Row],[Cost]]</f>
        <v>34650</v>
      </c>
      <c r="O654">
        <f>Table1[[#This Row],[Revenue]]-Table1[[#This Row],[Total Cost]]</f>
        <v>3850</v>
      </c>
    </row>
    <row r="655" spans="1:15">
      <c r="A655" s="3">
        <v>654</v>
      </c>
      <c r="B655" s="4">
        <v>45210</v>
      </c>
      <c r="C655" s="4" t="str">
        <f>TEXT(Table1[[#This Row],[Date]],"YYYY")</f>
        <v>2023</v>
      </c>
      <c r="D655" s="4" t="str">
        <f>TEXT(Table1[[#This Row],[Date]],"MMM")</f>
        <v>Oct</v>
      </c>
      <c r="E655" s="5" t="s">
        <v>56</v>
      </c>
      <c r="F655" s="3" t="s">
        <v>15</v>
      </c>
      <c r="G655" s="3" t="s">
        <v>45</v>
      </c>
      <c r="H655" s="3" t="s">
        <v>43</v>
      </c>
      <c r="I655" s="3">
        <v>1</v>
      </c>
      <c r="J655" s="3">
        <v>3150</v>
      </c>
      <c r="K655" s="3">
        <v>3500</v>
      </c>
      <c r="L655" s="3">
        <v>4</v>
      </c>
      <c r="M655">
        <f>Table1[[#This Row],[Qty]]*Table1[[#This Row],[Sales Price]]</f>
        <v>14000</v>
      </c>
      <c r="N655">
        <f>Table1[[#This Row],[Qty]]*Table1[[#This Row],[Cost]]</f>
        <v>12600</v>
      </c>
      <c r="O655">
        <f>Table1[[#This Row],[Revenue]]-Table1[[#This Row],[Total Cost]]</f>
        <v>1400</v>
      </c>
    </row>
    <row r="656" spans="1:15">
      <c r="A656" s="3">
        <v>655</v>
      </c>
      <c r="B656" s="4">
        <v>45157</v>
      </c>
      <c r="C656" s="4" t="str">
        <f>TEXT(Table1[[#This Row],[Date]],"YYYY")</f>
        <v>2023</v>
      </c>
      <c r="D656" s="4" t="str">
        <f>TEXT(Table1[[#This Row],[Date]],"MMM")</f>
        <v>Aug</v>
      </c>
      <c r="E656" s="5" t="s">
        <v>35</v>
      </c>
      <c r="F656" s="3" t="s">
        <v>18</v>
      </c>
      <c r="G656" s="3" t="s">
        <v>47</v>
      </c>
      <c r="H656" s="3" t="s">
        <v>43</v>
      </c>
      <c r="I656" s="3">
        <v>1</v>
      </c>
      <c r="J656" s="3">
        <v>2700</v>
      </c>
      <c r="K656" s="3">
        <v>3000</v>
      </c>
      <c r="L656" s="3">
        <v>8</v>
      </c>
      <c r="M656">
        <f>Table1[[#This Row],[Qty]]*Table1[[#This Row],[Sales Price]]</f>
        <v>24000</v>
      </c>
      <c r="N656">
        <f>Table1[[#This Row],[Qty]]*Table1[[#This Row],[Cost]]</f>
        <v>21600</v>
      </c>
      <c r="O656">
        <f>Table1[[#This Row],[Revenue]]-Table1[[#This Row],[Total Cost]]</f>
        <v>2400</v>
      </c>
    </row>
    <row r="657" spans="1:15">
      <c r="A657" s="3">
        <v>656</v>
      </c>
      <c r="B657" s="4">
        <v>45158</v>
      </c>
      <c r="C657" s="4" t="str">
        <f>TEXT(Table1[[#This Row],[Date]],"YYYY")</f>
        <v>2023</v>
      </c>
      <c r="D657" s="4" t="str">
        <f>TEXT(Table1[[#This Row],[Date]],"MMM")</f>
        <v>Aug</v>
      </c>
      <c r="E657" s="5" t="s">
        <v>39</v>
      </c>
      <c r="F657" s="3" t="s">
        <v>15</v>
      </c>
      <c r="G657" s="3" t="s">
        <v>44</v>
      </c>
      <c r="H657" s="3" t="s">
        <v>43</v>
      </c>
      <c r="I657" s="3">
        <v>1</v>
      </c>
      <c r="J657" s="3">
        <v>4050</v>
      </c>
      <c r="K657" s="3">
        <v>4500</v>
      </c>
      <c r="L657" s="3">
        <v>8</v>
      </c>
      <c r="M657">
        <f>Table1[[#This Row],[Qty]]*Table1[[#This Row],[Sales Price]]</f>
        <v>36000</v>
      </c>
      <c r="N657">
        <f>Table1[[#This Row],[Qty]]*Table1[[#This Row],[Cost]]</f>
        <v>32400</v>
      </c>
      <c r="O657">
        <f>Table1[[#This Row],[Revenue]]-Table1[[#This Row],[Total Cost]]</f>
        <v>3600</v>
      </c>
    </row>
    <row r="658" spans="1:15">
      <c r="A658" s="3">
        <v>657</v>
      </c>
      <c r="B658" s="4">
        <v>45210</v>
      </c>
      <c r="C658" s="4" t="str">
        <f>TEXT(Table1[[#This Row],[Date]],"YYYY")</f>
        <v>2023</v>
      </c>
      <c r="D658" s="4" t="str">
        <f>TEXT(Table1[[#This Row],[Date]],"MMM")</f>
        <v>Oct</v>
      </c>
      <c r="E658" s="5" t="s">
        <v>22</v>
      </c>
      <c r="F658" s="3" t="s">
        <v>18</v>
      </c>
      <c r="G658" s="3" t="s">
        <v>45</v>
      </c>
      <c r="H658" s="3" t="s">
        <v>43</v>
      </c>
      <c r="I658" s="3">
        <v>1</v>
      </c>
      <c r="J658" s="3">
        <v>8280</v>
      </c>
      <c r="K658" s="3">
        <v>9200</v>
      </c>
      <c r="L658" s="3">
        <v>9</v>
      </c>
      <c r="M658">
        <f>Table1[[#This Row],[Qty]]*Table1[[#This Row],[Sales Price]]</f>
        <v>82800</v>
      </c>
      <c r="N658">
        <f>Table1[[#This Row],[Qty]]*Table1[[#This Row],[Cost]]</f>
        <v>74520</v>
      </c>
      <c r="O658">
        <f>Table1[[#This Row],[Revenue]]-Table1[[#This Row],[Total Cost]]</f>
        <v>8280</v>
      </c>
    </row>
    <row r="659" spans="1:15">
      <c r="A659" s="3">
        <v>658</v>
      </c>
      <c r="B659" s="4">
        <v>45210</v>
      </c>
      <c r="C659" s="4" t="str">
        <f>TEXT(Table1[[#This Row],[Date]],"YYYY")</f>
        <v>2023</v>
      </c>
      <c r="D659" s="4" t="str">
        <f>TEXT(Table1[[#This Row],[Date]],"MMM")</f>
        <v>Oct</v>
      </c>
      <c r="E659" s="5" t="s">
        <v>39</v>
      </c>
      <c r="F659" s="3" t="s">
        <v>15</v>
      </c>
      <c r="G659" s="3" t="s">
        <v>47</v>
      </c>
      <c r="H659" s="3" t="s">
        <v>43</v>
      </c>
      <c r="I659" s="3"/>
      <c r="J659" s="3">
        <v>4950</v>
      </c>
      <c r="K659" s="3">
        <v>5500</v>
      </c>
      <c r="L659" s="3">
        <v>2</v>
      </c>
      <c r="M659">
        <f>Table1[[#This Row],[Qty]]*Table1[[#This Row],[Sales Price]]</f>
        <v>11000</v>
      </c>
      <c r="N659">
        <f>Table1[[#This Row],[Qty]]*Table1[[#This Row],[Cost]]</f>
        <v>9900</v>
      </c>
      <c r="O659">
        <f>Table1[[#This Row],[Revenue]]-Table1[[#This Row],[Total Cost]]</f>
        <v>1100</v>
      </c>
    </row>
    <row r="660" spans="1:15">
      <c r="A660" s="3">
        <v>659</v>
      </c>
      <c r="B660" s="4">
        <v>45210</v>
      </c>
      <c r="C660" s="4" t="str">
        <f>TEXT(Table1[[#This Row],[Date]],"YYYY")</f>
        <v>2023</v>
      </c>
      <c r="D660" s="4" t="str">
        <f>TEXT(Table1[[#This Row],[Date]],"MMM")</f>
        <v>Oct</v>
      </c>
      <c r="E660" s="5" t="s">
        <v>31</v>
      </c>
      <c r="F660" s="3" t="s">
        <v>18</v>
      </c>
      <c r="G660" s="3" t="s">
        <v>44</v>
      </c>
      <c r="H660" s="3" t="s">
        <v>43</v>
      </c>
      <c r="I660" s="3"/>
      <c r="J660" s="3">
        <v>3150</v>
      </c>
      <c r="K660" s="3">
        <v>3500</v>
      </c>
      <c r="L660" s="3">
        <v>1</v>
      </c>
      <c r="M660">
        <f>Table1[[#This Row],[Qty]]*Table1[[#This Row],[Sales Price]]</f>
        <v>3500</v>
      </c>
      <c r="N660">
        <f>Table1[[#This Row],[Qty]]*Table1[[#This Row],[Cost]]</f>
        <v>3150</v>
      </c>
      <c r="O660">
        <f>Table1[[#This Row],[Revenue]]-Table1[[#This Row],[Total Cost]]</f>
        <v>350</v>
      </c>
    </row>
    <row r="661" spans="1:15">
      <c r="A661" s="3">
        <v>660</v>
      </c>
      <c r="B661" s="4">
        <v>45210</v>
      </c>
      <c r="C661" s="4" t="str">
        <f>TEXT(Table1[[#This Row],[Date]],"YYYY")</f>
        <v>2023</v>
      </c>
      <c r="D661" s="4" t="str">
        <f>TEXT(Table1[[#This Row],[Date]],"MMM")</f>
        <v>Oct</v>
      </c>
      <c r="E661" s="5" t="s">
        <v>20</v>
      </c>
      <c r="F661" s="3" t="s">
        <v>15</v>
      </c>
      <c r="G661" s="3" t="s">
        <v>45</v>
      </c>
      <c r="H661" s="3" t="s">
        <v>43</v>
      </c>
      <c r="I661" s="3">
        <v>1</v>
      </c>
      <c r="J661" s="3">
        <v>2700</v>
      </c>
      <c r="K661" s="3">
        <v>3000</v>
      </c>
      <c r="L661" s="3">
        <v>22</v>
      </c>
      <c r="M661">
        <f>Table1[[#This Row],[Qty]]*Table1[[#This Row],[Sales Price]]</f>
        <v>66000</v>
      </c>
      <c r="N661">
        <f>Table1[[#This Row],[Qty]]*Table1[[#This Row],[Cost]]</f>
        <v>59400</v>
      </c>
      <c r="O661">
        <f>Table1[[#This Row],[Revenue]]-Table1[[#This Row],[Total Cost]]</f>
        <v>6600</v>
      </c>
    </row>
    <row r="662" spans="1:15">
      <c r="A662" s="3">
        <v>661</v>
      </c>
      <c r="B662" s="4">
        <v>45163</v>
      </c>
      <c r="C662" s="4" t="str">
        <f>TEXT(Table1[[#This Row],[Date]],"YYYY")</f>
        <v>2023</v>
      </c>
      <c r="D662" s="4" t="str">
        <f>TEXT(Table1[[#This Row],[Date]],"MMM")</f>
        <v>Aug</v>
      </c>
      <c r="E662" s="5" t="s">
        <v>33</v>
      </c>
      <c r="F662" s="3" t="s">
        <v>18</v>
      </c>
      <c r="G662" s="3" t="s">
        <v>47</v>
      </c>
      <c r="H662" s="3" t="s">
        <v>43</v>
      </c>
      <c r="I662" s="3">
        <v>1</v>
      </c>
      <c r="J662" s="3">
        <v>4050</v>
      </c>
      <c r="K662" s="3">
        <v>4500</v>
      </c>
      <c r="L662" s="3">
        <v>8</v>
      </c>
      <c r="M662">
        <f>Table1[[#This Row],[Qty]]*Table1[[#This Row],[Sales Price]]</f>
        <v>36000</v>
      </c>
      <c r="N662">
        <f>Table1[[#This Row],[Qty]]*Table1[[#This Row],[Cost]]</f>
        <v>32400</v>
      </c>
      <c r="O662">
        <f>Table1[[#This Row],[Revenue]]-Table1[[#This Row],[Total Cost]]</f>
        <v>3600</v>
      </c>
    </row>
    <row r="663" spans="1:15">
      <c r="A663" s="3">
        <v>662</v>
      </c>
      <c r="B663" s="4">
        <v>45164</v>
      </c>
      <c r="C663" s="4" t="str">
        <f>TEXT(Table1[[#This Row],[Date]],"YYYY")</f>
        <v>2023</v>
      </c>
      <c r="D663" s="4" t="str">
        <f>TEXT(Table1[[#This Row],[Date]],"MMM")</f>
        <v>Aug</v>
      </c>
      <c r="E663" s="5" t="s">
        <v>56</v>
      </c>
      <c r="F663" s="3" t="s">
        <v>15</v>
      </c>
      <c r="G663" s="3" t="s">
        <v>44</v>
      </c>
      <c r="H663" s="3" t="s">
        <v>43</v>
      </c>
      <c r="I663" s="3">
        <v>1</v>
      </c>
      <c r="J663" s="3">
        <v>8280</v>
      </c>
      <c r="K663" s="3">
        <v>9200</v>
      </c>
      <c r="L663" s="3">
        <v>7</v>
      </c>
      <c r="M663">
        <f>Table1[[#This Row],[Qty]]*Table1[[#This Row],[Sales Price]]</f>
        <v>64400</v>
      </c>
      <c r="N663">
        <f>Table1[[#This Row],[Qty]]*Table1[[#This Row],[Cost]]</f>
        <v>57960</v>
      </c>
      <c r="O663">
        <f>Table1[[#This Row],[Revenue]]-Table1[[#This Row],[Total Cost]]</f>
        <v>6440</v>
      </c>
    </row>
    <row r="664" spans="1:15">
      <c r="A664" s="3">
        <v>663</v>
      </c>
      <c r="B664" s="4">
        <v>45165</v>
      </c>
      <c r="C664" s="4" t="str">
        <f>TEXT(Table1[[#This Row],[Date]],"YYYY")</f>
        <v>2023</v>
      </c>
      <c r="D664" s="4" t="str">
        <f>TEXT(Table1[[#This Row],[Date]],"MMM")</f>
        <v>Aug</v>
      </c>
      <c r="E664" s="5" t="s">
        <v>39</v>
      </c>
      <c r="F664" s="3" t="s">
        <v>18</v>
      </c>
      <c r="G664" s="3" t="s">
        <v>45</v>
      </c>
      <c r="H664" s="3" t="s">
        <v>43</v>
      </c>
      <c r="I664" s="3">
        <v>1</v>
      </c>
      <c r="J664" s="3">
        <v>4950</v>
      </c>
      <c r="K664" s="3">
        <v>5500</v>
      </c>
      <c r="L664" s="3">
        <v>56</v>
      </c>
      <c r="M664">
        <f>Table1[[#This Row],[Qty]]*Table1[[#This Row],[Sales Price]]</f>
        <v>308000</v>
      </c>
      <c r="N664">
        <f>Table1[[#This Row],[Qty]]*Table1[[#This Row],[Cost]]</f>
        <v>277200</v>
      </c>
      <c r="O664">
        <f>Table1[[#This Row],[Revenue]]-Table1[[#This Row],[Total Cost]]</f>
        <v>30800</v>
      </c>
    </row>
    <row r="665" spans="1:15">
      <c r="A665" s="3">
        <v>664</v>
      </c>
      <c r="B665" s="4">
        <v>45166</v>
      </c>
      <c r="C665" s="4" t="str">
        <f>TEXT(Table1[[#This Row],[Date]],"YYYY")</f>
        <v>2023</v>
      </c>
      <c r="D665" s="4" t="str">
        <f>TEXT(Table1[[#This Row],[Date]],"MMM")</f>
        <v>Aug</v>
      </c>
      <c r="E665" s="5" t="s">
        <v>54</v>
      </c>
      <c r="F665" s="3" t="s">
        <v>15</v>
      </c>
      <c r="G665" s="3" t="s">
        <v>47</v>
      </c>
      <c r="H665" s="3" t="s">
        <v>43</v>
      </c>
      <c r="I665" s="3">
        <v>1</v>
      </c>
      <c r="J665" s="3">
        <v>3150</v>
      </c>
      <c r="K665" s="3">
        <v>3500</v>
      </c>
      <c r="L665" s="3">
        <v>10</v>
      </c>
      <c r="M665">
        <f>Table1[[#This Row],[Qty]]*Table1[[#This Row],[Sales Price]]</f>
        <v>35000</v>
      </c>
      <c r="N665">
        <f>Table1[[#This Row],[Qty]]*Table1[[#This Row],[Cost]]</f>
        <v>31500</v>
      </c>
      <c r="O665">
        <f>Table1[[#This Row],[Revenue]]-Table1[[#This Row],[Total Cost]]</f>
        <v>3500</v>
      </c>
    </row>
    <row r="666" spans="1:15">
      <c r="A666" s="3">
        <v>665</v>
      </c>
      <c r="B666" s="4">
        <v>45167</v>
      </c>
      <c r="C666" s="4" t="str">
        <f>TEXT(Table1[[#This Row],[Date]],"YYYY")</f>
        <v>2023</v>
      </c>
      <c r="D666" s="4" t="str">
        <f>TEXT(Table1[[#This Row],[Date]],"MMM")</f>
        <v>Aug</v>
      </c>
      <c r="E666" s="5" t="s">
        <v>46</v>
      </c>
      <c r="F666" s="3" t="s">
        <v>18</v>
      </c>
      <c r="G666" s="3" t="s">
        <v>44</v>
      </c>
      <c r="H666" s="3" t="s">
        <v>43</v>
      </c>
      <c r="I666" s="3">
        <v>1</v>
      </c>
      <c r="J666" s="3">
        <v>2700</v>
      </c>
      <c r="K666" s="3">
        <v>3000</v>
      </c>
      <c r="L666" s="3">
        <v>9</v>
      </c>
      <c r="M666">
        <f>Table1[[#This Row],[Qty]]*Table1[[#This Row],[Sales Price]]</f>
        <v>27000</v>
      </c>
      <c r="N666">
        <f>Table1[[#This Row],[Qty]]*Table1[[#This Row],[Cost]]</f>
        <v>24300</v>
      </c>
      <c r="O666">
        <f>Table1[[#This Row],[Revenue]]-Table1[[#This Row],[Total Cost]]</f>
        <v>2700</v>
      </c>
    </row>
    <row r="667" spans="1:15">
      <c r="A667" s="3">
        <v>666</v>
      </c>
      <c r="B667" s="4">
        <v>45168</v>
      </c>
      <c r="C667" s="4" t="str">
        <f>TEXT(Table1[[#This Row],[Date]],"YYYY")</f>
        <v>2023</v>
      </c>
      <c r="D667" s="4" t="str">
        <f>TEXT(Table1[[#This Row],[Date]],"MMM")</f>
        <v>Aug</v>
      </c>
      <c r="E667" s="5" t="s">
        <v>22</v>
      </c>
      <c r="F667" s="3" t="s">
        <v>15</v>
      </c>
      <c r="G667" s="3" t="s">
        <v>45</v>
      </c>
      <c r="H667" s="3" t="s">
        <v>43</v>
      </c>
      <c r="I667" s="3">
        <v>1</v>
      </c>
      <c r="J667" s="3">
        <v>4050</v>
      </c>
      <c r="K667" s="3">
        <v>4500</v>
      </c>
      <c r="L667" s="3">
        <v>27</v>
      </c>
      <c r="M667">
        <f>Table1[[#This Row],[Qty]]*Table1[[#This Row],[Sales Price]]</f>
        <v>121500</v>
      </c>
      <c r="N667">
        <f>Table1[[#This Row],[Qty]]*Table1[[#This Row],[Cost]]</f>
        <v>109350</v>
      </c>
      <c r="O667">
        <f>Table1[[#This Row],[Revenue]]-Table1[[#This Row],[Total Cost]]</f>
        <v>12150</v>
      </c>
    </row>
    <row r="668" spans="1:15">
      <c r="A668" s="3">
        <v>667</v>
      </c>
      <c r="B668" s="4">
        <v>45169</v>
      </c>
      <c r="C668" s="4" t="str">
        <f>TEXT(Table1[[#This Row],[Date]],"YYYY")</f>
        <v>2023</v>
      </c>
      <c r="D668" s="4" t="str">
        <f>TEXT(Table1[[#This Row],[Date]],"MMM")</f>
        <v>Aug</v>
      </c>
      <c r="E668" s="5" t="s">
        <v>56</v>
      </c>
      <c r="F668" s="3" t="s">
        <v>18</v>
      </c>
      <c r="G668" s="3" t="s">
        <v>47</v>
      </c>
      <c r="H668" s="3" t="s">
        <v>43</v>
      </c>
      <c r="I668" s="3">
        <v>1</v>
      </c>
      <c r="J668" s="3">
        <v>4950</v>
      </c>
      <c r="K668" s="3">
        <v>5500</v>
      </c>
      <c r="L668" s="3">
        <v>15</v>
      </c>
      <c r="M668">
        <f>Table1[[#This Row],[Qty]]*Table1[[#This Row],[Sales Price]]</f>
        <v>82500</v>
      </c>
      <c r="N668">
        <f>Table1[[#This Row],[Qty]]*Table1[[#This Row],[Cost]]</f>
        <v>74250</v>
      </c>
      <c r="O668">
        <f>Table1[[#This Row],[Revenue]]-Table1[[#This Row],[Total Cost]]</f>
        <v>8250</v>
      </c>
    </row>
    <row r="669" spans="1:15">
      <c r="A669" s="3">
        <v>668</v>
      </c>
      <c r="B669" s="4">
        <v>45170</v>
      </c>
      <c r="C669" s="4" t="str">
        <f>TEXT(Table1[[#This Row],[Date]],"YYYY")</f>
        <v>2023</v>
      </c>
      <c r="D669" s="4" t="str">
        <f>TEXT(Table1[[#This Row],[Date]],"MMM")</f>
        <v>Sep</v>
      </c>
      <c r="E669" s="5" t="s">
        <v>14</v>
      </c>
      <c r="F669" s="3" t="s">
        <v>15</v>
      </c>
      <c r="G669" s="3" t="s">
        <v>44</v>
      </c>
      <c r="H669" s="3" t="s">
        <v>43</v>
      </c>
      <c r="I669" s="3">
        <v>1</v>
      </c>
      <c r="J669" s="3">
        <v>3150</v>
      </c>
      <c r="K669" s="3">
        <v>3500</v>
      </c>
      <c r="L669" s="3">
        <v>3</v>
      </c>
      <c r="M669">
        <f>Table1[[#This Row],[Qty]]*Table1[[#This Row],[Sales Price]]</f>
        <v>10500</v>
      </c>
      <c r="N669">
        <f>Table1[[#This Row],[Qty]]*Table1[[#This Row],[Cost]]</f>
        <v>9450</v>
      </c>
      <c r="O669">
        <f>Table1[[#This Row],[Revenue]]-Table1[[#This Row],[Total Cost]]</f>
        <v>1050</v>
      </c>
    </row>
    <row r="670" spans="1:15">
      <c r="A670" s="3">
        <v>669</v>
      </c>
      <c r="B670" s="4">
        <v>45171</v>
      </c>
      <c r="C670" s="4" t="str">
        <f>TEXT(Table1[[#This Row],[Date]],"YYYY")</f>
        <v>2023</v>
      </c>
      <c r="D670" s="4" t="str">
        <f>TEXT(Table1[[#This Row],[Date]],"MMM")</f>
        <v>Sep</v>
      </c>
      <c r="E670" s="5" t="s">
        <v>39</v>
      </c>
      <c r="F670" s="3" t="s">
        <v>18</v>
      </c>
      <c r="G670" s="3" t="s">
        <v>45</v>
      </c>
      <c r="H670" s="3" t="s">
        <v>43</v>
      </c>
      <c r="I670" s="3">
        <v>1</v>
      </c>
      <c r="J670" s="3">
        <v>2700</v>
      </c>
      <c r="K670" s="3">
        <v>3000</v>
      </c>
      <c r="L670" s="3">
        <v>9</v>
      </c>
      <c r="M670">
        <f>Table1[[#This Row],[Qty]]*Table1[[#This Row],[Sales Price]]</f>
        <v>27000</v>
      </c>
      <c r="N670">
        <f>Table1[[#This Row],[Qty]]*Table1[[#This Row],[Cost]]</f>
        <v>24300</v>
      </c>
      <c r="O670">
        <f>Table1[[#This Row],[Revenue]]-Table1[[#This Row],[Total Cost]]</f>
        <v>2700</v>
      </c>
    </row>
    <row r="671" spans="1:15">
      <c r="A671" s="3">
        <v>670</v>
      </c>
      <c r="B671" s="4">
        <v>45172</v>
      </c>
      <c r="C671" s="4" t="str">
        <f>TEXT(Table1[[#This Row],[Date]],"YYYY")</f>
        <v>2023</v>
      </c>
      <c r="D671" s="4" t="str">
        <f>TEXT(Table1[[#This Row],[Date]],"MMM")</f>
        <v>Sep</v>
      </c>
      <c r="E671" s="5" t="s">
        <v>50</v>
      </c>
      <c r="F671" s="3" t="s">
        <v>15</v>
      </c>
      <c r="G671" s="3" t="s">
        <v>47</v>
      </c>
      <c r="H671" s="3" t="s">
        <v>43</v>
      </c>
      <c r="I671" s="3">
        <v>1</v>
      </c>
      <c r="J671" s="3">
        <v>4050</v>
      </c>
      <c r="K671" s="3">
        <v>4500</v>
      </c>
      <c r="L671" s="3">
        <v>22</v>
      </c>
      <c r="M671">
        <f>Table1[[#This Row],[Qty]]*Table1[[#This Row],[Sales Price]]</f>
        <v>99000</v>
      </c>
      <c r="N671">
        <f>Table1[[#This Row],[Qty]]*Table1[[#This Row],[Cost]]</f>
        <v>89100</v>
      </c>
      <c r="O671">
        <f>Table1[[#This Row],[Revenue]]-Table1[[#This Row],[Total Cost]]</f>
        <v>9900</v>
      </c>
    </row>
    <row r="672" spans="1:15">
      <c r="A672" s="3">
        <v>671</v>
      </c>
      <c r="B672" s="4">
        <v>45173</v>
      </c>
      <c r="C672" s="4" t="str">
        <f>TEXT(Table1[[#This Row],[Date]],"YYYY")</f>
        <v>2023</v>
      </c>
      <c r="D672" s="4" t="str">
        <f>TEXT(Table1[[#This Row],[Date]],"MMM")</f>
        <v>Sep</v>
      </c>
      <c r="E672" s="5" t="s">
        <v>58</v>
      </c>
      <c r="F672" s="3" t="s">
        <v>18</v>
      </c>
      <c r="G672" s="3" t="s">
        <v>44</v>
      </c>
      <c r="H672" s="3" t="s">
        <v>43</v>
      </c>
      <c r="I672" s="3">
        <v>1</v>
      </c>
      <c r="J672" s="3">
        <v>8280</v>
      </c>
      <c r="K672" s="3">
        <v>9200</v>
      </c>
      <c r="L672" s="3">
        <v>16</v>
      </c>
      <c r="M672">
        <f>Table1[[#This Row],[Qty]]*Table1[[#This Row],[Sales Price]]</f>
        <v>147200</v>
      </c>
      <c r="N672">
        <f>Table1[[#This Row],[Qty]]*Table1[[#This Row],[Cost]]</f>
        <v>132480</v>
      </c>
      <c r="O672">
        <f>Table1[[#This Row],[Revenue]]-Table1[[#This Row],[Total Cost]]</f>
        <v>14720</v>
      </c>
    </row>
    <row r="673" spans="1:15">
      <c r="A673" s="3">
        <v>672</v>
      </c>
      <c r="B673" s="4">
        <v>45174</v>
      </c>
      <c r="C673" s="4" t="str">
        <f>TEXT(Table1[[#This Row],[Date]],"YYYY")</f>
        <v>2023</v>
      </c>
      <c r="D673" s="4" t="str">
        <f>TEXT(Table1[[#This Row],[Date]],"MMM")</f>
        <v>Sep</v>
      </c>
      <c r="E673" s="5" t="s">
        <v>31</v>
      </c>
      <c r="F673" s="3" t="s">
        <v>15</v>
      </c>
      <c r="G673" s="3" t="s">
        <v>45</v>
      </c>
      <c r="H673" s="3" t="s">
        <v>43</v>
      </c>
      <c r="I673" s="3"/>
      <c r="J673" s="3">
        <v>4950</v>
      </c>
      <c r="K673" s="3">
        <v>5500</v>
      </c>
      <c r="L673" s="3">
        <v>6</v>
      </c>
      <c r="M673">
        <f>Table1[[#This Row],[Qty]]*Table1[[#This Row],[Sales Price]]</f>
        <v>33000</v>
      </c>
      <c r="N673">
        <f>Table1[[#This Row],[Qty]]*Table1[[#This Row],[Cost]]</f>
        <v>29700</v>
      </c>
      <c r="O673">
        <f>Table1[[#This Row],[Revenue]]-Table1[[#This Row],[Total Cost]]</f>
        <v>3300</v>
      </c>
    </row>
    <row r="674" spans="1:15">
      <c r="A674" s="3">
        <v>673</v>
      </c>
      <c r="B674" s="4">
        <v>45175</v>
      </c>
      <c r="C674" s="4" t="str">
        <f>TEXT(Table1[[#This Row],[Date]],"YYYY")</f>
        <v>2023</v>
      </c>
      <c r="D674" s="4" t="str">
        <f>TEXT(Table1[[#This Row],[Date]],"MMM")</f>
        <v>Sep</v>
      </c>
      <c r="E674" s="5" t="s">
        <v>63</v>
      </c>
      <c r="F674" s="3" t="s">
        <v>18</v>
      </c>
      <c r="G674" s="3" t="s">
        <v>47</v>
      </c>
      <c r="H674" s="3" t="s">
        <v>43</v>
      </c>
      <c r="I674" s="3"/>
      <c r="J674" s="3">
        <v>3150</v>
      </c>
      <c r="K674" s="3">
        <v>3500</v>
      </c>
      <c r="L674" s="3">
        <v>3</v>
      </c>
      <c r="M674">
        <f>Table1[[#This Row],[Qty]]*Table1[[#This Row],[Sales Price]]</f>
        <v>10500</v>
      </c>
      <c r="N674">
        <f>Table1[[#This Row],[Qty]]*Table1[[#This Row],[Cost]]</f>
        <v>9450</v>
      </c>
      <c r="O674">
        <f>Table1[[#This Row],[Revenue]]-Table1[[#This Row],[Total Cost]]</f>
        <v>1050</v>
      </c>
    </row>
    <row r="675" spans="1:15">
      <c r="A675" s="3">
        <v>674</v>
      </c>
      <c r="B675" s="4">
        <v>45176</v>
      </c>
      <c r="C675" s="4" t="str">
        <f>TEXT(Table1[[#This Row],[Date]],"YYYY")</f>
        <v>2023</v>
      </c>
      <c r="D675" s="4" t="str">
        <f>TEXT(Table1[[#This Row],[Date]],"MMM")</f>
        <v>Sep</v>
      </c>
      <c r="E675" s="5" t="s">
        <v>39</v>
      </c>
      <c r="F675" s="3" t="s">
        <v>15</v>
      </c>
      <c r="G675" s="3" t="s">
        <v>44</v>
      </c>
      <c r="H675" s="3" t="s">
        <v>43</v>
      </c>
      <c r="I675" s="3">
        <v>1</v>
      </c>
      <c r="J675" s="3">
        <v>2700</v>
      </c>
      <c r="K675" s="3">
        <v>3000</v>
      </c>
      <c r="L675" s="3">
        <v>5</v>
      </c>
      <c r="M675">
        <f>Table1[[#This Row],[Qty]]*Table1[[#This Row],[Sales Price]]</f>
        <v>15000</v>
      </c>
      <c r="N675">
        <f>Table1[[#This Row],[Qty]]*Table1[[#This Row],[Cost]]</f>
        <v>13500</v>
      </c>
      <c r="O675">
        <f>Table1[[#This Row],[Revenue]]-Table1[[#This Row],[Total Cost]]</f>
        <v>1500</v>
      </c>
    </row>
    <row r="676" spans="1:15">
      <c r="A676" s="3">
        <v>675</v>
      </c>
      <c r="B676" s="4">
        <v>45177</v>
      </c>
      <c r="C676" s="4" t="str">
        <f>TEXT(Table1[[#This Row],[Date]],"YYYY")</f>
        <v>2023</v>
      </c>
      <c r="D676" s="4" t="str">
        <f>TEXT(Table1[[#This Row],[Date]],"MMM")</f>
        <v>Sep</v>
      </c>
      <c r="E676" s="5" t="s">
        <v>22</v>
      </c>
      <c r="F676" s="3" t="s">
        <v>18</v>
      </c>
      <c r="G676" s="3" t="s">
        <v>45</v>
      </c>
      <c r="H676" s="3" t="s">
        <v>43</v>
      </c>
      <c r="I676" s="3">
        <v>1</v>
      </c>
      <c r="J676" s="3">
        <v>4050</v>
      </c>
      <c r="K676" s="3">
        <v>4500</v>
      </c>
      <c r="L676" s="3">
        <v>1</v>
      </c>
      <c r="M676">
        <f>Table1[[#This Row],[Qty]]*Table1[[#This Row],[Sales Price]]</f>
        <v>4500</v>
      </c>
      <c r="N676">
        <f>Table1[[#This Row],[Qty]]*Table1[[#This Row],[Cost]]</f>
        <v>4050</v>
      </c>
      <c r="O676">
        <f>Table1[[#This Row],[Revenue]]-Table1[[#This Row],[Total Cost]]</f>
        <v>450</v>
      </c>
    </row>
    <row r="677" spans="1:15">
      <c r="A677" s="3">
        <v>676</v>
      </c>
      <c r="B677" s="4">
        <v>45178</v>
      </c>
      <c r="C677" s="4" t="str">
        <f>TEXT(Table1[[#This Row],[Date]],"YYYY")</f>
        <v>2023</v>
      </c>
      <c r="D677" s="4" t="str">
        <f>TEXT(Table1[[#This Row],[Date]],"MMM")</f>
        <v>Sep</v>
      </c>
      <c r="E677" s="5" t="s">
        <v>50</v>
      </c>
      <c r="F677" s="3" t="s">
        <v>15</v>
      </c>
      <c r="G677" s="3" t="s">
        <v>47</v>
      </c>
      <c r="H677" s="3" t="s">
        <v>43</v>
      </c>
      <c r="I677" s="3">
        <v>1</v>
      </c>
      <c r="J677" s="3">
        <v>8280</v>
      </c>
      <c r="K677" s="3">
        <v>9200</v>
      </c>
      <c r="L677" s="3">
        <v>5</v>
      </c>
      <c r="M677">
        <f>Table1[[#This Row],[Qty]]*Table1[[#This Row],[Sales Price]]</f>
        <v>46000</v>
      </c>
      <c r="N677">
        <f>Table1[[#This Row],[Qty]]*Table1[[#This Row],[Cost]]</f>
        <v>41400</v>
      </c>
      <c r="O677">
        <f>Table1[[#This Row],[Revenue]]-Table1[[#This Row],[Total Cost]]</f>
        <v>4600</v>
      </c>
    </row>
    <row r="678" spans="1:15">
      <c r="A678" s="3">
        <v>677</v>
      </c>
      <c r="B678" s="4">
        <v>45179</v>
      </c>
      <c r="C678" s="4" t="str">
        <f>TEXT(Table1[[#This Row],[Date]],"YYYY")</f>
        <v>2023</v>
      </c>
      <c r="D678" s="4" t="str">
        <f>TEXT(Table1[[#This Row],[Date]],"MMM")</f>
        <v>Sep</v>
      </c>
      <c r="E678" s="5" t="s">
        <v>14</v>
      </c>
      <c r="F678" s="3" t="s">
        <v>18</v>
      </c>
      <c r="G678" s="3" t="s">
        <v>44</v>
      </c>
      <c r="H678" s="3" t="s">
        <v>43</v>
      </c>
      <c r="I678" s="3">
        <v>1</v>
      </c>
      <c r="J678" s="3">
        <v>4950</v>
      </c>
      <c r="K678" s="3">
        <v>5500</v>
      </c>
      <c r="L678" s="3">
        <v>7</v>
      </c>
      <c r="M678">
        <f>Table1[[#This Row],[Qty]]*Table1[[#This Row],[Sales Price]]</f>
        <v>38500</v>
      </c>
      <c r="N678">
        <f>Table1[[#This Row],[Qty]]*Table1[[#This Row],[Cost]]</f>
        <v>34650</v>
      </c>
      <c r="O678">
        <f>Table1[[#This Row],[Revenue]]-Table1[[#This Row],[Total Cost]]</f>
        <v>3850</v>
      </c>
    </row>
    <row r="679" spans="1:15">
      <c r="A679" s="3">
        <v>678</v>
      </c>
      <c r="B679" s="4">
        <v>45180</v>
      </c>
      <c r="C679" s="4" t="str">
        <f>TEXT(Table1[[#This Row],[Date]],"YYYY")</f>
        <v>2023</v>
      </c>
      <c r="D679" s="4" t="str">
        <f>TEXT(Table1[[#This Row],[Date]],"MMM")</f>
        <v>Sep</v>
      </c>
      <c r="E679" s="5" t="s">
        <v>22</v>
      </c>
      <c r="F679" s="3" t="s">
        <v>15</v>
      </c>
      <c r="G679" s="3" t="s">
        <v>45</v>
      </c>
      <c r="H679" s="3" t="s">
        <v>43</v>
      </c>
      <c r="I679" s="3">
        <v>1</v>
      </c>
      <c r="J679" s="3">
        <v>3150</v>
      </c>
      <c r="K679" s="3">
        <v>3500</v>
      </c>
      <c r="L679" s="3">
        <v>4</v>
      </c>
      <c r="M679">
        <f>Table1[[#This Row],[Qty]]*Table1[[#This Row],[Sales Price]]</f>
        <v>14000</v>
      </c>
      <c r="N679">
        <f>Table1[[#This Row],[Qty]]*Table1[[#This Row],[Cost]]</f>
        <v>12600</v>
      </c>
      <c r="O679">
        <f>Table1[[#This Row],[Revenue]]-Table1[[#This Row],[Total Cost]]</f>
        <v>1400</v>
      </c>
    </row>
    <row r="680" spans="1:15">
      <c r="A680" s="3">
        <v>679</v>
      </c>
      <c r="B680" s="4">
        <v>45181</v>
      </c>
      <c r="C680" s="4" t="str">
        <f>TEXT(Table1[[#This Row],[Date]],"YYYY")</f>
        <v>2023</v>
      </c>
      <c r="D680" s="4" t="str">
        <f>TEXT(Table1[[#This Row],[Date]],"MMM")</f>
        <v>Sep</v>
      </c>
      <c r="E680" s="5" t="s">
        <v>56</v>
      </c>
      <c r="F680" s="3" t="s">
        <v>18</v>
      </c>
      <c r="G680" s="3" t="s">
        <v>47</v>
      </c>
      <c r="H680" s="3" t="s">
        <v>43</v>
      </c>
      <c r="I680" s="3">
        <v>1</v>
      </c>
      <c r="J680" s="3">
        <v>2700</v>
      </c>
      <c r="K680" s="3">
        <v>3000</v>
      </c>
      <c r="L680" s="3">
        <v>8</v>
      </c>
      <c r="M680">
        <f>Table1[[#This Row],[Qty]]*Table1[[#This Row],[Sales Price]]</f>
        <v>24000</v>
      </c>
      <c r="N680">
        <f>Table1[[#This Row],[Qty]]*Table1[[#This Row],[Cost]]</f>
        <v>21600</v>
      </c>
      <c r="O680">
        <f>Table1[[#This Row],[Revenue]]-Table1[[#This Row],[Total Cost]]</f>
        <v>2400</v>
      </c>
    </row>
    <row r="681" spans="1:15">
      <c r="A681" s="3">
        <v>680</v>
      </c>
      <c r="B681" s="4">
        <v>45182</v>
      </c>
      <c r="C681" s="4" t="str">
        <f>TEXT(Table1[[#This Row],[Date]],"YYYY")</f>
        <v>2023</v>
      </c>
      <c r="D681" s="4" t="str">
        <f>TEXT(Table1[[#This Row],[Date]],"MMM")</f>
        <v>Sep</v>
      </c>
      <c r="E681" s="5" t="s">
        <v>14</v>
      </c>
      <c r="F681" s="3" t="s">
        <v>15</v>
      </c>
      <c r="G681" s="3" t="s">
        <v>44</v>
      </c>
      <c r="H681" s="3" t="s">
        <v>43</v>
      </c>
      <c r="I681" s="3">
        <v>1</v>
      </c>
      <c r="J681" s="3">
        <v>4050</v>
      </c>
      <c r="K681" s="3">
        <v>6000</v>
      </c>
      <c r="L681" s="3">
        <v>8</v>
      </c>
      <c r="M681">
        <f>Table1[[#This Row],[Qty]]*Table1[[#This Row],[Sales Price]]</f>
        <v>48000</v>
      </c>
      <c r="N681">
        <f>Table1[[#This Row],[Qty]]*Table1[[#This Row],[Cost]]</f>
        <v>32400</v>
      </c>
      <c r="O681">
        <f>Table1[[#This Row],[Revenue]]-Table1[[#This Row],[Total Cost]]</f>
        <v>15600</v>
      </c>
    </row>
    <row r="682" spans="1:15">
      <c r="A682" s="3">
        <v>681</v>
      </c>
      <c r="B682" s="4">
        <v>45183</v>
      </c>
      <c r="C682" s="4" t="str">
        <f>TEXT(Table1[[#This Row],[Date]],"YYYY")</f>
        <v>2023</v>
      </c>
      <c r="D682" s="4" t="str">
        <f>TEXT(Table1[[#This Row],[Date]],"MMM")</f>
        <v>Sep</v>
      </c>
      <c r="E682" s="5" t="s">
        <v>39</v>
      </c>
      <c r="F682" s="3" t="s">
        <v>18</v>
      </c>
      <c r="G682" s="3" t="s">
        <v>45</v>
      </c>
      <c r="H682" s="3" t="s">
        <v>43</v>
      </c>
      <c r="I682" s="3">
        <v>1</v>
      </c>
      <c r="J682" s="3">
        <v>4200</v>
      </c>
      <c r="K682" s="3">
        <v>6000</v>
      </c>
      <c r="L682" s="3">
        <v>9</v>
      </c>
      <c r="M682">
        <f>Table1[[#This Row],[Qty]]*Table1[[#This Row],[Sales Price]]</f>
        <v>54000</v>
      </c>
      <c r="N682">
        <f>Table1[[#This Row],[Qty]]*Table1[[#This Row],[Cost]]</f>
        <v>37800</v>
      </c>
      <c r="O682">
        <f>Table1[[#This Row],[Revenue]]-Table1[[#This Row],[Total Cost]]</f>
        <v>16200</v>
      </c>
    </row>
    <row r="683" spans="1:15">
      <c r="A683" s="3">
        <v>682</v>
      </c>
      <c r="B683" s="4">
        <v>45184</v>
      </c>
      <c r="C683" s="4" t="str">
        <f>TEXT(Table1[[#This Row],[Date]],"YYYY")</f>
        <v>2023</v>
      </c>
      <c r="D683" s="4" t="str">
        <f>TEXT(Table1[[#This Row],[Date]],"MMM")</f>
        <v>Sep</v>
      </c>
      <c r="E683" s="5" t="s">
        <v>50</v>
      </c>
      <c r="F683" s="3" t="s">
        <v>15</v>
      </c>
      <c r="G683" s="3" t="s">
        <v>47</v>
      </c>
      <c r="H683" s="3" t="s">
        <v>43</v>
      </c>
      <c r="I683" s="3">
        <v>1</v>
      </c>
      <c r="J683" s="3">
        <v>4650</v>
      </c>
      <c r="K683" s="3">
        <v>6000</v>
      </c>
      <c r="L683" s="3">
        <v>2</v>
      </c>
      <c r="M683">
        <f>Table1[[#This Row],[Qty]]*Table1[[#This Row],[Sales Price]]</f>
        <v>12000</v>
      </c>
      <c r="N683">
        <f>Table1[[#This Row],[Qty]]*Table1[[#This Row],[Cost]]</f>
        <v>9300</v>
      </c>
      <c r="O683">
        <f>Table1[[#This Row],[Revenue]]-Table1[[#This Row],[Total Cost]]</f>
        <v>2700</v>
      </c>
    </row>
    <row r="684" spans="1:15">
      <c r="A684" s="3">
        <v>683</v>
      </c>
      <c r="B684" s="4">
        <v>45185</v>
      </c>
      <c r="C684" s="4" t="str">
        <f>TEXT(Table1[[#This Row],[Date]],"YYYY")</f>
        <v>2023</v>
      </c>
      <c r="D684" s="4" t="str">
        <f>TEXT(Table1[[#This Row],[Date]],"MMM")</f>
        <v>Sep</v>
      </c>
      <c r="E684" s="5" t="s">
        <v>50</v>
      </c>
      <c r="F684" s="3" t="s">
        <v>18</v>
      </c>
      <c r="G684" s="3" t="s">
        <v>44</v>
      </c>
      <c r="H684" s="3" t="s">
        <v>43</v>
      </c>
      <c r="I684" s="3">
        <v>1</v>
      </c>
      <c r="J684" s="3">
        <v>5100</v>
      </c>
      <c r="K684" s="3">
        <v>6000</v>
      </c>
      <c r="L684" s="3">
        <v>1</v>
      </c>
      <c r="M684">
        <f>Table1[[#This Row],[Qty]]*Table1[[#This Row],[Sales Price]]</f>
        <v>6000</v>
      </c>
      <c r="N684">
        <f>Table1[[#This Row],[Qty]]*Table1[[#This Row],[Cost]]</f>
        <v>5100</v>
      </c>
      <c r="O684">
        <f>Table1[[#This Row],[Revenue]]-Table1[[#This Row],[Total Cost]]</f>
        <v>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98E6-9AA8-4E63-A826-63045BF08FC1}">
  <dimension ref="C11:D11"/>
  <sheetViews>
    <sheetView workbookViewId="0">
      <selection activeCell="E11" sqref="E11"/>
    </sheetView>
  </sheetViews>
  <sheetFormatPr defaultRowHeight="14.4"/>
  <sheetData>
    <row r="11" spans="3:4">
      <c r="C11" t="s">
        <v>80</v>
      </c>
      <c r="D1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3F83-D41E-4B5E-9F40-FF8BAD81706D}">
  <dimension ref="A1:V39"/>
  <sheetViews>
    <sheetView zoomScale="36" zoomScaleNormal="55" workbookViewId="0">
      <selection activeCell="M50" sqref="M50"/>
    </sheetView>
  </sheetViews>
  <sheetFormatPr defaultRowHeight="14.4"/>
  <sheetData>
    <row r="1" spans="1:22">
      <c r="A1" s="9"/>
      <c r="B1" s="9"/>
      <c r="C1" s="9"/>
      <c r="D1" s="9"/>
      <c r="E1" s="9"/>
      <c r="F1" s="9"/>
      <c r="G1" s="11"/>
      <c r="H1" s="11"/>
      <c r="I1" s="11"/>
      <c r="J1" s="1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>
      <c r="A2" s="9"/>
      <c r="B2" s="9"/>
      <c r="C2" s="9"/>
      <c r="D2" s="9"/>
      <c r="E2" s="9"/>
      <c r="F2" s="9"/>
      <c r="G2" s="11" t="s">
        <v>82</v>
      </c>
      <c r="H2" s="11"/>
      <c r="I2" s="11"/>
      <c r="J2" s="11"/>
      <c r="K2" s="9"/>
      <c r="L2" s="9"/>
      <c r="M2" s="9"/>
      <c r="N2" s="9"/>
      <c r="O2" s="9" t="s">
        <v>83</v>
      </c>
      <c r="P2" s="9"/>
      <c r="Q2" s="9"/>
      <c r="R2" s="9"/>
      <c r="S2" s="9"/>
      <c r="T2" s="9"/>
      <c r="U2" s="9"/>
      <c r="V2" s="9"/>
    </row>
    <row r="3" spans="1:22">
      <c r="A3" s="9"/>
      <c r="B3" s="9"/>
      <c r="C3" s="9"/>
      <c r="D3" s="9"/>
      <c r="E3" s="9"/>
      <c r="F3" s="9"/>
      <c r="G3" s="11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>
      <c r="A4" s="10"/>
      <c r="B4" s="10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>
      <c r="A5" s="10"/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>
      <c r="A6" s="10"/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>
      <c r="A7" s="10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>
      <c r="A8" s="10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>
      <c r="A9" s="10"/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>
      <c r="A10" s="10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>
      <c r="A11" s="10"/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>
      <c r="A12" s="10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>
      <c r="A13" s="10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>
      <c r="A14" s="10"/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>
      <c r="A15" s="10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10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>
      <c r="A17" s="10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>
      <c r="A18" s="10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>
      <c r="A19" s="10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>
      <c r="A20" s="10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>
      <c r="A21" s="10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>
      <c r="A22" s="10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>
      <c r="A23" s="10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>
      <c r="A24" s="10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>
      <c r="A25" s="10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>
      <c r="A26" s="10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>
      <c r="A27" s="10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>
      <c r="A28" s="10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>
      <c r="A29" s="10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>
      <c r="A30" s="10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>
      <c r="A31" s="10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>
      <c r="A32" s="10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10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10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10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>
      <c r="A36" s="10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>
      <c r="A37" s="10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>
      <c r="A38" s="10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>
      <c r="A39" s="10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00FF-7BD8-4BF9-94EB-E58BF3BA77E2}">
  <dimension ref="A3:W60"/>
  <sheetViews>
    <sheetView tabSelected="1" topLeftCell="R16" zoomScale="77" workbookViewId="0">
      <selection activeCell="T26" sqref="T26"/>
    </sheetView>
  </sheetViews>
  <sheetFormatPr defaultRowHeight="14.4"/>
  <cols>
    <col min="1" max="1" width="12.5546875" bestFit="1" customWidth="1"/>
    <col min="2" max="2" width="25.5546875" bestFit="1" customWidth="1"/>
    <col min="3" max="3" width="15" bestFit="1" customWidth="1"/>
    <col min="4" max="4" width="10.21875" bestFit="1" customWidth="1"/>
    <col min="5" max="5" width="14.33203125" bestFit="1" customWidth="1"/>
    <col min="6" max="6" width="9" bestFit="1" customWidth="1"/>
    <col min="12" max="12" width="12.5546875" bestFit="1" customWidth="1"/>
    <col min="13" max="13" width="15" bestFit="1" customWidth="1"/>
    <col min="19" max="19" width="13.33203125" bestFit="1" customWidth="1"/>
    <col min="20" max="21" width="16.6640625" bestFit="1" customWidth="1"/>
  </cols>
  <sheetData>
    <row r="3" spans="1:13">
      <c r="A3" s="12" t="s">
        <v>84</v>
      </c>
      <c r="B3" t="s">
        <v>98</v>
      </c>
      <c r="D3" t="s">
        <v>84</v>
      </c>
      <c r="E3" t="s">
        <v>98</v>
      </c>
      <c r="L3" s="12" t="s">
        <v>84</v>
      </c>
      <c r="M3" t="s">
        <v>98</v>
      </c>
    </row>
    <row r="4" spans="1:13">
      <c r="A4" s="13" t="s">
        <v>85</v>
      </c>
      <c r="B4" s="14">
        <v>9721600</v>
      </c>
      <c r="D4" t="s">
        <v>85</v>
      </c>
      <c r="E4">
        <v>9721600</v>
      </c>
      <c r="L4" s="13" t="s">
        <v>28</v>
      </c>
      <c r="M4" s="14">
        <v>43149050</v>
      </c>
    </row>
    <row r="5" spans="1:13">
      <c r="A5" s="13" t="s">
        <v>86</v>
      </c>
      <c r="B5" s="14">
        <v>6332400</v>
      </c>
      <c r="D5" t="s">
        <v>86</v>
      </c>
      <c r="E5">
        <v>6332400</v>
      </c>
      <c r="L5" s="13" t="s">
        <v>17</v>
      </c>
      <c r="M5" s="14">
        <v>50480150</v>
      </c>
    </row>
    <row r="6" spans="1:13">
      <c r="A6" s="13" t="s">
        <v>87</v>
      </c>
      <c r="B6" s="14">
        <v>17715000</v>
      </c>
      <c r="D6" t="s">
        <v>87</v>
      </c>
      <c r="E6">
        <v>17715000</v>
      </c>
      <c r="L6" s="13" t="s">
        <v>43</v>
      </c>
      <c r="M6" s="14">
        <v>49712500</v>
      </c>
    </row>
    <row r="7" spans="1:13">
      <c r="A7" s="13" t="s">
        <v>88</v>
      </c>
      <c r="B7" s="14">
        <v>7746350</v>
      </c>
      <c r="D7" t="s">
        <v>88</v>
      </c>
      <c r="E7">
        <v>7746350</v>
      </c>
      <c r="L7" s="13" t="s">
        <v>97</v>
      </c>
      <c r="M7" s="14">
        <v>143341700</v>
      </c>
    </row>
    <row r="8" spans="1:13">
      <c r="A8" s="13" t="s">
        <v>89</v>
      </c>
      <c r="B8" s="14">
        <v>5394700</v>
      </c>
      <c r="D8" t="s">
        <v>89</v>
      </c>
      <c r="E8">
        <v>5394700</v>
      </c>
    </row>
    <row r="9" spans="1:13">
      <c r="A9" s="13" t="s">
        <v>90</v>
      </c>
      <c r="B9" s="14">
        <v>11485450</v>
      </c>
      <c r="D9" t="s">
        <v>90</v>
      </c>
      <c r="E9">
        <v>11485450</v>
      </c>
      <c r="L9" s="13"/>
    </row>
    <row r="10" spans="1:13">
      <c r="A10" s="13" t="s">
        <v>91</v>
      </c>
      <c r="B10" s="14">
        <v>6401400</v>
      </c>
      <c r="D10" t="s">
        <v>91</v>
      </c>
      <c r="E10">
        <v>6401400</v>
      </c>
    </row>
    <row r="11" spans="1:13">
      <c r="A11" s="13" t="s">
        <v>92</v>
      </c>
      <c r="B11" s="14">
        <v>12985850</v>
      </c>
      <c r="D11" t="s">
        <v>92</v>
      </c>
      <c r="E11">
        <v>12985850</v>
      </c>
      <c r="L11" t="s">
        <v>84</v>
      </c>
      <c r="M11" t="s">
        <v>98</v>
      </c>
    </row>
    <row r="12" spans="1:13">
      <c r="A12" s="13" t="s">
        <v>93</v>
      </c>
      <c r="B12" s="14">
        <v>12788200</v>
      </c>
      <c r="D12" t="s">
        <v>93</v>
      </c>
      <c r="E12">
        <v>12788200</v>
      </c>
      <c r="L12" t="s">
        <v>28</v>
      </c>
      <c r="M12">
        <v>43149050</v>
      </c>
    </row>
    <row r="13" spans="1:13">
      <c r="A13" s="13" t="s">
        <v>94</v>
      </c>
      <c r="B13" s="14">
        <v>25093850</v>
      </c>
      <c r="D13" t="s">
        <v>94</v>
      </c>
      <c r="E13">
        <v>25093850</v>
      </c>
      <c r="L13" t="s">
        <v>17</v>
      </c>
      <c r="M13">
        <v>50480150</v>
      </c>
    </row>
    <row r="14" spans="1:13">
      <c r="A14" s="13" t="s">
        <v>95</v>
      </c>
      <c r="B14" s="14">
        <v>13081050</v>
      </c>
      <c r="D14" t="s">
        <v>95</v>
      </c>
      <c r="E14">
        <v>13081050</v>
      </c>
      <c r="L14" t="s">
        <v>43</v>
      </c>
      <c r="M14">
        <v>49712500</v>
      </c>
    </row>
    <row r="15" spans="1:13">
      <c r="A15" s="13" t="s">
        <v>96</v>
      </c>
      <c r="B15" s="14">
        <v>14595850</v>
      </c>
      <c r="D15" t="s">
        <v>96</v>
      </c>
      <c r="E15">
        <v>14595850</v>
      </c>
      <c r="L15" t="s">
        <v>97</v>
      </c>
      <c r="M15">
        <v>143341700</v>
      </c>
    </row>
    <row r="16" spans="1:13">
      <c r="A16" s="13" t="s">
        <v>97</v>
      </c>
      <c r="B16" s="14">
        <v>143341700</v>
      </c>
    </row>
    <row r="29" spans="2:6">
      <c r="B29" s="12" t="s">
        <v>84</v>
      </c>
      <c r="C29" t="s">
        <v>98</v>
      </c>
    </row>
    <row r="30" spans="2:6">
      <c r="B30" s="13" t="s">
        <v>52</v>
      </c>
      <c r="C30" s="14">
        <v>317150</v>
      </c>
      <c r="E30" t="str">
        <f>B30</f>
        <v>Andaman and Nicobar Islands</v>
      </c>
      <c r="F30">
        <f>C30/100000</f>
        <v>3.1715</v>
      </c>
    </row>
    <row r="31" spans="2:6">
      <c r="B31" s="13" t="s">
        <v>14</v>
      </c>
      <c r="C31" s="14">
        <v>12936300</v>
      </c>
      <c r="E31" t="str">
        <f t="shared" ref="E31:E59" si="0">B31</f>
        <v>Andhra Pradesh</v>
      </c>
      <c r="F31">
        <f t="shared" ref="F31:F59" si="1">C31/100000</f>
        <v>129.363</v>
      </c>
    </row>
    <row r="32" spans="2:6">
      <c r="B32" s="13" t="s">
        <v>55</v>
      </c>
      <c r="C32" s="14">
        <v>1753000</v>
      </c>
      <c r="E32" t="str">
        <f t="shared" si="0"/>
        <v>Arunachal Pradesh</v>
      </c>
      <c r="F32">
        <f t="shared" si="1"/>
        <v>17.53</v>
      </c>
    </row>
    <row r="33" spans="2:23">
      <c r="B33" s="13" t="s">
        <v>57</v>
      </c>
      <c r="C33" s="14">
        <v>5987500</v>
      </c>
      <c r="E33" t="str">
        <f t="shared" si="0"/>
        <v>Assam</v>
      </c>
      <c r="F33">
        <f t="shared" si="1"/>
        <v>59.875</v>
      </c>
    </row>
    <row r="34" spans="2:23">
      <c r="B34" s="13" t="s">
        <v>58</v>
      </c>
      <c r="C34" s="14">
        <v>2956250</v>
      </c>
      <c r="E34" t="str">
        <f t="shared" si="0"/>
        <v>Bihar</v>
      </c>
      <c r="F34">
        <f t="shared" si="1"/>
        <v>29.5625</v>
      </c>
      <c r="S34" s="12" t="s">
        <v>84</v>
      </c>
      <c r="T34" t="s">
        <v>104</v>
      </c>
      <c r="V34" t="s">
        <v>84</v>
      </c>
      <c r="W34" t="s">
        <v>101</v>
      </c>
    </row>
    <row r="35" spans="2:23">
      <c r="B35" s="13" t="s">
        <v>67</v>
      </c>
      <c r="C35" s="14">
        <v>48000</v>
      </c>
      <c r="E35" t="str">
        <f t="shared" si="0"/>
        <v>Chhattisgarh</v>
      </c>
      <c r="F35">
        <f t="shared" si="1"/>
        <v>0.48</v>
      </c>
      <c r="S35" s="13" t="s">
        <v>99</v>
      </c>
      <c r="T35" s="15">
        <v>7753750</v>
      </c>
      <c r="V35" t="s">
        <v>102</v>
      </c>
      <c r="W35" s="15">
        <v>0.14516129032258066</v>
      </c>
    </row>
    <row r="36" spans="2:23">
      <c r="B36" s="13" t="s">
        <v>62</v>
      </c>
      <c r="C36" s="14">
        <v>247600</v>
      </c>
      <c r="E36" t="str">
        <f t="shared" si="0"/>
        <v>Dadra and Nagar Haveli</v>
      </c>
      <c r="F36">
        <f t="shared" si="1"/>
        <v>2.476</v>
      </c>
      <c r="S36" s="13" t="s">
        <v>100</v>
      </c>
      <c r="T36" s="15">
        <v>6603820</v>
      </c>
      <c r="V36" t="s">
        <v>103</v>
      </c>
      <c r="W36" s="15">
        <v>0.85483870967741937</v>
      </c>
    </row>
    <row r="37" spans="2:23">
      <c r="B37" s="13" t="s">
        <v>68</v>
      </c>
      <c r="C37" s="14">
        <v>66000</v>
      </c>
      <c r="E37" t="str">
        <f t="shared" si="0"/>
        <v>Daman and Diu</v>
      </c>
      <c r="F37">
        <f t="shared" si="1"/>
        <v>0.66</v>
      </c>
      <c r="S37" s="13" t="s">
        <v>97</v>
      </c>
      <c r="T37" s="15">
        <v>14357570</v>
      </c>
    </row>
    <row r="38" spans="2:23">
      <c r="B38" s="13" t="s">
        <v>20</v>
      </c>
      <c r="C38" s="14">
        <v>631500</v>
      </c>
      <c r="E38" t="str">
        <f t="shared" si="0"/>
        <v>Delhi</v>
      </c>
      <c r="F38">
        <f t="shared" si="1"/>
        <v>6.3150000000000004</v>
      </c>
    </row>
    <row r="39" spans="2:23">
      <c r="B39" s="13" t="s">
        <v>29</v>
      </c>
      <c r="C39" s="14">
        <v>307500</v>
      </c>
      <c r="E39" t="str">
        <f t="shared" si="0"/>
        <v>Goa</v>
      </c>
      <c r="F39">
        <f t="shared" si="1"/>
        <v>3.0750000000000002</v>
      </c>
    </row>
    <row r="40" spans="2:23">
      <c r="B40" s="13" t="s">
        <v>54</v>
      </c>
      <c r="C40" s="14">
        <v>1751500</v>
      </c>
      <c r="E40" t="str">
        <f t="shared" si="0"/>
        <v>Gujarat</v>
      </c>
      <c r="F40">
        <f t="shared" si="1"/>
        <v>17.515000000000001</v>
      </c>
    </row>
    <row r="41" spans="2:23">
      <c r="B41" s="13" t="s">
        <v>33</v>
      </c>
      <c r="C41" s="14">
        <v>11065500</v>
      </c>
      <c r="E41" t="str">
        <f t="shared" si="0"/>
        <v>Haryana</v>
      </c>
      <c r="F41">
        <f t="shared" si="1"/>
        <v>110.655</v>
      </c>
      <c r="S41" t="s">
        <v>84</v>
      </c>
      <c r="T41" t="s">
        <v>104</v>
      </c>
    </row>
    <row r="42" spans="2:23">
      <c r="B42" s="13" t="s">
        <v>65</v>
      </c>
      <c r="C42" s="14">
        <v>290000</v>
      </c>
      <c r="E42" t="str">
        <f t="shared" si="0"/>
        <v>Himachal Pradesh</v>
      </c>
      <c r="F42">
        <f t="shared" si="1"/>
        <v>2.9</v>
      </c>
      <c r="S42" t="s">
        <v>99</v>
      </c>
      <c r="T42" s="15">
        <v>0.77500000000000002</v>
      </c>
    </row>
    <row r="43" spans="2:23">
      <c r="B43" s="13" t="s">
        <v>35</v>
      </c>
      <c r="C43" s="14">
        <v>2650850</v>
      </c>
      <c r="E43" t="str">
        <f t="shared" si="0"/>
        <v>Jammu and Kashmir</v>
      </c>
      <c r="F43">
        <f t="shared" si="1"/>
        <v>26.508500000000002</v>
      </c>
      <c r="S43" t="s">
        <v>100</v>
      </c>
      <c r="T43" s="15">
        <v>0.6603</v>
      </c>
    </row>
    <row r="44" spans="2:23">
      <c r="B44" s="13" t="s">
        <v>49</v>
      </c>
      <c r="C44" s="14">
        <v>530900</v>
      </c>
      <c r="E44" t="str">
        <f t="shared" si="0"/>
        <v>Jharkhand</v>
      </c>
      <c r="F44">
        <f t="shared" si="1"/>
        <v>5.3090000000000002</v>
      </c>
      <c r="S44" t="s">
        <v>97</v>
      </c>
      <c r="T44">
        <v>14357570</v>
      </c>
    </row>
    <row r="45" spans="2:23">
      <c r="B45" s="13" t="s">
        <v>40</v>
      </c>
      <c r="C45" s="14">
        <v>12158850</v>
      </c>
      <c r="E45" t="str">
        <f t="shared" si="0"/>
        <v>Karnataka</v>
      </c>
      <c r="F45">
        <f t="shared" si="1"/>
        <v>121.5885</v>
      </c>
    </row>
    <row r="46" spans="2:23">
      <c r="B46" s="13" t="s">
        <v>59</v>
      </c>
      <c r="C46" s="14">
        <v>506600</v>
      </c>
      <c r="E46" t="str">
        <f t="shared" si="0"/>
        <v>Kerala</v>
      </c>
      <c r="F46">
        <f t="shared" si="1"/>
        <v>5.0659999999999998</v>
      </c>
    </row>
    <row r="47" spans="2:23">
      <c r="B47" s="13" t="s">
        <v>64</v>
      </c>
      <c r="C47" s="14">
        <v>44500</v>
      </c>
      <c r="E47" t="str">
        <f t="shared" si="0"/>
        <v>Lakshadweep</v>
      </c>
      <c r="F47">
        <f t="shared" si="1"/>
        <v>0.44500000000000001</v>
      </c>
    </row>
    <row r="48" spans="2:23">
      <c r="B48" s="13" t="s">
        <v>63</v>
      </c>
      <c r="C48" s="14">
        <v>1857200</v>
      </c>
      <c r="E48" t="str">
        <f t="shared" si="0"/>
        <v>Madhya Pradesh</v>
      </c>
      <c r="F48">
        <f t="shared" si="1"/>
        <v>18.571999999999999</v>
      </c>
    </row>
    <row r="49" spans="2:6">
      <c r="B49" s="13" t="s">
        <v>39</v>
      </c>
      <c r="C49" s="14">
        <v>24637050</v>
      </c>
      <c r="E49" t="str">
        <f t="shared" si="0"/>
        <v>Maharashtra</v>
      </c>
      <c r="F49">
        <f t="shared" si="1"/>
        <v>246.37049999999999</v>
      </c>
    </row>
    <row r="50" spans="2:6">
      <c r="B50" s="13" t="s">
        <v>66</v>
      </c>
      <c r="C50" s="14">
        <v>4740000</v>
      </c>
      <c r="E50" t="str">
        <f t="shared" si="0"/>
        <v>Nagaland</v>
      </c>
      <c r="F50">
        <f t="shared" si="1"/>
        <v>47.4</v>
      </c>
    </row>
    <row r="51" spans="2:6">
      <c r="B51" s="13" t="s">
        <v>53</v>
      </c>
      <c r="C51" s="14">
        <v>5003500</v>
      </c>
      <c r="E51" t="str">
        <f t="shared" si="0"/>
        <v>Odisha</v>
      </c>
      <c r="F51">
        <f t="shared" si="1"/>
        <v>50.034999999999997</v>
      </c>
    </row>
    <row r="52" spans="2:6">
      <c r="B52" s="13" t="s">
        <v>51</v>
      </c>
      <c r="C52" s="14">
        <v>1134600</v>
      </c>
      <c r="E52" t="str">
        <f t="shared" si="0"/>
        <v>Puducherry</v>
      </c>
      <c r="F52">
        <f t="shared" si="1"/>
        <v>11.346</v>
      </c>
    </row>
    <row r="53" spans="2:6">
      <c r="B53" s="13" t="s">
        <v>46</v>
      </c>
      <c r="C53" s="14">
        <v>3056400</v>
      </c>
      <c r="E53" t="str">
        <f t="shared" si="0"/>
        <v>Punjab</v>
      </c>
      <c r="F53">
        <f t="shared" si="1"/>
        <v>30.564</v>
      </c>
    </row>
    <row r="54" spans="2:6">
      <c r="B54" s="13" t="s">
        <v>56</v>
      </c>
      <c r="C54" s="14">
        <v>8258650</v>
      </c>
      <c r="E54" t="str">
        <f t="shared" si="0"/>
        <v>Rajasthan</v>
      </c>
      <c r="F54">
        <f t="shared" si="1"/>
        <v>82.586500000000001</v>
      </c>
    </row>
    <row r="55" spans="2:6">
      <c r="B55" s="13" t="s">
        <v>31</v>
      </c>
      <c r="C55" s="14">
        <v>11418800</v>
      </c>
      <c r="E55" t="str">
        <f t="shared" si="0"/>
        <v>Tamil Nadu</v>
      </c>
      <c r="F55">
        <f t="shared" si="1"/>
        <v>114.188</v>
      </c>
    </row>
    <row r="56" spans="2:6">
      <c r="B56" s="13" t="s">
        <v>50</v>
      </c>
      <c r="C56" s="14">
        <v>4120500</v>
      </c>
      <c r="E56" t="str">
        <f t="shared" si="0"/>
        <v>Telangana</v>
      </c>
      <c r="F56">
        <f t="shared" si="1"/>
        <v>41.204999999999998</v>
      </c>
    </row>
    <row r="57" spans="2:6">
      <c r="B57" s="13" t="s">
        <v>22</v>
      </c>
      <c r="C57" s="14">
        <v>18180200</v>
      </c>
      <c r="E57" t="str">
        <f t="shared" si="0"/>
        <v>Uttar Pradesh</v>
      </c>
      <c r="F57">
        <f t="shared" si="1"/>
        <v>181.80199999999999</v>
      </c>
    </row>
    <row r="58" spans="2:6">
      <c r="B58" s="13" t="s">
        <v>60</v>
      </c>
      <c r="C58" s="14">
        <v>231000</v>
      </c>
      <c r="E58" t="str">
        <f t="shared" si="0"/>
        <v>Uttarakhand</v>
      </c>
      <c r="F58">
        <f t="shared" si="1"/>
        <v>2.31</v>
      </c>
    </row>
    <row r="59" spans="2:6">
      <c r="B59" s="13" t="s">
        <v>24</v>
      </c>
      <c r="C59" s="14">
        <v>6454300</v>
      </c>
      <c r="E59" t="str">
        <f t="shared" si="0"/>
        <v>West Bengal</v>
      </c>
      <c r="F59">
        <f t="shared" si="1"/>
        <v>64.543000000000006</v>
      </c>
    </row>
    <row r="60" spans="2:6">
      <c r="B60" s="13" t="s">
        <v>97</v>
      </c>
      <c r="C60" s="14">
        <v>143341700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Design</vt:lpstr>
      <vt:lpstr>DB</vt:lpstr>
      <vt:lpstr>Helping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Pratik Garud</cp:lastModifiedBy>
  <dcterms:created xsi:type="dcterms:W3CDTF">2025-04-06T04:31:33Z</dcterms:created>
  <dcterms:modified xsi:type="dcterms:W3CDTF">2025-08-30T10:07:42Z</dcterms:modified>
</cp:coreProperties>
</file>